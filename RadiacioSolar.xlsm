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\Desktop\"/>
    </mc:Choice>
  </mc:AlternateContent>
  <bookViews>
    <workbookView xWindow="0" yWindow="0" windowWidth="28800" windowHeight="12210" tabRatio="751"/>
  </bookViews>
  <sheets>
    <sheet name="Dades" sheetId="2" r:id="rId1"/>
    <sheet name="Calculs" sheetId="1" r:id="rId2"/>
    <sheet name="Resultats" sheetId="3" r:id="rId3"/>
    <sheet name="Temperatura" sheetId="5" r:id="rId4"/>
    <sheet name="Humitat" sheetId="7" r:id="rId5"/>
    <sheet name="CalculAnual" sheetId="9" r:id="rId6"/>
    <sheet name="CalculDia" sheetId="10" r:id="rId7"/>
    <sheet name="CalculAngle" sheetId="11" r:id="rId8"/>
  </sheets>
  <calcPr calcId="171027"/>
</workbook>
</file>

<file path=xl/calcChain.xml><?xml version="1.0" encoding="utf-8"?>
<calcChain xmlns="http://schemas.openxmlformats.org/spreadsheetml/2006/main">
  <c r="J14" i="2" l="1"/>
  <c r="AC370" i="3" l="1"/>
  <c r="C369" i="3"/>
  <c r="C370" i="3"/>
  <c r="AC370" i="5"/>
  <c r="AC370" i="7"/>
  <c r="AC8" i="5" l="1"/>
  <c r="J5" i="11" l="1"/>
  <c r="C34" i="10" l="1"/>
  <c r="F4" i="11" l="1"/>
  <c r="L4" i="11" s="1"/>
  <c r="E4" i="11"/>
  <c r="K4" i="11" s="1"/>
  <c r="D4" i="11"/>
  <c r="J4" i="11" s="1"/>
  <c r="K5" i="11" l="1"/>
  <c r="L5" i="11"/>
  <c r="K6" i="11"/>
  <c r="L6" i="11"/>
  <c r="K7" i="11"/>
  <c r="L7" i="11"/>
  <c r="K8" i="11"/>
  <c r="L8" i="11"/>
  <c r="K9" i="11"/>
  <c r="L9" i="11"/>
  <c r="K10" i="11"/>
  <c r="L10" i="11"/>
  <c r="K11" i="11"/>
  <c r="L11" i="11"/>
  <c r="K12" i="11"/>
  <c r="L12" i="11"/>
  <c r="K13" i="11"/>
  <c r="L13" i="11"/>
  <c r="K14" i="11"/>
  <c r="L14" i="11"/>
  <c r="K15" i="11"/>
  <c r="L15" i="11"/>
  <c r="K16" i="11"/>
  <c r="L16" i="11"/>
  <c r="J16" i="11"/>
  <c r="J15" i="11"/>
  <c r="J14" i="11"/>
  <c r="J13" i="11"/>
  <c r="J12" i="11"/>
  <c r="J11" i="11"/>
  <c r="J10" i="11"/>
  <c r="J9" i="11"/>
  <c r="J8" i="11"/>
  <c r="J7" i="11"/>
  <c r="J6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C313" i="11"/>
  <c r="C312" i="11"/>
  <c r="C311" i="11"/>
  <c r="C310" i="11"/>
  <c r="C309" i="11"/>
  <c r="C308" i="11"/>
  <c r="C307" i="11"/>
  <c r="C306" i="11"/>
  <c r="C305" i="11"/>
  <c r="C304" i="11"/>
  <c r="C303" i="11"/>
  <c r="C302" i="11"/>
  <c r="C301" i="11"/>
  <c r="C300" i="11"/>
  <c r="C299" i="11"/>
  <c r="C298" i="11"/>
  <c r="C297" i="11"/>
  <c r="C296" i="11"/>
  <c r="C295" i="11"/>
  <c r="C294" i="11"/>
  <c r="C293" i="11"/>
  <c r="C292" i="11"/>
  <c r="C291" i="11"/>
  <c r="C290" i="11"/>
  <c r="C289" i="11"/>
  <c r="C288" i="11"/>
  <c r="C287" i="11"/>
  <c r="C286" i="11"/>
  <c r="C285" i="11"/>
  <c r="C284" i="11"/>
  <c r="C283" i="11"/>
  <c r="C282" i="11"/>
  <c r="C281" i="11"/>
  <c r="C280" i="11"/>
  <c r="C279" i="11"/>
  <c r="C278" i="11"/>
  <c r="C277" i="11"/>
  <c r="C276" i="11"/>
  <c r="C275" i="11"/>
  <c r="C274" i="11"/>
  <c r="C273" i="11"/>
  <c r="C272" i="11"/>
  <c r="C271" i="11"/>
  <c r="C270" i="11"/>
  <c r="C269" i="11"/>
  <c r="C268" i="11"/>
  <c r="C267" i="11"/>
  <c r="C266" i="11"/>
  <c r="C265" i="11"/>
  <c r="C264" i="11"/>
  <c r="C263" i="11"/>
  <c r="C262" i="11"/>
  <c r="C261" i="11"/>
  <c r="C260" i="11"/>
  <c r="C259" i="11"/>
  <c r="C258" i="11"/>
  <c r="C257" i="11"/>
  <c r="C256" i="11"/>
  <c r="C255" i="11"/>
  <c r="C254" i="11"/>
  <c r="C253" i="11"/>
  <c r="C252" i="11"/>
  <c r="C251" i="11"/>
  <c r="C250" i="11"/>
  <c r="C249" i="11"/>
  <c r="C248" i="11"/>
  <c r="C247" i="11"/>
  <c r="C246" i="11"/>
  <c r="C245" i="11"/>
  <c r="C244" i="11"/>
  <c r="C243" i="11"/>
  <c r="C242" i="11"/>
  <c r="C241" i="11"/>
  <c r="C240" i="11"/>
  <c r="C239" i="11"/>
  <c r="C238" i="11"/>
  <c r="C237" i="11"/>
  <c r="C236" i="11"/>
  <c r="C235" i="11"/>
  <c r="C234" i="11"/>
  <c r="C233" i="11"/>
  <c r="C232" i="11"/>
  <c r="C231" i="11"/>
  <c r="C230" i="11"/>
  <c r="C229" i="11"/>
  <c r="C228" i="11"/>
  <c r="C227" i="11"/>
  <c r="C226" i="11"/>
  <c r="C225" i="11"/>
  <c r="C224" i="11"/>
  <c r="C223" i="11"/>
  <c r="C222" i="11"/>
  <c r="C221" i="11"/>
  <c r="C220" i="11"/>
  <c r="C219" i="11"/>
  <c r="C218" i="11"/>
  <c r="C217" i="11"/>
  <c r="C216" i="11"/>
  <c r="C215" i="11"/>
  <c r="C214" i="11"/>
  <c r="C213" i="11"/>
  <c r="C212" i="11"/>
  <c r="C211" i="11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36" i="10"/>
  <c r="AC8" i="7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C367" i="3"/>
  <c r="AC368" i="3"/>
  <c r="AC369" i="3"/>
  <c r="AC23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5" i="3"/>
  <c r="C33" i="10"/>
  <c r="AF15" i="3" l="1"/>
  <c r="H10" i="9" s="1"/>
  <c r="AF14" i="3"/>
  <c r="H9" i="9" s="1"/>
  <c r="AF13" i="3"/>
  <c r="H8" i="9" s="1"/>
  <c r="AF12" i="3"/>
  <c r="H7" i="9" s="1"/>
  <c r="AF11" i="3"/>
  <c r="H6" i="9" s="1"/>
  <c r="AF10" i="3"/>
  <c r="H5" i="9" s="1"/>
  <c r="AF9" i="3"/>
  <c r="D10" i="9" s="1"/>
  <c r="AF8" i="3"/>
  <c r="D9" i="9" s="1"/>
  <c r="AF7" i="3"/>
  <c r="D8" i="9" s="1"/>
  <c r="AF6" i="3"/>
  <c r="D7" i="9" s="1"/>
  <c r="AF5" i="3"/>
  <c r="D6" i="9" s="1"/>
  <c r="AF4" i="3"/>
  <c r="D5" i="9" s="1"/>
  <c r="C3" i="1"/>
  <c r="G15" i="1"/>
  <c r="G18" i="1"/>
  <c r="AC5" i="5"/>
  <c r="AC6" i="5"/>
  <c r="AC7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321" i="5"/>
  <c r="AC322" i="5"/>
  <c r="AC323" i="5"/>
  <c r="AC324" i="5"/>
  <c r="AC325" i="5"/>
  <c r="AC326" i="5"/>
  <c r="AC327" i="5"/>
  <c r="AC328" i="5"/>
  <c r="AC329" i="5"/>
  <c r="AC330" i="5"/>
  <c r="AC331" i="5"/>
  <c r="AC332" i="5"/>
  <c r="AC333" i="5"/>
  <c r="AC334" i="5"/>
  <c r="AC335" i="5"/>
  <c r="AC336" i="5"/>
  <c r="AC337" i="5"/>
  <c r="AC338" i="5"/>
  <c r="AC339" i="5"/>
  <c r="AC340" i="5"/>
  <c r="AC341" i="5"/>
  <c r="AC342" i="5"/>
  <c r="AC343" i="5"/>
  <c r="AC344" i="5"/>
  <c r="AC345" i="5"/>
  <c r="AC346" i="5"/>
  <c r="AC347" i="5"/>
  <c r="AC348" i="5"/>
  <c r="AC349" i="5"/>
  <c r="AC350" i="5"/>
  <c r="AC351" i="5"/>
  <c r="AC352" i="5"/>
  <c r="AC353" i="5"/>
  <c r="AC354" i="5"/>
  <c r="AC355" i="5"/>
  <c r="AC356" i="5"/>
  <c r="AC357" i="5"/>
  <c r="AC358" i="5"/>
  <c r="AC359" i="5"/>
  <c r="AC360" i="5"/>
  <c r="AC361" i="5"/>
  <c r="AC362" i="5"/>
  <c r="AC363" i="5"/>
  <c r="AC364" i="5"/>
  <c r="AC365" i="5"/>
  <c r="AC366" i="5"/>
  <c r="AC367" i="5"/>
  <c r="AC368" i="5"/>
  <c r="AC369" i="5"/>
  <c r="AC5" i="7"/>
  <c r="AC6" i="7"/>
  <c r="AC7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C73" i="7"/>
  <c r="AC74" i="7"/>
  <c r="AC75" i="7"/>
  <c r="AC76" i="7"/>
  <c r="AC77" i="7"/>
  <c r="AC78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C117" i="7"/>
  <c r="AC118" i="7"/>
  <c r="AC119" i="7"/>
  <c r="AC120" i="7"/>
  <c r="AC121" i="7"/>
  <c r="AC122" i="7"/>
  <c r="AC123" i="7"/>
  <c r="AC124" i="7"/>
  <c r="AC125" i="7"/>
  <c r="AC126" i="7"/>
  <c r="AC127" i="7"/>
  <c r="AC128" i="7"/>
  <c r="AC129" i="7"/>
  <c r="AC130" i="7"/>
  <c r="AC131" i="7"/>
  <c r="AC132" i="7"/>
  <c r="AC133" i="7"/>
  <c r="AC134" i="7"/>
  <c r="AC135" i="7"/>
  <c r="AC136" i="7"/>
  <c r="AC137" i="7"/>
  <c r="AC138" i="7"/>
  <c r="AC139" i="7"/>
  <c r="AC140" i="7"/>
  <c r="AC141" i="7"/>
  <c r="AC142" i="7"/>
  <c r="AC143" i="7"/>
  <c r="AC144" i="7"/>
  <c r="AC145" i="7"/>
  <c r="AC146" i="7"/>
  <c r="AC147" i="7"/>
  <c r="AC148" i="7"/>
  <c r="AC149" i="7"/>
  <c r="AC150" i="7"/>
  <c r="AC151" i="7"/>
  <c r="AC152" i="7"/>
  <c r="AC153" i="7"/>
  <c r="AC154" i="7"/>
  <c r="AC155" i="7"/>
  <c r="AC156" i="7"/>
  <c r="AC157" i="7"/>
  <c r="AC158" i="7"/>
  <c r="AC159" i="7"/>
  <c r="AC160" i="7"/>
  <c r="AC161" i="7"/>
  <c r="AC162" i="7"/>
  <c r="AC163" i="7"/>
  <c r="AC164" i="7"/>
  <c r="AC165" i="7"/>
  <c r="AC166" i="7"/>
  <c r="AC167" i="7"/>
  <c r="AC168" i="7"/>
  <c r="AC169" i="7"/>
  <c r="AC170" i="7"/>
  <c r="AC171" i="7"/>
  <c r="AC172" i="7"/>
  <c r="AC173" i="7"/>
  <c r="AC174" i="7"/>
  <c r="AC175" i="7"/>
  <c r="AC176" i="7"/>
  <c r="AC177" i="7"/>
  <c r="AC178" i="7"/>
  <c r="AC179" i="7"/>
  <c r="AC180" i="7"/>
  <c r="AC181" i="7"/>
  <c r="AC182" i="7"/>
  <c r="AC183" i="7"/>
  <c r="AC184" i="7"/>
  <c r="AC185" i="7"/>
  <c r="AC186" i="7"/>
  <c r="AC187" i="7"/>
  <c r="AC188" i="7"/>
  <c r="AC189" i="7"/>
  <c r="AC190" i="7"/>
  <c r="AC191" i="7"/>
  <c r="AC192" i="7"/>
  <c r="AC193" i="7"/>
  <c r="AC194" i="7"/>
  <c r="AC195" i="7"/>
  <c r="AC196" i="7"/>
  <c r="AC197" i="7"/>
  <c r="AC198" i="7"/>
  <c r="AC199" i="7"/>
  <c r="AC200" i="7"/>
  <c r="AC201" i="7"/>
  <c r="AC202" i="7"/>
  <c r="AC203" i="7"/>
  <c r="AC204" i="7"/>
  <c r="AC205" i="7"/>
  <c r="AC206" i="7"/>
  <c r="AC207" i="7"/>
  <c r="AC208" i="7"/>
  <c r="AC209" i="7"/>
  <c r="AC210" i="7"/>
  <c r="AC211" i="7"/>
  <c r="AC212" i="7"/>
  <c r="AC213" i="7"/>
  <c r="AC214" i="7"/>
  <c r="AC215" i="7"/>
  <c r="AC216" i="7"/>
  <c r="AC217" i="7"/>
  <c r="AC218" i="7"/>
  <c r="AC219" i="7"/>
  <c r="AC220" i="7"/>
  <c r="AC221" i="7"/>
  <c r="AC222" i="7"/>
  <c r="AC223" i="7"/>
  <c r="AC224" i="7"/>
  <c r="AC225" i="7"/>
  <c r="AC226" i="7"/>
  <c r="AC227" i="7"/>
  <c r="AC228" i="7"/>
  <c r="AC229" i="7"/>
  <c r="AC230" i="7"/>
  <c r="AC231" i="7"/>
  <c r="AC232" i="7"/>
  <c r="AC233" i="7"/>
  <c r="AC234" i="7"/>
  <c r="AC235" i="7"/>
  <c r="AC236" i="7"/>
  <c r="AC237" i="7"/>
  <c r="AC238" i="7"/>
  <c r="AC239" i="7"/>
  <c r="AC240" i="7"/>
  <c r="AC241" i="7"/>
  <c r="AC242" i="7"/>
  <c r="AC243" i="7"/>
  <c r="AC244" i="7"/>
  <c r="AC245" i="7"/>
  <c r="AC246" i="7"/>
  <c r="AC247" i="7"/>
  <c r="AC248" i="7"/>
  <c r="AC249" i="7"/>
  <c r="AC250" i="7"/>
  <c r="AC251" i="7"/>
  <c r="AC252" i="7"/>
  <c r="AC253" i="7"/>
  <c r="AC254" i="7"/>
  <c r="AC255" i="7"/>
  <c r="AC256" i="7"/>
  <c r="AC257" i="7"/>
  <c r="AC258" i="7"/>
  <c r="AC259" i="7"/>
  <c r="AC260" i="7"/>
  <c r="AC261" i="7"/>
  <c r="AC262" i="7"/>
  <c r="AC263" i="7"/>
  <c r="AC264" i="7"/>
  <c r="AC265" i="7"/>
  <c r="AC266" i="7"/>
  <c r="AC267" i="7"/>
  <c r="AC268" i="7"/>
  <c r="AC269" i="7"/>
  <c r="AC270" i="7"/>
  <c r="AC271" i="7"/>
  <c r="AC272" i="7"/>
  <c r="AC273" i="7"/>
  <c r="AC274" i="7"/>
  <c r="AC275" i="7"/>
  <c r="AC276" i="7"/>
  <c r="AC277" i="7"/>
  <c r="AC278" i="7"/>
  <c r="AC279" i="7"/>
  <c r="AC280" i="7"/>
  <c r="AC281" i="7"/>
  <c r="AC282" i="7"/>
  <c r="AC283" i="7"/>
  <c r="AC284" i="7"/>
  <c r="AC285" i="7"/>
  <c r="AC286" i="7"/>
  <c r="AC287" i="7"/>
  <c r="AC288" i="7"/>
  <c r="AC289" i="7"/>
  <c r="AC290" i="7"/>
  <c r="AC291" i="7"/>
  <c r="AC292" i="7"/>
  <c r="AC293" i="7"/>
  <c r="AC294" i="7"/>
  <c r="AC295" i="7"/>
  <c r="AC296" i="7"/>
  <c r="AC297" i="7"/>
  <c r="AC298" i="7"/>
  <c r="AC299" i="7"/>
  <c r="AC300" i="7"/>
  <c r="AC301" i="7"/>
  <c r="AC302" i="7"/>
  <c r="AC303" i="7"/>
  <c r="AC304" i="7"/>
  <c r="AC305" i="7"/>
  <c r="AC306" i="7"/>
  <c r="AC307" i="7"/>
  <c r="AC308" i="7"/>
  <c r="AC309" i="7"/>
  <c r="AC310" i="7"/>
  <c r="AC311" i="7"/>
  <c r="AC312" i="7"/>
  <c r="AC313" i="7"/>
  <c r="AC314" i="7"/>
  <c r="AC315" i="7"/>
  <c r="AC316" i="7"/>
  <c r="AC317" i="7"/>
  <c r="AC318" i="7"/>
  <c r="AC319" i="7"/>
  <c r="AC320" i="7"/>
  <c r="AC321" i="7"/>
  <c r="AC322" i="7"/>
  <c r="AC323" i="7"/>
  <c r="AC324" i="7"/>
  <c r="AC325" i="7"/>
  <c r="AC326" i="7"/>
  <c r="AC327" i="7"/>
  <c r="AC328" i="7"/>
  <c r="AC329" i="7"/>
  <c r="AC330" i="7"/>
  <c r="AC331" i="7"/>
  <c r="AC332" i="7"/>
  <c r="AC333" i="7"/>
  <c r="AC334" i="7"/>
  <c r="AC335" i="7"/>
  <c r="AC336" i="7"/>
  <c r="AC337" i="7"/>
  <c r="AC338" i="7"/>
  <c r="AC339" i="7"/>
  <c r="AC340" i="7"/>
  <c r="AC341" i="7"/>
  <c r="AC342" i="7"/>
  <c r="AC343" i="7"/>
  <c r="AC344" i="7"/>
  <c r="AC345" i="7"/>
  <c r="AC346" i="7"/>
  <c r="AC347" i="7"/>
  <c r="AC348" i="7"/>
  <c r="AC349" i="7"/>
  <c r="AC350" i="7"/>
  <c r="AC351" i="7"/>
  <c r="AC352" i="7"/>
  <c r="AC353" i="7"/>
  <c r="AC354" i="7"/>
  <c r="AC355" i="7"/>
  <c r="AC356" i="7"/>
  <c r="AC357" i="7"/>
  <c r="AC358" i="7"/>
  <c r="AC359" i="7"/>
  <c r="AC360" i="7"/>
  <c r="AC361" i="7"/>
  <c r="AC362" i="7"/>
  <c r="AC363" i="7"/>
  <c r="AC364" i="7"/>
  <c r="AC365" i="7"/>
  <c r="AC366" i="7"/>
  <c r="AC367" i="7"/>
  <c r="AC368" i="7"/>
  <c r="AC369" i="7"/>
  <c r="C12" i="3" l="1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7" i="3" l="1"/>
  <c r="C8" i="3"/>
  <c r="C9" i="3"/>
  <c r="C10" i="3"/>
  <c r="C11" i="3"/>
  <c r="C6" i="3"/>
  <c r="C7" i="1"/>
  <c r="C6" i="1"/>
  <c r="G7" i="1"/>
  <c r="G3" i="1" l="1"/>
  <c r="G4" i="1" l="1"/>
  <c r="H4" i="1" s="1"/>
  <c r="H3" i="1"/>
  <c r="G20" i="1" l="1"/>
  <c r="G21" i="1" s="1"/>
  <c r="H21" i="1" s="1"/>
  <c r="H5" i="1"/>
  <c r="G5" i="1" l="1"/>
  <c r="G6" i="1" s="1"/>
  <c r="H6" i="1" l="1"/>
  <c r="G12" i="1"/>
  <c r="G13" i="1" s="1"/>
  <c r="G16" i="1"/>
  <c r="G17" i="1" s="1"/>
  <c r="G8" i="1"/>
  <c r="G10" i="1" l="1"/>
  <c r="G24" i="1" s="1"/>
  <c r="G9" i="1"/>
  <c r="G14" i="1"/>
  <c r="G25" i="1" l="1"/>
  <c r="G27" i="1" s="1"/>
  <c r="G29" i="1"/>
  <c r="G19" i="1"/>
  <c r="G30" i="1" l="1"/>
  <c r="G31" i="1" s="1"/>
  <c r="G32" i="1" s="1"/>
  <c r="G33" i="1" s="1"/>
  <c r="G22" i="1"/>
  <c r="G34" i="1" l="1"/>
</calcChain>
</file>

<file path=xl/sharedStrings.xml><?xml version="1.0" encoding="utf-8"?>
<sst xmlns="http://schemas.openxmlformats.org/spreadsheetml/2006/main" count="165" uniqueCount="116">
  <si>
    <t>m</t>
  </si>
  <si>
    <t>Latitud</t>
  </si>
  <si>
    <t>º</t>
  </si>
  <si>
    <t>Hora solar (TSV)</t>
  </si>
  <si>
    <t>Temperatura seca</t>
  </si>
  <si>
    <t>τa</t>
  </si>
  <si>
    <t>ma</t>
  </si>
  <si>
    <t xml:space="preserve">Massa óptica d'aire </t>
  </si>
  <si>
    <t>Massa relativa d'aire sec</t>
  </si>
  <si>
    <t>m rel</t>
  </si>
  <si>
    <t>Angle zenital</t>
  </si>
  <si>
    <t>ϑz</t>
  </si>
  <si>
    <t>Declinació</t>
  </si>
  <si>
    <t>Dec</t>
  </si>
  <si>
    <t>Angle horari</t>
  </si>
  <si>
    <t>AH</t>
  </si>
  <si>
    <t>(rad)</t>
  </si>
  <si>
    <t>Pressió Total</t>
  </si>
  <si>
    <t>Pt</t>
  </si>
  <si>
    <t>Alçada sobre el nivell del mar (z)</t>
  </si>
  <si>
    <t>Coeficient de transmissió de canvi de direcció</t>
  </si>
  <si>
    <t>τr</t>
  </si>
  <si>
    <t>Coeficient de transmissió total degut als aerosols</t>
  </si>
  <si>
    <t>τo</t>
  </si>
  <si>
    <t>Coeficient de transmissió degut a l'absorció per ozò</t>
  </si>
  <si>
    <t>U3</t>
  </si>
  <si>
    <t>Camino óptico relativo para el ozono</t>
  </si>
  <si>
    <t>Lo</t>
  </si>
  <si>
    <t>Espesor en cm de la capa d'ozò (Taula pp 41)</t>
  </si>
  <si>
    <t>Coeficient de transmissió de mezcla uniforme de gases</t>
  </si>
  <si>
    <t>τg</t>
  </si>
  <si>
    <t>τw</t>
  </si>
  <si>
    <t>Coeficient de transmissió del vapor d'aigua</t>
  </si>
  <si>
    <t>U1</t>
  </si>
  <si>
    <t xml:space="preserve">Camino óptico relativo para el vapor de agua </t>
  </si>
  <si>
    <t>WW</t>
  </si>
  <si>
    <t xml:space="preserve">Cantidad de agua precipitable en la vertical del lugar  (cm) </t>
  </si>
  <si>
    <r>
      <t>Humitat (</t>
    </r>
    <r>
      <rPr>
        <sz val="11"/>
        <color theme="1"/>
        <rFont val="Calibri"/>
        <family val="2"/>
      </rPr>
      <t>ɸ)</t>
    </r>
  </si>
  <si>
    <t>Eo</t>
  </si>
  <si>
    <t>Coeficiente corrector de la excentrixidad de la orbita solar</t>
  </si>
  <si>
    <t>Radiació directa (W/m2)</t>
  </si>
  <si>
    <t>I n</t>
  </si>
  <si>
    <t>Radiació directa segons els rajos solars (W/m2)</t>
  </si>
  <si>
    <t>Cosinus de la inidencia   cos(i)</t>
  </si>
  <si>
    <t>cos(i)</t>
  </si>
  <si>
    <r>
      <t>Inclinació (</t>
    </r>
    <r>
      <rPr>
        <sz val="11"/>
        <color theme="1"/>
        <rFont val="Calibri"/>
        <family val="2"/>
      </rPr>
      <t>ɳ)</t>
    </r>
  </si>
  <si>
    <t>i</t>
  </si>
  <si>
    <t>Angle d'incidencia dels rajos solars (º)</t>
  </si>
  <si>
    <t>I D</t>
  </si>
  <si>
    <t>Radiación difusa total sobre un plano horizontal</t>
  </si>
  <si>
    <t xml:space="preserve">Radiación difusa debida a la radiacon por Raleigh </t>
  </si>
  <si>
    <t>Idh</t>
  </si>
  <si>
    <t>Idr</t>
  </si>
  <si>
    <t>τaa</t>
  </si>
  <si>
    <t>Transmitancia debida a la absorción por aerosoles</t>
  </si>
  <si>
    <t>Ida</t>
  </si>
  <si>
    <t>Radiació difusa deguda als aerosols</t>
  </si>
  <si>
    <t>Fc</t>
  </si>
  <si>
    <t>τas</t>
  </si>
  <si>
    <t>Coeficient de transmissió degut  a la difusió pels aerosols</t>
  </si>
  <si>
    <t>Idm</t>
  </si>
  <si>
    <t>Radiació difusa per reflexió entre la terra i l'atmosfera</t>
  </si>
  <si>
    <t>Pg</t>
  </si>
  <si>
    <t>Pa</t>
  </si>
  <si>
    <t>Coeficient de reflexió del cel</t>
  </si>
  <si>
    <t>Idre</t>
  </si>
  <si>
    <t>Radiació reflexada desde el terra</t>
  </si>
  <si>
    <t>ω0</t>
  </si>
  <si>
    <t>Coeficient de reflexio  dels voltants de la superficie estudiada( p.429)</t>
  </si>
  <si>
    <t>Localització del lloc</t>
  </si>
  <si>
    <t>Dades de la placa</t>
  </si>
  <si>
    <t xml:space="preserve">Dades del dia </t>
  </si>
  <si>
    <t>Radiació total (w/m2)</t>
  </si>
  <si>
    <t xml:space="preserve">Latitud (radians) </t>
  </si>
  <si>
    <t xml:space="preserve">azimut (radians) </t>
  </si>
  <si>
    <t xml:space="preserve">Inclinació (radians) </t>
  </si>
  <si>
    <t>Constant Solar (W/m2) - Isc</t>
  </si>
  <si>
    <t>7'8</t>
  </si>
  <si>
    <t>Gener</t>
  </si>
  <si>
    <t>Febrer</t>
  </si>
  <si>
    <t>Març</t>
  </si>
  <si>
    <t>Abril</t>
  </si>
  <si>
    <t>MITJANA</t>
  </si>
  <si>
    <t>Maig</t>
  </si>
  <si>
    <t>Juny</t>
  </si>
  <si>
    <t>Juliol</t>
  </si>
  <si>
    <t>Agost</t>
  </si>
  <si>
    <t>Septembre</t>
  </si>
  <si>
    <t>Octubre</t>
  </si>
  <si>
    <t>Novembre</t>
  </si>
  <si>
    <t>Desembre</t>
  </si>
  <si>
    <t>Dia</t>
  </si>
  <si>
    <t>HORES</t>
  </si>
  <si>
    <t xml:space="preserve">Febrer </t>
  </si>
  <si>
    <t>Radiació (w/m²)</t>
  </si>
  <si>
    <t>DIA</t>
  </si>
  <si>
    <t xml:space="preserve">Localització </t>
  </si>
  <si>
    <t>Radiació anual</t>
  </si>
  <si>
    <t>Radiació per dia</t>
  </si>
  <si>
    <t>Angles</t>
  </si>
  <si>
    <t>energia(kwh/m2)</t>
  </si>
  <si>
    <r>
      <t>Temperatura (</t>
    </r>
    <r>
      <rPr>
        <b/>
        <sz val="11"/>
        <color theme="1"/>
        <rFont val="Calibri"/>
        <family val="2"/>
      </rPr>
      <t>ᵒc)</t>
    </r>
  </si>
  <si>
    <t>Humitat(%)</t>
  </si>
  <si>
    <t xml:space="preserve">Dia </t>
  </si>
  <si>
    <t xml:space="preserve">α </t>
  </si>
  <si>
    <t xml:space="preserve">β </t>
  </si>
  <si>
    <t>Radiació diària mitjana (kw·h/m²)</t>
  </si>
  <si>
    <t>Comparació de la inclinació</t>
  </si>
  <si>
    <r>
      <t>n</t>
    </r>
    <r>
      <rPr>
        <sz val="11"/>
        <color theme="1"/>
        <rFont val="Calibri"/>
        <family val="2"/>
      </rPr>
      <t>ᵒ</t>
    </r>
    <r>
      <rPr>
        <sz val="11"/>
        <color theme="1"/>
        <rFont val="Calibri"/>
        <family val="2"/>
        <scheme val="minor"/>
      </rPr>
      <t xml:space="preserve"> d'angles (1, 2 o 3)</t>
    </r>
  </si>
  <si>
    <r>
      <t>Azimut (</t>
    </r>
    <r>
      <rPr>
        <sz val="11"/>
        <color theme="1"/>
        <rFont val="Calibri"/>
        <family val="2"/>
      </rPr>
      <t>ɣ)</t>
    </r>
  </si>
  <si>
    <t>Data (dia/mes)</t>
  </si>
  <si>
    <t>Treball de recerca 2017-2018</t>
  </si>
  <si>
    <t>Marc Vernet Sancho</t>
  </si>
  <si>
    <t>2n Batxillerat C</t>
  </si>
  <si>
    <t>Institut Salvador Vilaseca</t>
  </si>
  <si>
    <r>
      <rPr>
        <b/>
        <sz val="11"/>
        <color theme="1"/>
        <rFont val="Arial"/>
        <family val="2"/>
      </rPr>
      <t>ENERGIA SOLAR</t>
    </r>
    <r>
      <rPr>
        <sz val="11"/>
        <color theme="1"/>
        <rFont val="Arial"/>
        <family val="2"/>
      </rPr>
      <t xml:space="preserve">
PROJECTE D’UNA INSTAL·LACIÓ FOTOVOLTAIC</t>
    </r>
    <r>
      <rPr>
        <sz val="11"/>
        <color theme="1"/>
        <rFont val="Calibri"/>
        <family val="2"/>
        <scheme val="minor"/>
      </rPr>
      <t xml:space="preserve">A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</si>
</sst>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"/>
    <numFmt numFmtId="166" formatCode="d/m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2" xfId="0" applyFont="1" applyBorder="1" applyProtection="1">
      <protection locked="0"/>
    </xf>
    <xf numFmtId="0" fontId="0" fillId="0" borderId="12" xfId="0" applyFont="1" applyBorder="1" applyProtection="1">
      <protection locked="0"/>
    </xf>
    <xf numFmtId="0" fontId="0" fillId="0" borderId="3" xfId="0" applyFont="1" applyBorder="1" applyProtection="1">
      <protection locked="0"/>
    </xf>
    <xf numFmtId="0" fontId="2" fillId="0" borderId="4" xfId="0" applyFont="1" applyBorder="1" applyProtection="1">
      <protection locked="0"/>
    </xf>
    <xf numFmtId="164" fontId="0" fillId="0" borderId="0" xfId="0" applyNumberFormat="1" applyBorder="1" applyAlignment="1" applyProtection="1">
      <alignment horizontal="right"/>
      <protection locked="0"/>
    </xf>
    <xf numFmtId="164" fontId="0" fillId="0" borderId="0" xfId="0" applyNumberFormat="1" applyFill="1" applyBorder="1" applyProtection="1">
      <protection locked="0"/>
    </xf>
    <xf numFmtId="164" fontId="0" fillId="0" borderId="5" xfId="0" applyNumberFormat="1" applyBorder="1" applyProtection="1">
      <protection locked="0"/>
    </xf>
    <xf numFmtId="164" fontId="0" fillId="0" borderId="0" xfId="0" applyNumberFormat="1" applyProtection="1">
      <protection locked="0"/>
    </xf>
    <xf numFmtId="164" fontId="2" fillId="0" borderId="4" xfId="0" applyNumberFormat="1" applyFont="1" applyBorder="1" applyProtection="1">
      <protection locked="0"/>
    </xf>
    <xf numFmtId="164" fontId="0" fillId="0" borderId="0" xfId="0" applyNumberFormat="1" applyFont="1" applyBorder="1" applyProtection="1">
      <protection locked="0"/>
    </xf>
    <xf numFmtId="164" fontId="0" fillId="0" borderId="0" xfId="0" applyNumberFormat="1" applyFont="1" applyBorder="1" applyAlignment="1" applyProtection="1">
      <alignment horizontal="right"/>
      <protection locked="0"/>
    </xf>
    <xf numFmtId="164" fontId="0" fillId="0" borderId="5" xfId="0" applyNumberFormat="1" applyFont="1" applyBorder="1" applyProtection="1">
      <protection locked="0"/>
    </xf>
    <xf numFmtId="164" fontId="0" fillId="0" borderId="0" xfId="0" applyNumberFormat="1" applyBorder="1" applyProtection="1">
      <protection locked="0"/>
    </xf>
    <xf numFmtId="0" fontId="0" fillId="0" borderId="8" xfId="0" applyFill="1" applyBorder="1" applyProtection="1">
      <protection locked="0"/>
    </xf>
    <xf numFmtId="0" fontId="0" fillId="0" borderId="9" xfId="0" applyFill="1" applyBorder="1" applyProtection="1">
      <protection locked="0"/>
    </xf>
    <xf numFmtId="164" fontId="0" fillId="4" borderId="10" xfId="0" applyNumberFormat="1" applyFill="1" applyBorder="1" applyAlignment="1" applyProtection="1">
      <alignment horizontal="right"/>
      <protection locked="0"/>
    </xf>
    <xf numFmtId="164" fontId="0" fillId="0" borderId="8" xfId="0" applyNumberFormat="1" applyFont="1" applyFill="1" applyBorder="1" applyProtection="1">
      <protection locked="0"/>
    </xf>
    <xf numFmtId="164" fontId="0" fillId="0" borderId="9" xfId="0" applyNumberFormat="1" applyFont="1" applyFill="1" applyBorder="1" applyProtection="1">
      <protection locked="0"/>
    </xf>
    <xf numFmtId="164" fontId="0" fillId="4" borderId="10" xfId="0" applyNumberFormat="1" applyFont="1" applyFill="1" applyBorder="1" applyAlignment="1" applyProtection="1">
      <alignment horizontal="right"/>
      <protection locked="0"/>
    </xf>
    <xf numFmtId="164" fontId="0" fillId="0" borderId="8" xfId="0" applyNumberFormat="1" applyFill="1" applyBorder="1" applyProtection="1">
      <protection locked="0"/>
    </xf>
    <xf numFmtId="164" fontId="0" fillId="0" borderId="9" xfId="0" applyNumberFormat="1" applyFill="1" applyBorder="1" applyProtection="1">
      <protection locked="0"/>
    </xf>
    <xf numFmtId="164" fontId="0" fillId="0" borderId="4" xfId="0" applyNumberFormat="1" applyFont="1" applyBorder="1" applyProtection="1">
      <protection locked="0"/>
    </xf>
    <xf numFmtId="0" fontId="2" fillId="0" borderId="13" xfId="0" applyFont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164" fontId="0" fillId="0" borderId="0" xfId="0" applyNumberFormat="1" applyFont="1" applyBorder="1" applyAlignment="1" applyProtection="1">
      <protection locked="0"/>
    </xf>
    <xf numFmtId="164" fontId="0" fillId="0" borderId="5" xfId="0" applyNumberFormat="1" applyFont="1" applyBorder="1" applyAlignment="1" applyProtection="1">
      <protection locked="0"/>
    </xf>
    <xf numFmtId="164" fontId="0" fillId="0" borderId="0" xfId="0" applyNumberFormat="1" applyAlignment="1" applyProtection="1">
      <protection locked="0"/>
    </xf>
    <xf numFmtId="164" fontId="0" fillId="0" borderId="4" xfId="0" applyNumberFormat="1" applyFill="1" applyBorder="1" applyProtection="1">
      <protection locked="0"/>
    </xf>
    <xf numFmtId="164" fontId="0" fillId="0" borderId="4" xfId="0" applyNumberFormat="1" applyBorder="1" applyProtection="1">
      <protection locked="0"/>
    </xf>
    <xf numFmtId="0" fontId="0" fillId="0" borderId="0" xfId="0" quotePrefix="1" applyBorder="1" applyProtection="1">
      <protection locked="0"/>
    </xf>
    <xf numFmtId="164" fontId="0" fillId="4" borderId="14" xfId="0" applyNumberFormat="1" applyFill="1" applyBorder="1" applyProtection="1">
      <protection locked="0"/>
    </xf>
    <xf numFmtId="164" fontId="0" fillId="0" borderId="4" xfId="0" applyNumberFormat="1" applyBorder="1" applyAlignment="1" applyProtection="1">
      <protection locked="0"/>
    </xf>
    <xf numFmtId="164" fontId="0" fillId="0" borderId="0" xfId="0" applyNumberFormat="1" applyBorder="1" applyAlignment="1" applyProtection="1">
      <protection locked="0"/>
    </xf>
    <xf numFmtId="0" fontId="0" fillId="0" borderId="6" xfId="0" applyBorder="1" applyAlignment="1" applyProtection="1">
      <alignment horizontal="left" indent="5"/>
      <protection locked="0"/>
    </xf>
    <xf numFmtId="0" fontId="0" fillId="0" borderId="11" xfId="0" quotePrefix="1" applyBorder="1" applyProtection="1">
      <protection locked="0"/>
    </xf>
    <xf numFmtId="164" fontId="0" fillId="0" borderId="11" xfId="0" applyNumberFormat="1" applyBorder="1" applyAlignment="1" applyProtection="1">
      <alignment horizontal="right"/>
      <protection locked="0"/>
    </xf>
    <xf numFmtId="164" fontId="0" fillId="0" borderId="11" xfId="0" applyNumberFormat="1" applyBorder="1" applyProtection="1">
      <protection locked="0"/>
    </xf>
    <xf numFmtId="164" fontId="0" fillId="0" borderId="7" xfId="0" applyNumberFormat="1" applyBorder="1" applyProtection="1">
      <protection locked="0"/>
    </xf>
    <xf numFmtId="0" fontId="0" fillId="0" borderId="0" xfId="0" applyAlignment="1" applyProtection="1">
      <alignment horizontal="left" indent="5"/>
      <protection locked="0"/>
    </xf>
    <xf numFmtId="0" fontId="0" fillId="0" borderId="0" xfId="0" quotePrefix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4" fontId="0" fillId="0" borderId="6" xfId="0" applyNumberFormat="1" applyBorder="1" applyProtection="1">
      <protection locked="0"/>
    </xf>
    <xf numFmtId="2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right"/>
      <protection locked="0"/>
    </xf>
    <xf numFmtId="14" fontId="0" fillId="0" borderId="0" xfId="0" applyNumberFormat="1" applyProtection="1">
      <protection locked="0"/>
    </xf>
    <xf numFmtId="1" fontId="0" fillId="0" borderId="10" xfId="0" applyNumberFormat="1" applyFont="1" applyFill="1" applyBorder="1" applyAlignment="1" applyProtection="1">
      <alignment horizontal="right"/>
    </xf>
    <xf numFmtId="1" fontId="0" fillId="0" borderId="10" xfId="0" applyNumberFormat="1" applyFill="1" applyBorder="1" applyProtection="1">
      <protection locked="0"/>
    </xf>
    <xf numFmtId="0" fontId="2" fillId="0" borderId="1" xfId="0" applyFont="1" applyBorder="1" applyProtection="1"/>
    <xf numFmtId="0" fontId="0" fillId="0" borderId="0" xfId="0" applyProtection="1"/>
    <xf numFmtId="0" fontId="0" fillId="0" borderId="0" xfId="0" applyFill="1" applyProtection="1"/>
    <xf numFmtId="2" fontId="0" fillId="0" borderId="0" xfId="0" applyNumberFormat="1" applyProtection="1"/>
    <xf numFmtId="164" fontId="0" fillId="0" borderId="0" xfId="0" applyNumberFormat="1" applyProtection="1"/>
    <xf numFmtId="164" fontId="1" fillId="0" borderId="0" xfId="0" applyNumberFormat="1" applyFont="1" applyProtection="1"/>
    <xf numFmtId="164" fontId="0" fillId="0" borderId="0" xfId="0" applyNumberFormat="1" applyFill="1" applyProtection="1"/>
    <xf numFmtId="14" fontId="2" fillId="0" borderId="0" xfId="0" applyNumberFormat="1" applyFont="1" applyProtection="1"/>
    <xf numFmtId="14" fontId="0" fillId="0" borderId="0" xfId="0" applyNumberFormat="1" applyProtection="1"/>
    <xf numFmtId="164" fontId="0" fillId="2" borderId="0" xfId="0" applyNumberFormat="1" applyFill="1" applyProtection="1"/>
    <xf numFmtId="0" fontId="0" fillId="0" borderId="0" xfId="0" applyAlignment="1" applyProtection="1">
      <alignment horizontal="left" indent="5"/>
    </xf>
    <xf numFmtId="164" fontId="0" fillId="3" borderId="0" xfId="0" applyNumberFormat="1" applyFill="1" applyProtection="1"/>
    <xf numFmtId="0" fontId="0" fillId="0" borderId="0" xfId="0" applyAlignment="1" applyProtection="1">
      <alignment horizontal="left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165" fontId="2" fillId="0" borderId="0" xfId="0" applyNumberFormat="1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/>
    <xf numFmtId="164" fontId="0" fillId="0" borderId="0" xfId="0" applyNumberForma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14" xfId="0" applyFont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2" fontId="0" fillId="0" borderId="0" xfId="0" applyNumberFormat="1" applyAlignment="1" applyProtection="1"/>
    <xf numFmtId="0" fontId="3" fillId="0" borderId="8" xfId="0" applyFont="1" applyBorder="1" applyProtection="1"/>
    <xf numFmtId="164" fontId="0" fillId="0" borderId="0" xfId="0" applyNumberFormat="1" applyAlignment="1" applyProtection="1">
      <alignment horizontal="center"/>
      <protection locked="0"/>
    </xf>
    <xf numFmtId="164" fontId="6" fillId="5" borderId="10" xfId="0" applyNumberFormat="1" applyFont="1" applyFill="1" applyBorder="1" applyAlignment="1" applyProtection="1">
      <alignment horizontal="center"/>
      <protection locked="0"/>
    </xf>
    <xf numFmtId="14" fontId="7" fillId="0" borderId="15" xfId="0" applyNumberFormat="1" applyFont="1" applyBorder="1" applyAlignment="1" applyProtection="1">
      <alignment horizontal="center" vertical="center"/>
      <protection locked="0"/>
    </xf>
    <xf numFmtId="1" fontId="7" fillId="0" borderId="16" xfId="0" applyNumberFormat="1" applyFont="1" applyBorder="1" applyAlignment="1" applyProtection="1">
      <alignment horizontal="center" vertical="center"/>
      <protection locked="0"/>
    </xf>
    <xf numFmtId="2" fontId="7" fillId="0" borderId="14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 indent="1"/>
    </xf>
    <xf numFmtId="0" fontId="0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64" fontId="3" fillId="0" borderId="8" xfId="0" applyNumberFormat="1" applyFont="1" applyBorder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0" fontId="0" fillId="0" borderId="18" xfId="0" applyFont="1" applyBorder="1" applyAlignment="1" applyProtection="1">
      <alignment horizontal="center"/>
      <protection locked="0"/>
    </xf>
    <xf numFmtId="164" fontId="0" fillId="0" borderId="18" xfId="0" applyNumberFormat="1" applyBorder="1" applyAlignment="1" applyProtection="1">
      <alignment horizontal="center"/>
      <protection locked="0"/>
    </xf>
    <xf numFmtId="0" fontId="2" fillId="0" borderId="18" xfId="0" applyFont="1" applyBorder="1" applyAlignment="1" applyProtection="1">
      <alignment horizontal="left" indent="1"/>
      <protection locked="0"/>
    </xf>
    <xf numFmtId="0" fontId="2" fillId="0" borderId="18" xfId="0" applyFont="1" applyBorder="1" applyAlignment="1" applyProtection="1">
      <alignment horizontal="center"/>
      <protection locked="0"/>
    </xf>
    <xf numFmtId="1" fontId="2" fillId="0" borderId="18" xfId="0" applyNumberFormat="1" applyFont="1" applyBorder="1" applyAlignment="1" applyProtection="1">
      <alignment horizontal="center"/>
      <protection locked="0"/>
    </xf>
    <xf numFmtId="1" fontId="3" fillId="0" borderId="8" xfId="0" applyNumberFormat="1" applyFont="1" applyBorder="1" applyAlignment="1" applyProtection="1">
      <alignment horizontal="center"/>
      <protection locked="0"/>
    </xf>
    <xf numFmtId="1" fontId="3" fillId="0" borderId="9" xfId="0" applyNumberFormat="1" applyFont="1" applyBorder="1" applyAlignment="1" applyProtection="1">
      <alignment horizontal="center"/>
      <protection locked="0"/>
    </xf>
    <xf numFmtId="1" fontId="3" fillId="0" borderId="10" xfId="0" applyNumberFormat="1" applyFont="1" applyBorder="1" applyAlignment="1" applyProtection="1">
      <alignment horizontal="center"/>
      <protection locked="0"/>
    </xf>
    <xf numFmtId="2" fontId="8" fillId="7" borderId="9" xfId="0" applyNumberFormat="1" applyFont="1" applyFill="1" applyBorder="1" applyAlignment="1" applyProtection="1">
      <alignment horizontal="center"/>
      <protection locked="0"/>
    </xf>
    <xf numFmtId="2" fontId="8" fillId="6" borderId="9" xfId="0" applyNumberFormat="1" applyFont="1" applyFill="1" applyBorder="1" applyAlignment="1" applyProtection="1">
      <alignment horizontal="center"/>
      <protection locked="0"/>
    </xf>
    <xf numFmtId="2" fontId="8" fillId="2" borderId="10" xfId="0" applyNumberFormat="1" applyFont="1" applyFill="1" applyBorder="1" applyAlignment="1" applyProtection="1">
      <alignment horizontal="center"/>
      <protection locked="0"/>
    </xf>
    <xf numFmtId="166" fontId="0" fillId="4" borderId="10" xfId="0" applyNumberFormat="1" applyFont="1" applyFill="1" applyBorder="1" applyAlignment="1" applyProtection="1">
      <alignment horizontal="right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0" fillId="0" borderId="18" xfId="0" applyNumberFormat="1" applyBorder="1" applyAlignment="1" applyProtection="1">
      <alignment horizontal="center"/>
      <protection locked="0"/>
    </xf>
    <xf numFmtId="0" fontId="9" fillId="5" borderId="2" xfId="0" applyFont="1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6" xfId="0" applyFill="1" applyBorder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4" xfId="0" applyNumberFormat="1" applyBorder="1" applyAlignment="1" applyProtection="1">
      <alignment horizontal="center" vertical="center"/>
      <protection locked="0"/>
    </xf>
    <xf numFmtId="164" fontId="0" fillId="0" borderId="6" xfId="0" applyNumberForma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  <protection locked="0"/>
    </xf>
    <xf numFmtId="164" fontId="0" fillId="0" borderId="5" xfId="0" applyNumberFormat="1" applyBorder="1" applyAlignment="1" applyProtection="1">
      <alignment horizontal="center" vertical="center"/>
      <protection locked="0"/>
    </xf>
    <xf numFmtId="164" fontId="0" fillId="0" borderId="7" xfId="0" applyNumberFormat="1" applyBorder="1" applyAlignment="1" applyProtection="1">
      <alignment horizontal="center" vertical="center"/>
      <protection locked="0"/>
    </xf>
    <xf numFmtId="164" fontId="3" fillId="0" borderId="8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164" fontId="6" fillId="5" borderId="9" xfId="0" applyNumberFormat="1" applyFont="1" applyFill="1" applyBorder="1" applyAlignment="1">
      <alignment horizontal="center"/>
    </xf>
    <xf numFmtId="164" fontId="6" fillId="5" borderId="10" xfId="0" applyNumberFormat="1" applyFont="1" applyFill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4" fillId="0" borderId="15" xfId="0" applyFon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</xf>
    <xf numFmtId="0" fontId="3" fillId="0" borderId="16" xfId="0" applyFont="1" applyBorder="1" applyAlignment="1" applyProtection="1">
      <alignment horizontal="center" vertical="center"/>
    </xf>
    <xf numFmtId="0" fontId="12" fillId="0" borderId="12" xfId="0" applyFont="1" applyBorder="1" applyAlignment="1">
      <alignment vertical="center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12" fillId="0" borderId="3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5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12" fillId="0" borderId="7" xfId="0" applyFont="1" applyBorder="1" applyAlignment="1">
      <alignment vertical="center"/>
    </xf>
    <xf numFmtId="0" fontId="14" fillId="0" borderId="2" xfId="0" applyFont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14" fillId="0" borderId="6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a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Temperatura!$AC$4</c:f>
              <c:strCache>
                <c:ptCount val="1"/>
                <c:pt idx="0">
                  <c:v>Temperatura (ᵒc)</c:v>
                </c:pt>
              </c:strCache>
            </c:strRef>
          </c:tx>
          <c:marker>
            <c:symbol val="none"/>
          </c:marker>
          <c:val>
            <c:numRef>
              <c:f>Temperatura!$AC$5:$AC$370</c:f>
              <c:numCache>
                <c:formatCode>0.0</c:formatCode>
                <c:ptCount val="366"/>
                <c:pt idx="0">
                  <c:v>10.4375</c:v>
                </c:pt>
                <c:pt idx="1">
                  <c:v>11.812500000000002</c:v>
                </c:pt>
                <c:pt idx="2">
                  <c:v>9.9375</c:v>
                </c:pt>
                <c:pt idx="3">
                  <c:v>11.054166666666667</c:v>
                </c:pt>
                <c:pt idx="4">
                  <c:v>10.741666666666667</c:v>
                </c:pt>
                <c:pt idx="5">
                  <c:v>10.029166666666667</c:v>
                </c:pt>
                <c:pt idx="6">
                  <c:v>14.533333333333333</c:v>
                </c:pt>
                <c:pt idx="7">
                  <c:v>17.19166666666667</c:v>
                </c:pt>
                <c:pt idx="8">
                  <c:v>14.420833333333334</c:v>
                </c:pt>
                <c:pt idx="9">
                  <c:v>11.595833333333333</c:v>
                </c:pt>
                <c:pt idx="10">
                  <c:v>13.916666666666664</c:v>
                </c:pt>
                <c:pt idx="11">
                  <c:v>10.804166666666667</c:v>
                </c:pt>
                <c:pt idx="12">
                  <c:v>8.9583333333333339</c:v>
                </c:pt>
                <c:pt idx="13">
                  <c:v>8.7416666666666689</c:v>
                </c:pt>
                <c:pt idx="14">
                  <c:v>8.125</c:v>
                </c:pt>
                <c:pt idx="15">
                  <c:v>7.3749999999999991</c:v>
                </c:pt>
                <c:pt idx="16">
                  <c:v>5.6041666666666652</c:v>
                </c:pt>
                <c:pt idx="17">
                  <c:v>8.25</c:v>
                </c:pt>
                <c:pt idx="18">
                  <c:v>8.3749999999999982</c:v>
                </c:pt>
                <c:pt idx="19">
                  <c:v>7.1708333333333334</c:v>
                </c:pt>
                <c:pt idx="20">
                  <c:v>6.9375</c:v>
                </c:pt>
                <c:pt idx="21">
                  <c:v>8.3541666666666679</c:v>
                </c:pt>
                <c:pt idx="22">
                  <c:v>9.7916666666666696</c:v>
                </c:pt>
                <c:pt idx="23">
                  <c:v>9.7458333333333353</c:v>
                </c:pt>
                <c:pt idx="24">
                  <c:v>12.095833333333333</c:v>
                </c:pt>
                <c:pt idx="25">
                  <c:v>11.920833333333333</c:v>
                </c:pt>
                <c:pt idx="26">
                  <c:v>10.187500000000002</c:v>
                </c:pt>
                <c:pt idx="27">
                  <c:v>10.212499999999999</c:v>
                </c:pt>
                <c:pt idx="28">
                  <c:v>10.370833333333334</c:v>
                </c:pt>
                <c:pt idx="29">
                  <c:v>10.545833333333331</c:v>
                </c:pt>
                <c:pt idx="30">
                  <c:v>11.754166666666668</c:v>
                </c:pt>
                <c:pt idx="31">
                  <c:v>12.625000000000002</c:v>
                </c:pt>
                <c:pt idx="32">
                  <c:v>9.9583333333333339</c:v>
                </c:pt>
                <c:pt idx="33">
                  <c:v>11.091666666666669</c:v>
                </c:pt>
                <c:pt idx="34">
                  <c:v>8.1125000000000025</c:v>
                </c:pt>
                <c:pt idx="35">
                  <c:v>7.6291666666666673</c:v>
                </c:pt>
                <c:pt idx="36">
                  <c:v>10.0625</c:v>
                </c:pt>
                <c:pt idx="37">
                  <c:v>11.687499999999998</c:v>
                </c:pt>
                <c:pt idx="38">
                  <c:v>13.266666666666666</c:v>
                </c:pt>
                <c:pt idx="39">
                  <c:v>15.658333333333333</c:v>
                </c:pt>
                <c:pt idx="40">
                  <c:v>13.491666666666667</c:v>
                </c:pt>
                <c:pt idx="41">
                  <c:v>11.479166666666666</c:v>
                </c:pt>
                <c:pt idx="42">
                  <c:v>13.962499999999999</c:v>
                </c:pt>
                <c:pt idx="43">
                  <c:v>17.008333333333336</c:v>
                </c:pt>
                <c:pt idx="44">
                  <c:v>12.950000000000001</c:v>
                </c:pt>
                <c:pt idx="45">
                  <c:v>10.458333333333334</c:v>
                </c:pt>
                <c:pt idx="46">
                  <c:v>7.9958333333333327</c:v>
                </c:pt>
                <c:pt idx="47">
                  <c:v>4.6041666666666661</c:v>
                </c:pt>
                <c:pt idx="48">
                  <c:v>5.7166666666666659</c:v>
                </c:pt>
                <c:pt idx="49">
                  <c:v>6.4666666666666659</c:v>
                </c:pt>
                <c:pt idx="50">
                  <c:v>6.958333333333333</c:v>
                </c:pt>
                <c:pt idx="51">
                  <c:v>8.2249999999999996</c:v>
                </c:pt>
                <c:pt idx="52">
                  <c:v>13.145833333333337</c:v>
                </c:pt>
                <c:pt idx="53">
                  <c:v>13.029166666666669</c:v>
                </c:pt>
                <c:pt idx="54">
                  <c:v>11.454166666666671</c:v>
                </c:pt>
                <c:pt idx="55">
                  <c:v>13.091666666666667</c:v>
                </c:pt>
                <c:pt idx="56">
                  <c:v>10.554166666666667</c:v>
                </c:pt>
                <c:pt idx="57">
                  <c:v>7.6208333333333336</c:v>
                </c:pt>
                <c:pt idx="58">
                  <c:v>9.4541666666666675</c:v>
                </c:pt>
                <c:pt idx="59">
                  <c:v>11.033333333333333</c:v>
                </c:pt>
                <c:pt idx="60">
                  <c:v>10.304166666666665</c:v>
                </c:pt>
                <c:pt idx="61">
                  <c:v>14.279166666666669</c:v>
                </c:pt>
                <c:pt idx="62">
                  <c:v>12.483333333333334</c:v>
                </c:pt>
                <c:pt idx="63">
                  <c:v>10.762499999999998</c:v>
                </c:pt>
                <c:pt idx="64">
                  <c:v>11.566666666666668</c:v>
                </c:pt>
                <c:pt idx="65">
                  <c:v>10.170833333333333</c:v>
                </c:pt>
                <c:pt idx="66">
                  <c:v>9.2250000000000014</c:v>
                </c:pt>
                <c:pt idx="67">
                  <c:v>9.5000000000000018</c:v>
                </c:pt>
                <c:pt idx="68">
                  <c:v>7.404166666666665</c:v>
                </c:pt>
                <c:pt idx="69">
                  <c:v>9.7999999999999989</c:v>
                </c:pt>
                <c:pt idx="70">
                  <c:v>9.5958333333333332</c:v>
                </c:pt>
                <c:pt idx="71">
                  <c:v>8.8375000000000004</c:v>
                </c:pt>
                <c:pt idx="72">
                  <c:v>7.6291666666666664</c:v>
                </c:pt>
                <c:pt idx="73">
                  <c:v>8.8333333333333339</c:v>
                </c:pt>
                <c:pt idx="74">
                  <c:v>8.4208333333333325</c:v>
                </c:pt>
                <c:pt idx="75">
                  <c:v>8.4708333333333332</c:v>
                </c:pt>
                <c:pt idx="76">
                  <c:v>9.1083333333333325</c:v>
                </c:pt>
                <c:pt idx="77">
                  <c:v>9.4958333333333318</c:v>
                </c:pt>
                <c:pt idx="78">
                  <c:v>11.216666666666667</c:v>
                </c:pt>
                <c:pt idx="79">
                  <c:v>11.533333333333337</c:v>
                </c:pt>
                <c:pt idx="80">
                  <c:v>10.570833333333331</c:v>
                </c:pt>
                <c:pt idx="81">
                  <c:v>12.645833333333334</c:v>
                </c:pt>
                <c:pt idx="82">
                  <c:v>13.420833333333333</c:v>
                </c:pt>
                <c:pt idx="83">
                  <c:v>11.554166666666665</c:v>
                </c:pt>
                <c:pt idx="84">
                  <c:v>11.200000000000001</c:v>
                </c:pt>
                <c:pt idx="85">
                  <c:v>12.512500000000001</c:v>
                </c:pt>
                <c:pt idx="86">
                  <c:v>12.858333333333329</c:v>
                </c:pt>
                <c:pt idx="87">
                  <c:v>13.504166666666668</c:v>
                </c:pt>
                <c:pt idx="88">
                  <c:v>14.512500000000001</c:v>
                </c:pt>
                <c:pt idx="89">
                  <c:v>12.629166666666665</c:v>
                </c:pt>
                <c:pt idx="90">
                  <c:v>13.420833333333334</c:v>
                </c:pt>
                <c:pt idx="91">
                  <c:v>10.712499999999999</c:v>
                </c:pt>
                <c:pt idx="92">
                  <c:v>11.483333333333334</c:v>
                </c:pt>
                <c:pt idx="93">
                  <c:v>11.362499999999997</c:v>
                </c:pt>
                <c:pt idx="94">
                  <c:v>12.699999999999998</c:v>
                </c:pt>
                <c:pt idx="95">
                  <c:v>13.304166666666667</c:v>
                </c:pt>
                <c:pt idx="96">
                  <c:v>15.000000000000002</c:v>
                </c:pt>
                <c:pt idx="97">
                  <c:v>13.616666666666667</c:v>
                </c:pt>
                <c:pt idx="98">
                  <c:v>11.141666666666667</c:v>
                </c:pt>
                <c:pt idx="99">
                  <c:v>12.937499999999998</c:v>
                </c:pt>
                <c:pt idx="100">
                  <c:v>12.775000000000004</c:v>
                </c:pt>
                <c:pt idx="101">
                  <c:v>14.450000000000001</c:v>
                </c:pt>
                <c:pt idx="102">
                  <c:v>14.274999999999999</c:v>
                </c:pt>
                <c:pt idx="103">
                  <c:v>14.762500000000001</c:v>
                </c:pt>
                <c:pt idx="104">
                  <c:v>14.275</c:v>
                </c:pt>
                <c:pt idx="105">
                  <c:v>13.270833333333336</c:v>
                </c:pt>
                <c:pt idx="106">
                  <c:v>15.779166666666669</c:v>
                </c:pt>
                <c:pt idx="107">
                  <c:v>16.970833333333335</c:v>
                </c:pt>
                <c:pt idx="108">
                  <c:v>14.308333333333332</c:v>
                </c:pt>
                <c:pt idx="109">
                  <c:v>12.358333333333336</c:v>
                </c:pt>
                <c:pt idx="110">
                  <c:v>15.44166666666667</c:v>
                </c:pt>
                <c:pt idx="111">
                  <c:v>14.941666666666665</c:v>
                </c:pt>
                <c:pt idx="112">
                  <c:v>14.049999999999999</c:v>
                </c:pt>
                <c:pt idx="113">
                  <c:v>14.162500000000003</c:v>
                </c:pt>
                <c:pt idx="114">
                  <c:v>15.016666666666666</c:v>
                </c:pt>
                <c:pt idx="115">
                  <c:v>12.433333333333332</c:v>
                </c:pt>
                <c:pt idx="116">
                  <c:v>12.691666666666665</c:v>
                </c:pt>
                <c:pt idx="117">
                  <c:v>13.291666666666666</c:v>
                </c:pt>
                <c:pt idx="118">
                  <c:v>10.958333333333334</c:v>
                </c:pt>
                <c:pt idx="119">
                  <c:v>11.941666666666668</c:v>
                </c:pt>
                <c:pt idx="120">
                  <c:v>14.62916666666667</c:v>
                </c:pt>
                <c:pt idx="121">
                  <c:v>13.687500000000002</c:v>
                </c:pt>
                <c:pt idx="122">
                  <c:v>14.412500000000003</c:v>
                </c:pt>
                <c:pt idx="123">
                  <c:v>14.445833333333335</c:v>
                </c:pt>
                <c:pt idx="124">
                  <c:v>14.108333333333334</c:v>
                </c:pt>
                <c:pt idx="125">
                  <c:v>14.60416666666667</c:v>
                </c:pt>
                <c:pt idx="126">
                  <c:v>15.4625</c:v>
                </c:pt>
                <c:pt idx="127">
                  <c:v>15.529166666666663</c:v>
                </c:pt>
                <c:pt idx="128">
                  <c:v>14.491666666666665</c:v>
                </c:pt>
                <c:pt idx="129">
                  <c:v>16.324999999999996</c:v>
                </c:pt>
                <c:pt idx="130">
                  <c:v>13.270833333333336</c:v>
                </c:pt>
                <c:pt idx="131">
                  <c:v>14.549999999999999</c:v>
                </c:pt>
                <c:pt idx="132">
                  <c:v>15.045833333333334</c:v>
                </c:pt>
                <c:pt idx="133">
                  <c:v>16.691666666666666</c:v>
                </c:pt>
                <c:pt idx="134">
                  <c:v>19.466666666666665</c:v>
                </c:pt>
                <c:pt idx="135">
                  <c:v>17.487500000000001</c:v>
                </c:pt>
                <c:pt idx="136">
                  <c:v>15.829166666666667</c:v>
                </c:pt>
                <c:pt idx="137">
                  <c:v>14.850000000000001</c:v>
                </c:pt>
                <c:pt idx="138">
                  <c:v>15.712499999999993</c:v>
                </c:pt>
                <c:pt idx="139">
                  <c:v>18.795833333333334</c:v>
                </c:pt>
                <c:pt idx="140">
                  <c:v>17.850000000000005</c:v>
                </c:pt>
                <c:pt idx="141">
                  <c:v>17.12083333333333</c:v>
                </c:pt>
                <c:pt idx="142">
                  <c:v>17.212500000000002</c:v>
                </c:pt>
                <c:pt idx="143">
                  <c:v>16.466666666666665</c:v>
                </c:pt>
                <c:pt idx="144">
                  <c:v>15.945833333333333</c:v>
                </c:pt>
                <c:pt idx="145">
                  <c:v>17.316666666666666</c:v>
                </c:pt>
                <c:pt idx="146">
                  <c:v>17.166666666666668</c:v>
                </c:pt>
                <c:pt idx="147">
                  <c:v>17.408333333333335</c:v>
                </c:pt>
                <c:pt idx="148">
                  <c:v>18.454166666666666</c:v>
                </c:pt>
                <c:pt idx="149">
                  <c:v>20.187500000000004</c:v>
                </c:pt>
                <c:pt idx="150">
                  <c:v>18.874999999999996</c:v>
                </c:pt>
                <c:pt idx="151">
                  <c:v>18.308333333333334</c:v>
                </c:pt>
                <c:pt idx="152">
                  <c:v>17.958333333333336</c:v>
                </c:pt>
                <c:pt idx="153">
                  <c:v>18.029166666666665</c:v>
                </c:pt>
                <c:pt idx="154">
                  <c:v>18.516666666666669</c:v>
                </c:pt>
                <c:pt idx="155">
                  <c:v>18.537500000000005</c:v>
                </c:pt>
                <c:pt idx="156">
                  <c:v>19.579166666666669</c:v>
                </c:pt>
                <c:pt idx="157">
                  <c:v>19.495833333333334</c:v>
                </c:pt>
                <c:pt idx="158">
                  <c:v>20.829166666666662</c:v>
                </c:pt>
                <c:pt idx="159">
                  <c:v>21.083333333333332</c:v>
                </c:pt>
                <c:pt idx="160">
                  <c:v>21.779166666666665</c:v>
                </c:pt>
                <c:pt idx="161">
                  <c:v>22.091666666666665</c:v>
                </c:pt>
                <c:pt idx="162">
                  <c:v>21.458333333333332</c:v>
                </c:pt>
                <c:pt idx="163">
                  <c:v>22.429166666666671</c:v>
                </c:pt>
                <c:pt idx="164">
                  <c:v>25.845833333333331</c:v>
                </c:pt>
                <c:pt idx="165">
                  <c:v>23.825000000000003</c:v>
                </c:pt>
                <c:pt idx="166">
                  <c:v>20.695833333333336</c:v>
                </c:pt>
                <c:pt idx="167">
                  <c:v>19.379166666666666</c:v>
                </c:pt>
                <c:pt idx="168">
                  <c:v>18.879166666666666</c:v>
                </c:pt>
                <c:pt idx="169">
                  <c:v>18.175000000000001</c:v>
                </c:pt>
                <c:pt idx="170">
                  <c:v>19.195833333333336</c:v>
                </c:pt>
                <c:pt idx="171">
                  <c:v>19.420833333333338</c:v>
                </c:pt>
                <c:pt idx="172">
                  <c:v>20.104166666666671</c:v>
                </c:pt>
                <c:pt idx="173">
                  <c:v>21.470833333333328</c:v>
                </c:pt>
                <c:pt idx="174">
                  <c:v>22.245833333333334</c:v>
                </c:pt>
                <c:pt idx="175">
                  <c:v>21.612500000000001</c:v>
                </c:pt>
                <c:pt idx="176">
                  <c:v>23.250000000000004</c:v>
                </c:pt>
                <c:pt idx="177">
                  <c:v>22.858333333333324</c:v>
                </c:pt>
                <c:pt idx="178">
                  <c:v>21.879166666666663</c:v>
                </c:pt>
                <c:pt idx="179">
                  <c:v>22.041666666666661</c:v>
                </c:pt>
                <c:pt idx="180">
                  <c:v>23.058333333333334</c:v>
                </c:pt>
                <c:pt idx="181">
                  <c:v>23.445833333333336</c:v>
                </c:pt>
                <c:pt idx="182">
                  <c:v>23.412499999999998</c:v>
                </c:pt>
                <c:pt idx="183">
                  <c:v>23.358333333333334</c:v>
                </c:pt>
                <c:pt idx="184">
                  <c:v>23.479166666666661</c:v>
                </c:pt>
                <c:pt idx="185">
                  <c:v>23.729166666666668</c:v>
                </c:pt>
                <c:pt idx="186">
                  <c:v>25.008333333333336</c:v>
                </c:pt>
                <c:pt idx="187">
                  <c:v>24.804166666666671</c:v>
                </c:pt>
                <c:pt idx="188">
                  <c:v>24.583333333333332</c:v>
                </c:pt>
                <c:pt idx="189">
                  <c:v>25.641666666666666</c:v>
                </c:pt>
                <c:pt idx="190">
                  <c:v>25.795833333333331</c:v>
                </c:pt>
                <c:pt idx="191">
                  <c:v>25.3</c:v>
                </c:pt>
                <c:pt idx="192">
                  <c:v>24.999999999999996</c:v>
                </c:pt>
                <c:pt idx="193">
                  <c:v>23.950000000000003</c:v>
                </c:pt>
                <c:pt idx="194">
                  <c:v>23.708333333333339</c:v>
                </c:pt>
                <c:pt idx="195">
                  <c:v>21.320833333333333</c:v>
                </c:pt>
                <c:pt idx="196">
                  <c:v>21.008333333333336</c:v>
                </c:pt>
                <c:pt idx="197">
                  <c:v>21.674999999999997</c:v>
                </c:pt>
                <c:pt idx="198">
                  <c:v>21.979166666666668</c:v>
                </c:pt>
                <c:pt idx="199">
                  <c:v>22.154166666666669</c:v>
                </c:pt>
                <c:pt idx="200">
                  <c:v>22.566666666666663</c:v>
                </c:pt>
                <c:pt idx="201">
                  <c:v>23.266666666666666</c:v>
                </c:pt>
                <c:pt idx="202">
                  <c:v>24.566666666666666</c:v>
                </c:pt>
                <c:pt idx="203">
                  <c:v>23.591666666666672</c:v>
                </c:pt>
                <c:pt idx="204">
                  <c:v>22.879166666666666</c:v>
                </c:pt>
                <c:pt idx="205">
                  <c:v>23.575000000000003</c:v>
                </c:pt>
                <c:pt idx="206">
                  <c:v>24.650000000000002</c:v>
                </c:pt>
                <c:pt idx="207">
                  <c:v>24.525000000000006</c:v>
                </c:pt>
                <c:pt idx="208">
                  <c:v>24.912499999999998</c:v>
                </c:pt>
                <c:pt idx="209">
                  <c:v>24.679166666666664</c:v>
                </c:pt>
                <c:pt idx="210">
                  <c:v>24.645833333333332</c:v>
                </c:pt>
                <c:pt idx="211">
                  <c:v>24.695833333333329</c:v>
                </c:pt>
                <c:pt idx="212">
                  <c:v>25.358333333333334</c:v>
                </c:pt>
                <c:pt idx="213">
                  <c:v>24.762499999999999</c:v>
                </c:pt>
                <c:pt idx="214">
                  <c:v>25.570833333333336</c:v>
                </c:pt>
                <c:pt idx="215">
                  <c:v>24.849999999999998</c:v>
                </c:pt>
                <c:pt idx="216">
                  <c:v>25.716666666666669</c:v>
                </c:pt>
                <c:pt idx="217">
                  <c:v>25.245833333333337</c:v>
                </c:pt>
                <c:pt idx="218">
                  <c:v>23.583333333333339</c:v>
                </c:pt>
                <c:pt idx="219">
                  <c:v>23.433333333333337</c:v>
                </c:pt>
                <c:pt idx="220">
                  <c:v>24.733333333333334</c:v>
                </c:pt>
                <c:pt idx="221">
                  <c:v>24.533333333333331</c:v>
                </c:pt>
                <c:pt idx="222">
                  <c:v>22.44583333333334</c:v>
                </c:pt>
                <c:pt idx="223">
                  <c:v>21.341666666666669</c:v>
                </c:pt>
                <c:pt idx="224">
                  <c:v>21.845833333333335</c:v>
                </c:pt>
                <c:pt idx="225">
                  <c:v>22.3</c:v>
                </c:pt>
                <c:pt idx="226">
                  <c:v>22.570833333333336</c:v>
                </c:pt>
                <c:pt idx="227">
                  <c:v>22.858333333333334</c:v>
                </c:pt>
                <c:pt idx="228">
                  <c:v>23.870833333333334</c:v>
                </c:pt>
                <c:pt idx="229">
                  <c:v>24.633333333333336</c:v>
                </c:pt>
                <c:pt idx="230">
                  <c:v>25.070833333333336</c:v>
                </c:pt>
                <c:pt idx="231">
                  <c:v>25.241666666666674</c:v>
                </c:pt>
                <c:pt idx="232">
                  <c:v>25.220833333333331</c:v>
                </c:pt>
                <c:pt idx="233">
                  <c:v>24.195833333333336</c:v>
                </c:pt>
                <c:pt idx="234">
                  <c:v>24.004166666666666</c:v>
                </c:pt>
                <c:pt idx="235">
                  <c:v>23.462499999999995</c:v>
                </c:pt>
                <c:pt idx="236">
                  <c:v>22.8</c:v>
                </c:pt>
                <c:pt idx="237">
                  <c:v>23.016666666666669</c:v>
                </c:pt>
                <c:pt idx="238">
                  <c:v>22.450000000000003</c:v>
                </c:pt>
                <c:pt idx="239">
                  <c:v>23.266666666666669</c:v>
                </c:pt>
                <c:pt idx="240">
                  <c:v>23.975000000000005</c:v>
                </c:pt>
                <c:pt idx="241">
                  <c:v>23.379166666666666</c:v>
                </c:pt>
                <c:pt idx="242">
                  <c:v>22.295833333333331</c:v>
                </c:pt>
                <c:pt idx="243">
                  <c:v>23.733333333333334</c:v>
                </c:pt>
                <c:pt idx="244">
                  <c:v>24</c:v>
                </c:pt>
                <c:pt idx="245">
                  <c:v>23.629166666666663</c:v>
                </c:pt>
                <c:pt idx="246">
                  <c:v>24.25</c:v>
                </c:pt>
                <c:pt idx="247">
                  <c:v>25.237500000000001</c:v>
                </c:pt>
                <c:pt idx="248">
                  <c:v>26.124999999999996</c:v>
                </c:pt>
                <c:pt idx="249">
                  <c:v>24.570833333333329</c:v>
                </c:pt>
                <c:pt idx="250">
                  <c:v>23.970833333333331</c:v>
                </c:pt>
                <c:pt idx="251">
                  <c:v>23.279166666666669</c:v>
                </c:pt>
                <c:pt idx="252">
                  <c:v>24.487500000000001</c:v>
                </c:pt>
                <c:pt idx="253">
                  <c:v>23.970833333333335</c:v>
                </c:pt>
                <c:pt idx="254">
                  <c:v>23.408333333333335</c:v>
                </c:pt>
                <c:pt idx="255">
                  <c:v>23.587499999999995</c:v>
                </c:pt>
                <c:pt idx="256">
                  <c:v>23.533333333333331</c:v>
                </c:pt>
                <c:pt idx="257">
                  <c:v>19.495833333333334</c:v>
                </c:pt>
                <c:pt idx="258">
                  <c:v>17.333333333333332</c:v>
                </c:pt>
                <c:pt idx="259">
                  <c:v>18.637499999999999</c:v>
                </c:pt>
                <c:pt idx="260">
                  <c:v>18.899999999999995</c:v>
                </c:pt>
                <c:pt idx="261">
                  <c:v>18.783333333333335</c:v>
                </c:pt>
                <c:pt idx="262">
                  <c:v>19.229166666666668</c:v>
                </c:pt>
                <c:pt idx="263">
                  <c:v>18.524999999999999</c:v>
                </c:pt>
                <c:pt idx="264">
                  <c:v>19.004166666666666</c:v>
                </c:pt>
                <c:pt idx="265">
                  <c:v>21.020833333333332</c:v>
                </c:pt>
                <c:pt idx="266">
                  <c:v>20.779166666666669</c:v>
                </c:pt>
                <c:pt idx="267">
                  <c:v>19.533333333333335</c:v>
                </c:pt>
                <c:pt idx="268">
                  <c:v>20.020833333333332</c:v>
                </c:pt>
                <c:pt idx="269">
                  <c:v>19.320833333333329</c:v>
                </c:pt>
                <c:pt idx="270">
                  <c:v>20.220833333333335</c:v>
                </c:pt>
                <c:pt idx="271">
                  <c:v>20.587500000000002</c:v>
                </c:pt>
                <c:pt idx="272">
                  <c:v>18.937500000000004</c:v>
                </c:pt>
                <c:pt idx="273">
                  <c:v>19.666666666666668</c:v>
                </c:pt>
                <c:pt idx="274">
                  <c:v>19.824999999999999</c:v>
                </c:pt>
                <c:pt idx="275">
                  <c:v>20.774999999999999</c:v>
                </c:pt>
                <c:pt idx="276">
                  <c:v>21.024999999999999</c:v>
                </c:pt>
                <c:pt idx="277">
                  <c:v>20.866666666666664</c:v>
                </c:pt>
                <c:pt idx="278">
                  <c:v>20.649999999999995</c:v>
                </c:pt>
                <c:pt idx="279">
                  <c:v>18.754166666666666</c:v>
                </c:pt>
                <c:pt idx="280">
                  <c:v>18.179166666666671</c:v>
                </c:pt>
                <c:pt idx="281">
                  <c:v>19.287499999999998</c:v>
                </c:pt>
                <c:pt idx="282">
                  <c:v>16.808333333333334</c:v>
                </c:pt>
                <c:pt idx="283">
                  <c:v>16.0625</c:v>
                </c:pt>
                <c:pt idx="284">
                  <c:v>15.529166666666667</c:v>
                </c:pt>
                <c:pt idx="285">
                  <c:v>15.816666666666668</c:v>
                </c:pt>
                <c:pt idx="286">
                  <c:v>16.824999999999999</c:v>
                </c:pt>
                <c:pt idx="287">
                  <c:v>15.287500000000001</c:v>
                </c:pt>
                <c:pt idx="288">
                  <c:v>16.25416666666667</c:v>
                </c:pt>
                <c:pt idx="289">
                  <c:v>17.066666666666666</c:v>
                </c:pt>
                <c:pt idx="290">
                  <c:v>18.029166666666665</c:v>
                </c:pt>
                <c:pt idx="291">
                  <c:v>17.779166666666665</c:v>
                </c:pt>
                <c:pt idx="292">
                  <c:v>16.654166666666665</c:v>
                </c:pt>
                <c:pt idx="293">
                  <c:v>14.941666666666665</c:v>
                </c:pt>
                <c:pt idx="294">
                  <c:v>11.97916666666667</c:v>
                </c:pt>
                <c:pt idx="295">
                  <c:v>15.9625</c:v>
                </c:pt>
                <c:pt idx="296">
                  <c:v>18.275000000000002</c:v>
                </c:pt>
                <c:pt idx="297">
                  <c:v>20.054166666666671</c:v>
                </c:pt>
                <c:pt idx="298">
                  <c:v>18.579166666666666</c:v>
                </c:pt>
                <c:pt idx="299">
                  <c:v>18.704166666666669</c:v>
                </c:pt>
                <c:pt idx="300">
                  <c:v>17.341666666666669</c:v>
                </c:pt>
                <c:pt idx="301">
                  <c:v>16.804166666666664</c:v>
                </c:pt>
                <c:pt idx="302">
                  <c:v>15.954166666666666</c:v>
                </c:pt>
                <c:pt idx="303">
                  <c:v>15.4125</c:v>
                </c:pt>
                <c:pt idx="304">
                  <c:v>16.483333333333331</c:v>
                </c:pt>
                <c:pt idx="305">
                  <c:v>16.862499999999997</c:v>
                </c:pt>
                <c:pt idx="306">
                  <c:v>14.12916666666667</c:v>
                </c:pt>
                <c:pt idx="307">
                  <c:v>13.395833333333334</c:v>
                </c:pt>
                <c:pt idx="308">
                  <c:v>15.84166666666667</c:v>
                </c:pt>
                <c:pt idx="309">
                  <c:v>16.620833333333334</c:v>
                </c:pt>
                <c:pt idx="310">
                  <c:v>12.858333333333334</c:v>
                </c:pt>
                <c:pt idx="311">
                  <c:v>9.7458333333333336</c:v>
                </c:pt>
                <c:pt idx="312">
                  <c:v>8.74583333333333</c:v>
                </c:pt>
                <c:pt idx="313">
                  <c:v>14.091666666666667</c:v>
                </c:pt>
                <c:pt idx="314">
                  <c:v>13.575000000000001</c:v>
                </c:pt>
                <c:pt idx="315">
                  <c:v>14.637499999999998</c:v>
                </c:pt>
                <c:pt idx="316">
                  <c:v>11.258333333333333</c:v>
                </c:pt>
                <c:pt idx="317">
                  <c:v>12.679166666666669</c:v>
                </c:pt>
                <c:pt idx="318">
                  <c:v>10.500000000000002</c:v>
                </c:pt>
                <c:pt idx="319">
                  <c:v>8.2166666666666686</c:v>
                </c:pt>
                <c:pt idx="320">
                  <c:v>9.0166666666666675</c:v>
                </c:pt>
                <c:pt idx="321">
                  <c:v>10.429166666666667</c:v>
                </c:pt>
                <c:pt idx="322">
                  <c:v>12.545833333333333</c:v>
                </c:pt>
                <c:pt idx="323">
                  <c:v>12.195833333333333</c:v>
                </c:pt>
                <c:pt idx="324">
                  <c:v>13.045833333333336</c:v>
                </c:pt>
                <c:pt idx="325">
                  <c:v>14.795833333333333</c:v>
                </c:pt>
                <c:pt idx="326">
                  <c:v>15.133333333333333</c:v>
                </c:pt>
                <c:pt idx="327">
                  <c:v>14.962499999999997</c:v>
                </c:pt>
                <c:pt idx="328">
                  <c:v>8.2583333333333346</c:v>
                </c:pt>
                <c:pt idx="329">
                  <c:v>7.55</c:v>
                </c:pt>
                <c:pt idx="330">
                  <c:v>12.091666666666667</c:v>
                </c:pt>
                <c:pt idx="331">
                  <c:v>11.533333333333333</c:v>
                </c:pt>
                <c:pt idx="332">
                  <c:v>12.516666666666666</c:v>
                </c:pt>
                <c:pt idx="333">
                  <c:v>11.145833333333334</c:v>
                </c:pt>
                <c:pt idx="334">
                  <c:v>10.433333333333335</c:v>
                </c:pt>
                <c:pt idx="335">
                  <c:v>8.0208333333333339</c:v>
                </c:pt>
                <c:pt idx="336">
                  <c:v>8.0458333333333325</c:v>
                </c:pt>
                <c:pt idx="337">
                  <c:v>8.5208333333333339</c:v>
                </c:pt>
                <c:pt idx="338">
                  <c:v>13.304166666666667</c:v>
                </c:pt>
                <c:pt idx="339">
                  <c:v>14.008333333333335</c:v>
                </c:pt>
                <c:pt idx="340">
                  <c:v>11.595833333333333</c:v>
                </c:pt>
                <c:pt idx="341">
                  <c:v>10.458333333333334</c:v>
                </c:pt>
                <c:pt idx="342">
                  <c:v>9.3250000000000011</c:v>
                </c:pt>
                <c:pt idx="343">
                  <c:v>9.3708333333333336</c:v>
                </c:pt>
                <c:pt idx="344">
                  <c:v>10.083333333333336</c:v>
                </c:pt>
                <c:pt idx="345">
                  <c:v>7.654166666666665</c:v>
                </c:pt>
                <c:pt idx="346">
                  <c:v>6.6583333333333341</c:v>
                </c:pt>
                <c:pt idx="347">
                  <c:v>8.15</c:v>
                </c:pt>
                <c:pt idx="348">
                  <c:v>10.133333333333335</c:v>
                </c:pt>
                <c:pt idx="349">
                  <c:v>9.0666666666666664</c:v>
                </c:pt>
                <c:pt idx="350">
                  <c:v>11.191666666666665</c:v>
                </c:pt>
                <c:pt idx="351">
                  <c:v>10.991666666666667</c:v>
                </c:pt>
                <c:pt idx="352">
                  <c:v>9.2333333333333325</c:v>
                </c:pt>
                <c:pt idx="353">
                  <c:v>8.4791666666666661</c:v>
                </c:pt>
                <c:pt idx="354">
                  <c:v>9.7833333333333332</c:v>
                </c:pt>
                <c:pt idx="355">
                  <c:v>9.3916666666666657</c:v>
                </c:pt>
                <c:pt idx="356">
                  <c:v>8.2000000000000011</c:v>
                </c:pt>
                <c:pt idx="357">
                  <c:v>8.3583333333333325</c:v>
                </c:pt>
                <c:pt idx="358">
                  <c:v>7.5374999999999988</c:v>
                </c:pt>
                <c:pt idx="359">
                  <c:v>7.6541666666666677</c:v>
                </c:pt>
                <c:pt idx="360">
                  <c:v>8.9541666666666657</c:v>
                </c:pt>
                <c:pt idx="361">
                  <c:v>7.3708333333333336</c:v>
                </c:pt>
                <c:pt idx="362">
                  <c:v>6.8874999999999993</c:v>
                </c:pt>
                <c:pt idx="363">
                  <c:v>4.8833333333333329</c:v>
                </c:pt>
                <c:pt idx="364">
                  <c:v>8.0333333333333332</c:v>
                </c:pt>
                <c:pt idx="365">
                  <c:v>9.5958333333333332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E0-4C37-BFD0-6EE56D367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65216"/>
        <c:axId val="82266752"/>
      </c:lineChart>
      <c:catAx>
        <c:axId val="82265216"/>
        <c:scaling>
          <c:orientation val="minMax"/>
        </c:scaling>
        <c:delete val="0"/>
        <c:axPos val="b"/>
        <c:majorTickMark val="out"/>
        <c:minorTickMark val="none"/>
        <c:tickLblPos val="nextTo"/>
        <c:crossAx val="82266752"/>
        <c:crosses val="autoZero"/>
        <c:auto val="1"/>
        <c:lblAlgn val="ctr"/>
        <c:lblOffset val="100"/>
        <c:tickLblSkip val="25"/>
        <c:noMultiLvlLbl val="0"/>
      </c:catAx>
      <c:valAx>
        <c:axId val="822667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82265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a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Humitat!$AC$4</c:f>
              <c:strCache>
                <c:ptCount val="1"/>
                <c:pt idx="0">
                  <c:v>Humitat(%)</c:v>
                </c:pt>
              </c:strCache>
            </c:strRef>
          </c:tx>
          <c:marker>
            <c:symbol val="none"/>
          </c:marker>
          <c:val>
            <c:numRef>
              <c:f>Humitat!$AC$5:$AC$370</c:f>
              <c:numCache>
                <c:formatCode>General</c:formatCode>
                <c:ptCount val="366"/>
                <c:pt idx="0">
                  <c:v>100</c:v>
                </c:pt>
                <c:pt idx="1">
                  <c:v>69.25</c:v>
                </c:pt>
                <c:pt idx="2">
                  <c:v>64.708333333333329</c:v>
                </c:pt>
                <c:pt idx="3">
                  <c:v>81.541666666666671</c:v>
                </c:pt>
                <c:pt idx="4">
                  <c:v>60.75</c:v>
                </c:pt>
                <c:pt idx="5">
                  <c:v>50</c:v>
                </c:pt>
                <c:pt idx="6">
                  <c:v>59.458333333333336</c:v>
                </c:pt>
                <c:pt idx="7">
                  <c:v>57.875</c:v>
                </c:pt>
                <c:pt idx="8">
                  <c:v>62.416666666666664</c:v>
                </c:pt>
                <c:pt idx="9">
                  <c:v>70.25</c:v>
                </c:pt>
                <c:pt idx="10">
                  <c:v>53.375</c:v>
                </c:pt>
                <c:pt idx="11">
                  <c:v>47.125</c:v>
                </c:pt>
                <c:pt idx="12">
                  <c:v>54.166666666666664</c:v>
                </c:pt>
                <c:pt idx="13">
                  <c:v>69.708333333333329</c:v>
                </c:pt>
                <c:pt idx="14">
                  <c:v>64.25</c:v>
                </c:pt>
                <c:pt idx="15">
                  <c:v>39.708333333333336</c:v>
                </c:pt>
                <c:pt idx="16">
                  <c:v>56.125</c:v>
                </c:pt>
                <c:pt idx="17">
                  <c:v>64.166666666666671</c:v>
                </c:pt>
                <c:pt idx="18">
                  <c:v>62.958333333333336</c:v>
                </c:pt>
                <c:pt idx="19">
                  <c:v>70.291666666666671</c:v>
                </c:pt>
                <c:pt idx="20">
                  <c:v>77.333333333333329</c:v>
                </c:pt>
                <c:pt idx="21">
                  <c:v>85.833333333333329</c:v>
                </c:pt>
                <c:pt idx="22">
                  <c:v>87.708333333333329</c:v>
                </c:pt>
                <c:pt idx="23">
                  <c:v>91.583333333333329</c:v>
                </c:pt>
                <c:pt idx="24">
                  <c:v>89.708333333333329</c:v>
                </c:pt>
                <c:pt idx="25">
                  <c:v>86.166666666666671</c:v>
                </c:pt>
                <c:pt idx="26">
                  <c:v>89.333333333333329</c:v>
                </c:pt>
                <c:pt idx="27">
                  <c:v>87.791666666666671</c:v>
                </c:pt>
                <c:pt idx="28">
                  <c:v>79.208333333333329</c:v>
                </c:pt>
                <c:pt idx="29">
                  <c:v>75.541666666666671</c:v>
                </c:pt>
                <c:pt idx="30">
                  <c:v>68.5</c:v>
                </c:pt>
                <c:pt idx="31">
                  <c:v>79.541666666666671</c:v>
                </c:pt>
                <c:pt idx="32">
                  <c:v>89.041666666666671</c:v>
                </c:pt>
                <c:pt idx="33">
                  <c:v>67.916666666666671</c:v>
                </c:pt>
                <c:pt idx="34">
                  <c:v>56.875</c:v>
                </c:pt>
                <c:pt idx="35">
                  <c:v>68.833333333333329</c:v>
                </c:pt>
                <c:pt idx="36">
                  <c:v>93.458333333333329</c:v>
                </c:pt>
                <c:pt idx="37">
                  <c:v>58.333333333333336</c:v>
                </c:pt>
                <c:pt idx="38">
                  <c:v>51.666666666666664</c:v>
                </c:pt>
                <c:pt idx="39">
                  <c:v>52.583333333333336</c:v>
                </c:pt>
                <c:pt idx="40">
                  <c:v>59.708333333333336</c:v>
                </c:pt>
                <c:pt idx="41">
                  <c:v>90.291666666666671</c:v>
                </c:pt>
                <c:pt idx="42">
                  <c:v>73.833333333333329</c:v>
                </c:pt>
                <c:pt idx="43">
                  <c:v>67.625</c:v>
                </c:pt>
                <c:pt idx="44">
                  <c:v>56.708333333333336</c:v>
                </c:pt>
                <c:pt idx="45">
                  <c:v>42.583333333333336</c:v>
                </c:pt>
                <c:pt idx="46">
                  <c:v>37.5</c:v>
                </c:pt>
                <c:pt idx="47">
                  <c:v>55.583333333333336</c:v>
                </c:pt>
                <c:pt idx="48">
                  <c:v>66.041666666666671</c:v>
                </c:pt>
                <c:pt idx="49">
                  <c:v>71.166666666666671</c:v>
                </c:pt>
                <c:pt idx="50">
                  <c:v>68.5</c:v>
                </c:pt>
                <c:pt idx="51">
                  <c:v>61.083333333333336</c:v>
                </c:pt>
                <c:pt idx="52">
                  <c:v>55.791666666666664</c:v>
                </c:pt>
                <c:pt idx="53">
                  <c:v>55.75</c:v>
                </c:pt>
                <c:pt idx="54">
                  <c:v>68</c:v>
                </c:pt>
                <c:pt idx="55">
                  <c:v>53.458333333333336</c:v>
                </c:pt>
                <c:pt idx="56">
                  <c:v>63.916666666666664</c:v>
                </c:pt>
                <c:pt idx="57">
                  <c:v>86.166666666666671</c:v>
                </c:pt>
                <c:pt idx="58">
                  <c:v>69.541666666666671</c:v>
                </c:pt>
                <c:pt idx="59">
                  <c:v>46.5</c:v>
                </c:pt>
                <c:pt idx="60">
                  <c:v>50</c:v>
                </c:pt>
                <c:pt idx="61">
                  <c:v>45.791666666666664</c:v>
                </c:pt>
                <c:pt idx="62">
                  <c:v>42.875</c:v>
                </c:pt>
                <c:pt idx="63">
                  <c:v>70.791666666666671</c:v>
                </c:pt>
                <c:pt idx="64">
                  <c:v>45.458333333333336</c:v>
                </c:pt>
                <c:pt idx="65">
                  <c:v>44.541666666666664</c:v>
                </c:pt>
                <c:pt idx="66">
                  <c:v>56.583333333333336</c:v>
                </c:pt>
                <c:pt idx="67">
                  <c:v>51.625</c:v>
                </c:pt>
                <c:pt idx="68">
                  <c:v>59.666666666666664</c:v>
                </c:pt>
                <c:pt idx="69">
                  <c:v>46.041666666666664</c:v>
                </c:pt>
                <c:pt idx="70">
                  <c:v>57.875</c:v>
                </c:pt>
                <c:pt idx="71">
                  <c:v>58.791666666666664</c:v>
                </c:pt>
                <c:pt idx="72">
                  <c:v>65.583333333333329</c:v>
                </c:pt>
                <c:pt idx="73">
                  <c:v>79.708333333333329</c:v>
                </c:pt>
                <c:pt idx="74">
                  <c:v>88.708333333333329</c:v>
                </c:pt>
                <c:pt idx="75">
                  <c:v>78.833333333333329</c:v>
                </c:pt>
                <c:pt idx="76">
                  <c:v>79.458333333333329</c:v>
                </c:pt>
                <c:pt idx="77">
                  <c:v>83.5</c:v>
                </c:pt>
                <c:pt idx="78">
                  <c:v>93.666666666666671</c:v>
                </c:pt>
                <c:pt idx="79">
                  <c:v>86.333333333333329</c:v>
                </c:pt>
                <c:pt idx="80">
                  <c:v>85.833333333333329</c:v>
                </c:pt>
                <c:pt idx="81">
                  <c:v>67.875</c:v>
                </c:pt>
                <c:pt idx="82">
                  <c:v>43.666666666666664</c:v>
                </c:pt>
                <c:pt idx="83">
                  <c:v>58.958333333333336</c:v>
                </c:pt>
                <c:pt idx="84">
                  <c:v>77.583333333333329</c:v>
                </c:pt>
                <c:pt idx="85">
                  <c:v>83.583333333333329</c:v>
                </c:pt>
                <c:pt idx="86">
                  <c:v>69.583333333333329</c:v>
                </c:pt>
                <c:pt idx="87">
                  <c:v>66.458333333333329</c:v>
                </c:pt>
                <c:pt idx="88">
                  <c:v>68.083333333333329</c:v>
                </c:pt>
                <c:pt idx="89">
                  <c:v>83.875</c:v>
                </c:pt>
                <c:pt idx="90">
                  <c:v>67.958333333333329</c:v>
                </c:pt>
                <c:pt idx="91">
                  <c:v>72.333333333333329</c:v>
                </c:pt>
                <c:pt idx="92">
                  <c:v>73.875</c:v>
                </c:pt>
                <c:pt idx="93">
                  <c:v>88.625</c:v>
                </c:pt>
                <c:pt idx="94">
                  <c:v>94</c:v>
                </c:pt>
                <c:pt idx="95">
                  <c:v>96.25</c:v>
                </c:pt>
                <c:pt idx="96">
                  <c:v>70.5</c:v>
                </c:pt>
                <c:pt idx="97">
                  <c:v>62.416666666666664</c:v>
                </c:pt>
                <c:pt idx="98">
                  <c:v>58.791666666666664</c:v>
                </c:pt>
                <c:pt idx="99">
                  <c:v>54.458333333333336</c:v>
                </c:pt>
                <c:pt idx="100">
                  <c:v>78.583333333333329</c:v>
                </c:pt>
                <c:pt idx="101">
                  <c:v>77.208333333333329</c:v>
                </c:pt>
                <c:pt idx="102">
                  <c:v>79.416666666666671</c:v>
                </c:pt>
                <c:pt idx="103">
                  <c:v>62.666666666666664</c:v>
                </c:pt>
                <c:pt idx="104">
                  <c:v>62</c:v>
                </c:pt>
                <c:pt idx="105">
                  <c:v>88</c:v>
                </c:pt>
                <c:pt idx="106">
                  <c:v>76.291666666666671</c:v>
                </c:pt>
                <c:pt idx="107">
                  <c:v>63.25</c:v>
                </c:pt>
                <c:pt idx="108">
                  <c:v>73.625</c:v>
                </c:pt>
                <c:pt idx="109">
                  <c:v>74.541666666666671</c:v>
                </c:pt>
                <c:pt idx="110">
                  <c:v>55.291666666666664</c:v>
                </c:pt>
                <c:pt idx="111">
                  <c:v>80.291666666666671</c:v>
                </c:pt>
                <c:pt idx="112">
                  <c:v>86.25</c:v>
                </c:pt>
                <c:pt idx="113">
                  <c:v>76.083333333333329</c:v>
                </c:pt>
                <c:pt idx="114">
                  <c:v>59</c:v>
                </c:pt>
                <c:pt idx="115">
                  <c:v>54.541666666666664</c:v>
                </c:pt>
                <c:pt idx="116">
                  <c:v>73.041666666666671</c:v>
                </c:pt>
                <c:pt idx="117">
                  <c:v>88.25</c:v>
                </c:pt>
                <c:pt idx="118">
                  <c:v>96.791666666666671</c:v>
                </c:pt>
                <c:pt idx="119">
                  <c:v>78.083333333333329</c:v>
                </c:pt>
                <c:pt idx="120">
                  <c:v>75.541666666666671</c:v>
                </c:pt>
                <c:pt idx="121">
                  <c:v>32.958333333333336</c:v>
                </c:pt>
                <c:pt idx="122">
                  <c:v>46.75</c:v>
                </c:pt>
                <c:pt idx="123">
                  <c:v>64.208333333333329</c:v>
                </c:pt>
                <c:pt idx="124">
                  <c:v>67.916666666666671</c:v>
                </c:pt>
                <c:pt idx="125">
                  <c:v>75.875</c:v>
                </c:pt>
                <c:pt idx="126">
                  <c:v>72.875</c:v>
                </c:pt>
                <c:pt idx="127">
                  <c:v>75.333333333333329</c:v>
                </c:pt>
                <c:pt idx="128">
                  <c:v>89.958333333333329</c:v>
                </c:pt>
                <c:pt idx="129">
                  <c:v>90.708333333333329</c:v>
                </c:pt>
                <c:pt idx="130">
                  <c:v>91.5</c:v>
                </c:pt>
                <c:pt idx="131">
                  <c:v>82.833333333333329</c:v>
                </c:pt>
                <c:pt idx="132">
                  <c:v>75.625</c:v>
                </c:pt>
                <c:pt idx="133">
                  <c:v>63.541666666666664</c:v>
                </c:pt>
                <c:pt idx="134">
                  <c:v>51.583333333333336</c:v>
                </c:pt>
                <c:pt idx="135">
                  <c:v>70.375</c:v>
                </c:pt>
                <c:pt idx="136">
                  <c:v>68.541666666666671</c:v>
                </c:pt>
                <c:pt idx="137">
                  <c:v>77.625</c:v>
                </c:pt>
                <c:pt idx="138">
                  <c:v>85.583333333333329</c:v>
                </c:pt>
                <c:pt idx="139">
                  <c:v>65.125</c:v>
                </c:pt>
                <c:pt idx="140">
                  <c:v>72.291666666666671</c:v>
                </c:pt>
                <c:pt idx="141">
                  <c:v>82.125</c:v>
                </c:pt>
                <c:pt idx="142">
                  <c:v>77.75</c:v>
                </c:pt>
                <c:pt idx="143">
                  <c:v>46.791666666666664</c:v>
                </c:pt>
                <c:pt idx="144">
                  <c:v>74.208333333333329</c:v>
                </c:pt>
                <c:pt idx="145">
                  <c:v>83.791666666666671</c:v>
                </c:pt>
                <c:pt idx="146">
                  <c:v>83.666666666666671</c:v>
                </c:pt>
                <c:pt idx="147">
                  <c:v>82</c:v>
                </c:pt>
                <c:pt idx="148">
                  <c:v>84.458333333333329</c:v>
                </c:pt>
                <c:pt idx="149">
                  <c:v>52.375</c:v>
                </c:pt>
                <c:pt idx="150">
                  <c:v>59</c:v>
                </c:pt>
                <c:pt idx="151">
                  <c:v>67</c:v>
                </c:pt>
                <c:pt idx="152">
                  <c:v>62.458333333333336</c:v>
                </c:pt>
                <c:pt idx="153">
                  <c:v>72.083333333333329</c:v>
                </c:pt>
                <c:pt idx="154">
                  <c:v>77.083333333333329</c:v>
                </c:pt>
                <c:pt idx="155">
                  <c:v>76.416666666666671</c:v>
                </c:pt>
                <c:pt idx="156">
                  <c:v>75.291666666666671</c:v>
                </c:pt>
                <c:pt idx="157">
                  <c:v>82.166666666666671</c:v>
                </c:pt>
                <c:pt idx="158">
                  <c:v>72.291666666666671</c:v>
                </c:pt>
                <c:pt idx="159">
                  <c:v>77.291666666666671</c:v>
                </c:pt>
                <c:pt idx="160">
                  <c:v>74.25</c:v>
                </c:pt>
                <c:pt idx="161">
                  <c:v>65.958333333333329</c:v>
                </c:pt>
                <c:pt idx="162">
                  <c:v>68.25</c:v>
                </c:pt>
                <c:pt idx="163">
                  <c:v>66.041666666666671</c:v>
                </c:pt>
                <c:pt idx="164">
                  <c:v>53.791666666666664</c:v>
                </c:pt>
                <c:pt idx="165">
                  <c:v>43.083333333333336</c:v>
                </c:pt>
                <c:pt idx="166">
                  <c:v>71.416666666666671</c:v>
                </c:pt>
                <c:pt idx="167">
                  <c:v>52</c:v>
                </c:pt>
                <c:pt idx="168">
                  <c:v>55.25</c:v>
                </c:pt>
                <c:pt idx="169">
                  <c:v>63.916666666666664</c:v>
                </c:pt>
                <c:pt idx="170">
                  <c:v>58.208333333333336</c:v>
                </c:pt>
                <c:pt idx="171">
                  <c:v>63.458333333333336</c:v>
                </c:pt>
                <c:pt idx="172">
                  <c:v>72.958333333333329</c:v>
                </c:pt>
                <c:pt idx="173">
                  <c:v>65.958333333333329</c:v>
                </c:pt>
                <c:pt idx="174">
                  <c:v>55.916666666666664</c:v>
                </c:pt>
                <c:pt idx="175">
                  <c:v>72.416666666666671</c:v>
                </c:pt>
                <c:pt idx="176">
                  <c:v>66.708333333333329</c:v>
                </c:pt>
                <c:pt idx="177">
                  <c:v>71.875</c:v>
                </c:pt>
                <c:pt idx="178">
                  <c:v>65.625</c:v>
                </c:pt>
                <c:pt idx="179">
                  <c:v>76.833333333333329</c:v>
                </c:pt>
                <c:pt idx="180">
                  <c:v>74.541666666666671</c:v>
                </c:pt>
                <c:pt idx="181">
                  <c:v>72.166666666666671</c:v>
                </c:pt>
                <c:pt idx="182">
                  <c:v>75.583333333333329</c:v>
                </c:pt>
                <c:pt idx="183">
                  <c:v>76.333333333333329</c:v>
                </c:pt>
                <c:pt idx="184">
                  <c:v>68.708333333333329</c:v>
                </c:pt>
                <c:pt idx="185">
                  <c:v>72.166666666666671</c:v>
                </c:pt>
                <c:pt idx="186">
                  <c:v>62.041666666666664</c:v>
                </c:pt>
                <c:pt idx="187">
                  <c:v>63.416666666666664</c:v>
                </c:pt>
                <c:pt idx="188">
                  <c:v>78.041666666666671</c:v>
                </c:pt>
                <c:pt idx="189">
                  <c:v>74.041666666666671</c:v>
                </c:pt>
                <c:pt idx="190">
                  <c:v>60.416666666666664</c:v>
                </c:pt>
                <c:pt idx="191">
                  <c:v>67.166666666666671</c:v>
                </c:pt>
                <c:pt idx="192">
                  <c:v>70</c:v>
                </c:pt>
                <c:pt idx="193">
                  <c:v>73.458333333333329</c:v>
                </c:pt>
                <c:pt idx="194">
                  <c:v>37.541666666666664</c:v>
                </c:pt>
                <c:pt idx="195">
                  <c:v>46</c:v>
                </c:pt>
                <c:pt idx="196">
                  <c:v>71.333333333333329</c:v>
                </c:pt>
                <c:pt idx="197">
                  <c:v>71.083333333333329</c:v>
                </c:pt>
                <c:pt idx="198">
                  <c:v>73.666666666666671</c:v>
                </c:pt>
                <c:pt idx="199">
                  <c:v>63.208333333333336</c:v>
                </c:pt>
                <c:pt idx="200">
                  <c:v>73.5</c:v>
                </c:pt>
                <c:pt idx="201">
                  <c:v>82</c:v>
                </c:pt>
                <c:pt idx="202">
                  <c:v>80.125</c:v>
                </c:pt>
                <c:pt idx="203">
                  <c:v>76.375</c:v>
                </c:pt>
                <c:pt idx="204">
                  <c:v>71.166666666666671</c:v>
                </c:pt>
                <c:pt idx="205">
                  <c:v>71.125</c:v>
                </c:pt>
                <c:pt idx="206">
                  <c:v>73.25</c:v>
                </c:pt>
                <c:pt idx="207">
                  <c:v>77.666666666666671</c:v>
                </c:pt>
                <c:pt idx="208">
                  <c:v>74.416666666666671</c:v>
                </c:pt>
                <c:pt idx="209">
                  <c:v>74.25</c:v>
                </c:pt>
                <c:pt idx="210">
                  <c:v>76.291666666666671</c:v>
                </c:pt>
                <c:pt idx="211">
                  <c:v>81.041666666666671</c:v>
                </c:pt>
                <c:pt idx="212">
                  <c:v>81.708333333333329</c:v>
                </c:pt>
                <c:pt idx="213">
                  <c:v>60</c:v>
                </c:pt>
                <c:pt idx="214">
                  <c:v>74.125</c:v>
                </c:pt>
                <c:pt idx="215">
                  <c:v>80.375</c:v>
                </c:pt>
                <c:pt idx="216">
                  <c:v>79.666666666666671</c:v>
                </c:pt>
                <c:pt idx="217">
                  <c:v>64.583333333333329</c:v>
                </c:pt>
                <c:pt idx="218">
                  <c:v>62.416666666666664</c:v>
                </c:pt>
                <c:pt idx="219">
                  <c:v>72.916666666666671</c:v>
                </c:pt>
                <c:pt idx="220">
                  <c:v>56.833333333333336</c:v>
                </c:pt>
                <c:pt idx="221">
                  <c:v>68.208333333333329</c:v>
                </c:pt>
                <c:pt idx="222">
                  <c:v>61.666666666666664</c:v>
                </c:pt>
                <c:pt idx="223">
                  <c:v>53.083333333333336</c:v>
                </c:pt>
                <c:pt idx="224">
                  <c:v>66.041666666666671</c:v>
                </c:pt>
                <c:pt idx="225">
                  <c:v>73.916666666666671</c:v>
                </c:pt>
                <c:pt idx="226">
                  <c:v>78.625</c:v>
                </c:pt>
                <c:pt idx="227">
                  <c:v>74.291666666666671</c:v>
                </c:pt>
                <c:pt idx="228">
                  <c:v>81.791666666666671</c:v>
                </c:pt>
                <c:pt idx="229">
                  <c:v>83.25</c:v>
                </c:pt>
                <c:pt idx="230">
                  <c:v>81.208333333333329</c:v>
                </c:pt>
                <c:pt idx="231">
                  <c:v>83.125</c:v>
                </c:pt>
                <c:pt idx="232">
                  <c:v>83.5</c:v>
                </c:pt>
                <c:pt idx="233">
                  <c:v>53.708333333333336</c:v>
                </c:pt>
                <c:pt idx="234">
                  <c:v>71.333333333333329</c:v>
                </c:pt>
                <c:pt idx="235">
                  <c:v>74.333333333333329</c:v>
                </c:pt>
                <c:pt idx="236">
                  <c:v>61.583333333333336</c:v>
                </c:pt>
                <c:pt idx="237">
                  <c:v>54.958333333333336</c:v>
                </c:pt>
                <c:pt idx="238">
                  <c:v>77.041666666666671</c:v>
                </c:pt>
                <c:pt idx="239">
                  <c:v>81.291666666666671</c:v>
                </c:pt>
                <c:pt idx="240">
                  <c:v>86.416666666666671</c:v>
                </c:pt>
                <c:pt idx="241">
                  <c:v>93.916666666666671</c:v>
                </c:pt>
                <c:pt idx="242">
                  <c:v>69.083333333333329</c:v>
                </c:pt>
                <c:pt idx="243">
                  <c:v>83.666666666666671</c:v>
                </c:pt>
                <c:pt idx="244">
                  <c:v>76.166666666666671</c:v>
                </c:pt>
                <c:pt idx="245">
                  <c:v>80.333333333333329</c:v>
                </c:pt>
                <c:pt idx="246">
                  <c:v>83.5</c:v>
                </c:pt>
                <c:pt idx="247">
                  <c:v>80.708333333333329</c:v>
                </c:pt>
                <c:pt idx="248">
                  <c:v>70.208333333333329</c:v>
                </c:pt>
                <c:pt idx="249">
                  <c:v>73.25</c:v>
                </c:pt>
                <c:pt idx="250">
                  <c:v>78.375</c:v>
                </c:pt>
                <c:pt idx="251">
                  <c:v>79.125</c:v>
                </c:pt>
                <c:pt idx="252">
                  <c:v>77.041666666666671</c:v>
                </c:pt>
                <c:pt idx="253">
                  <c:v>81.041666666666671</c:v>
                </c:pt>
                <c:pt idx="254">
                  <c:v>81.083333333333329</c:v>
                </c:pt>
                <c:pt idx="255">
                  <c:v>82.5</c:v>
                </c:pt>
                <c:pt idx="256">
                  <c:v>82.791666666666671</c:v>
                </c:pt>
                <c:pt idx="257">
                  <c:v>71.083333333333329</c:v>
                </c:pt>
                <c:pt idx="258">
                  <c:v>64.916666666666671</c:v>
                </c:pt>
                <c:pt idx="259">
                  <c:v>69.5</c:v>
                </c:pt>
                <c:pt idx="260">
                  <c:v>58.208333333333336</c:v>
                </c:pt>
                <c:pt idx="261">
                  <c:v>54.125</c:v>
                </c:pt>
                <c:pt idx="262">
                  <c:v>60.375</c:v>
                </c:pt>
                <c:pt idx="263">
                  <c:v>66.041666666666671</c:v>
                </c:pt>
                <c:pt idx="264">
                  <c:v>68.083333333333329</c:v>
                </c:pt>
                <c:pt idx="265">
                  <c:v>78.958333333333329</c:v>
                </c:pt>
                <c:pt idx="266">
                  <c:v>87.916666666666671</c:v>
                </c:pt>
                <c:pt idx="267">
                  <c:v>82.583333333333329</c:v>
                </c:pt>
                <c:pt idx="268">
                  <c:v>82.958333333333329</c:v>
                </c:pt>
                <c:pt idx="269">
                  <c:v>85.875</c:v>
                </c:pt>
                <c:pt idx="270">
                  <c:v>85.166666666666671</c:v>
                </c:pt>
                <c:pt idx="271">
                  <c:v>76.666666666666671</c:v>
                </c:pt>
                <c:pt idx="272">
                  <c:v>81.208333333333329</c:v>
                </c:pt>
                <c:pt idx="273">
                  <c:v>83.291666666666671</c:v>
                </c:pt>
                <c:pt idx="274">
                  <c:v>87.541666666666671</c:v>
                </c:pt>
                <c:pt idx="275">
                  <c:v>90.083333333333329</c:v>
                </c:pt>
                <c:pt idx="276">
                  <c:v>88.916666666666671</c:v>
                </c:pt>
                <c:pt idx="277">
                  <c:v>87</c:v>
                </c:pt>
                <c:pt idx="278">
                  <c:v>76.25</c:v>
                </c:pt>
                <c:pt idx="279">
                  <c:v>84.958333333333329</c:v>
                </c:pt>
                <c:pt idx="280">
                  <c:v>86.75</c:v>
                </c:pt>
                <c:pt idx="281">
                  <c:v>83.458333333333329</c:v>
                </c:pt>
                <c:pt idx="282">
                  <c:v>98.166666666666671</c:v>
                </c:pt>
                <c:pt idx="283">
                  <c:v>84</c:v>
                </c:pt>
                <c:pt idx="284">
                  <c:v>69.25</c:v>
                </c:pt>
                <c:pt idx="285">
                  <c:v>79.875</c:v>
                </c:pt>
                <c:pt idx="286">
                  <c:v>94.333333333333329</c:v>
                </c:pt>
                <c:pt idx="287">
                  <c:v>86.833333333333329</c:v>
                </c:pt>
                <c:pt idx="288">
                  <c:v>77.125</c:v>
                </c:pt>
                <c:pt idx="289">
                  <c:v>86.375</c:v>
                </c:pt>
                <c:pt idx="290">
                  <c:v>91.583333333333329</c:v>
                </c:pt>
                <c:pt idx="291">
                  <c:v>84.458333333333329</c:v>
                </c:pt>
                <c:pt idx="292">
                  <c:v>81.125</c:v>
                </c:pt>
                <c:pt idx="293">
                  <c:v>83.75</c:v>
                </c:pt>
                <c:pt idx="294">
                  <c:v>84.666666666666671</c:v>
                </c:pt>
                <c:pt idx="295">
                  <c:v>88.833333333333329</c:v>
                </c:pt>
                <c:pt idx="296">
                  <c:v>90.208333333333329</c:v>
                </c:pt>
                <c:pt idx="297">
                  <c:v>91.916666666666671</c:v>
                </c:pt>
                <c:pt idx="298">
                  <c:v>94.416666666666671</c:v>
                </c:pt>
                <c:pt idx="299">
                  <c:v>91.166666666666671</c:v>
                </c:pt>
                <c:pt idx="300">
                  <c:v>91.333333333333329</c:v>
                </c:pt>
                <c:pt idx="301">
                  <c:v>91.583333333333329</c:v>
                </c:pt>
                <c:pt idx="302">
                  <c:v>84.458333333333329</c:v>
                </c:pt>
                <c:pt idx="303">
                  <c:v>89.625</c:v>
                </c:pt>
                <c:pt idx="304">
                  <c:v>90.083333333333329</c:v>
                </c:pt>
                <c:pt idx="305">
                  <c:v>83.375</c:v>
                </c:pt>
                <c:pt idx="306">
                  <c:v>83.375</c:v>
                </c:pt>
                <c:pt idx="307">
                  <c:v>84.75</c:v>
                </c:pt>
                <c:pt idx="308">
                  <c:v>89.541666666666671</c:v>
                </c:pt>
                <c:pt idx="309">
                  <c:v>81.916666666666671</c:v>
                </c:pt>
                <c:pt idx="310">
                  <c:v>56.291666666666664</c:v>
                </c:pt>
                <c:pt idx="311">
                  <c:v>56.541666666666664</c:v>
                </c:pt>
                <c:pt idx="312">
                  <c:v>64.083333333333329</c:v>
                </c:pt>
                <c:pt idx="313">
                  <c:v>48.25</c:v>
                </c:pt>
                <c:pt idx="314">
                  <c:v>54.333333333333336</c:v>
                </c:pt>
                <c:pt idx="315">
                  <c:v>55.541666666666664</c:v>
                </c:pt>
                <c:pt idx="316">
                  <c:v>74.333333333333329</c:v>
                </c:pt>
                <c:pt idx="317">
                  <c:v>76.458333333333329</c:v>
                </c:pt>
                <c:pt idx="318">
                  <c:v>78.041666666666671</c:v>
                </c:pt>
                <c:pt idx="319">
                  <c:v>82.208333333333329</c:v>
                </c:pt>
                <c:pt idx="320">
                  <c:v>79.583333333333329</c:v>
                </c:pt>
                <c:pt idx="321">
                  <c:v>84.375</c:v>
                </c:pt>
                <c:pt idx="322">
                  <c:v>91.166666666666671</c:v>
                </c:pt>
                <c:pt idx="323">
                  <c:v>80.208333333333329</c:v>
                </c:pt>
                <c:pt idx="324">
                  <c:v>83.375</c:v>
                </c:pt>
                <c:pt idx="325">
                  <c:v>98.5</c:v>
                </c:pt>
                <c:pt idx="326">
                  <c:v>95.208333333333329</c:v>
                </c:pt>
                <c:pt idx="327">
                  <c:v>85.25</c:v>
                </c:pt>
                <c:pt idx="328">
                  <c:v>86.833333333333329</c:v>
                </c:pt>
                <c:pt idx="329">
                  <c:v>81.583333333333329</c:v>
                </c:pt>
                <c:pt idx="330">
                  <c:v>75.75</c:v>
                </c:pt>
                <c:pt idx="331">
                  <c:v>92.5</c:v>
                </c:pt>
                <c:pt idx="332">
                  <c:v>88.166666666666671</c:v>
                </c:pt>
                <c:pt idx="333">
                  <c:v>85</c:v>
                </c:pt>
                <c:pt idx="334">
                  <c:v>76.5</c:v>
                </c:pt>
                <c:pt idx="335">
                  <c:v>89.5</c:v>
                </c:pt>
                <c:pt idx="336">
                  <c:v>86.541666666666671</c:v>
                </c:pt>
                <c:pt idx="337">
                  <c:v>87.041666666666671</c:v>
                </c:pt>
                <c:pt idx="338">
                  <c:v>84.541666666666671</c:v>
                </c:pt>
                <c:pt idx="339">
                  <c:v>79.041666666666671</c:v>
                </c:pt>
                <c:pt idx="340">
                  <c:v>83.416666666666671</c:v>
                </c:pt>
                <c:pt idx="341">
                  <c:v>86.541666666666671</c:v>
                </c:pt>
                <c:pt idx="342">
                  <c:v>86.666666666666671</c:v>
                </c:pt>
                <c:pt idx="343">
                  <c:v>84.125</c:v>
                </c:pt>
                <c:pt idx="344">
                  <c:v>86.25</c:v>
                </c:pt>
                <c:pt idx="345">
                  <c:v>87.291666666666671</c:v>
                </c:pt>
                <c:pt idx="346">
                  <c:v>83.833333333333329</c:v>
                </c:pt>
                <c:pt idx="347">
                  <c:v>83.708333333333329</c:v>
                </c:pt>
                <c:pt idx="348">
                  <c:v>89.875</c:v>
                </c:pt>
                <c:pt idx="349">
                  <c:v>96.958333333333329</c:v>
                </c:pt>
                <c:pt idx="350">
                  <c:v>94.833333333333329</c:v>
                </c:pt>
                <c:pt idx="351">
                  <c:v>77.625</c:v>
                </c:pt>
                <c:pt idx="352">
                  <c:v>71</c:v>
                </c:pt>
                <c:pt idx="353">
                  <c:v>79.5</c:v>
                </c:pt>
                <c:pt idx="354">
                  <c:v>71.125</c:v>
                </c:pt>
                <c:pt idx="355">
                  <c:v>73.166666666666671</c:v>
                </c:pt>
                <c:pt idx="356">
                  <c:v>82.666666666666671</c:v>
                </c:pt>
                <c:pt idx="357">
                  <c:v>85.041666666666671</c:v>
                </c:pt>
                <c:pt idx="358">
                  <c:v>90.166666666666671</c:v>
                </c:pt>
                <c:pt idx="359">
                  <c:v>89.125</c:v>
                </c:pt>
                <c:pt idx="360">
                  <c:v>79.208333333333329</c:v>
                </c:pt>
                <c:pt idx="361">
                  <c:v>81.458333333333329</c:v>
                </c:pt>
                <c:pt idx="362">
                  <c:v>82.041666666666671</c:v>
                </c:pt>
                <c:pt idx="363">
                  <c:v>75.458333333333329</c:v>
                </c:pt>
                <c:pt idx="364">
                  <c:v>83.708333333333329</c:v>
                </c:pt>
                <c:pt idx="365">
                  <c:v>80.708333333333329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66-41B2-9A62-8DBDA3CFC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92096"/>
        <c:axId val="83575936"/>
      </c:lineChart>
      <c:catAx>
        <c:axId val="82292096"/>
        <c:scaling>
          <c:orientation val="minMax"/>
        </c:scaling>
        <c:delete val="0"/>
        <c:axPos val="b"/>
        <c:majorTickMark val="out"/>
        <c:minorTickMark val="none"/>
        <c:tickLblPos val="nextTo"/>
        <c:crossAx val="83575936"/>
        <c:crosses val="autoZero"/>
        <c:auto val="1"/>
        <c:lblAlgn val="ctr"/>
        <c:lblOffset val="100"/>
        <c:tickLblSkip val="25"/>
        <c:noMultiLvlLbl val="0"/>
      </c:catAx>
      <c:valAx>
        <c:axId val="83575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292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a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Radiació</a:t>
            </a:r>
            <a:r>
              <a:rPr lang="en-US" baseline="0"/>
              <a:t> anual (k</a:t>
            </a:r>
            <a:r>
              <a:rPr lang="ca-ES" sz="1800" b="1" i="0" u="none" strike="noStrike" baseline="0">
                <a:effectLst/>
              </a:rPr>
              <a:t>w·h/m²)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8881641274130673E-2"/>
          <c:y val="0.14700249017991843"/>
          <c:w val="0.92886963094110264"/>
          <c:h val="0.705150977665914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Resultats!$AC$2:$AC$4</c:f>
              <c:strCache>
                <c:ptCount val="3"/>
                <c:pt idx="2">
                  <c:v>energia(kwh/m2)</c:v>
                </c:pt>
              </c:strCache>
            </c:strRef>
          </c:tx>
          <c:marker>
            <c:symbol val="none"/>
          </c:marker>
          <c:yVal>
            <c:numRef>
              <c:f>Resultats!$AC$5:$AC$369</c:f>
              <c:numCache>
                <c:formatCode>0.000</c:formatCode>
                <c:ptCount val="365"/>
                <c:pt idx="0">
                  <c:v>4.4232284785575811</c:v>
                </c:pt>
                <c:pt idx="1">
                  <c:v>4.4853608746273075</c:v>
                </c:pt>
                <c:pt idx="2">
                  <c:v>4.4793575589785233</c:v>
                </c:pt>
                <c:pt idx="3">
                  <c:v>4.4856828881295634</c:v>
                </c:pt>
                <c:pt idx="4">
                  <c:v>4.5404408023807026</c:v>
                </c:pt>
                <c:pt idx="5">
                  <c:v>4.5578600736727655</c:v>
                </c:pt>
                <c:pt idx="6">
                  <c:v>4.5431954587160694</c:v>
                </c:pt>
                <c:pt idx="7">
                  <c:v>4.5609191523493164</c:v>
                </c:pt>
                <c:pt idx="8">
                  <c:v>5.7334313059025668</c:v>
                </c:pt>
                <c:pt idx="9">
                  <c:v>5.5832852289495891</c:v>
                </c:pt>
                <c:pt idx="10">
                  <c:v>5.477389963416873</c:v>
                </c:pt>
                <c:pt idx="11">
                  <c:v>5.337683010775649</c:v>
                </c:pt>
                <c:pt idx="12">
                  <c:v>5.2042753500938224</c:v>
                </c:pt>
                <c:pt idx="13">
                  <c:v>5.0857537695818573</c:v>
                </c:pt>
                <c:pt idx="14">
                  <c:v>5.0481644375824315</c:v>
                </c:pt>
                <c:pt idx="15">
                  <c:v>5.0184459843514126</c:v>
                </c:pt>
                <c:pt idx="16">
                  <c:v>4.9692157241824795</c:v>
                </c:pt>
                <c:pt idx="17">
                  <c:v>4.9491868001994286</c:v>
                </c:pt>
                <c:pt idx="18">
                  <c:v>4.9702685260784794</c:v>
                </c:pt>
                <c:pt idx="19">
                  <c:v>4.990742645097022</c:v>
                </c:pt>
                <c:pt idx="20">
                  <c:v>5.011636225915356</c:v>
                </c:pt>
                <c:pt idx="21">
                  <c:v>5.0351036053252205</c:v>
                </c:pt>
                <c:pt idx="22">
                  <c:v>5.0812079985168621</c:v>
                </c:pt>
                <c:pt idx="23">
                  <c:v>5.1306088793307829</c:v>
                </c:pt>
                <c:pt idx="24">
                  <c:v>5.2036389767429823</c:v>
                </c:pt>
                <c:pt idx="25">
                  <c:v>5.3011159053769301</c:v>
                </c:pt>
                <c:pt idx="26">
                  <c:v>5.4102671311719694</c:v>
                </c:pt>
                <c:pt idx="27">
                  <c:v>5.5469470056404733</c:v>
                </c:pt>
                <c:pt idx="28">
                  <c:v>5.644413347882578</c:v>
                </c:pt>
                <c:pt idx="29">
                  <c:v>5.737337483012702</c:v>
                </c:pt>
                <c:pt idx="30">
                  <c:v>5.7380197943127103</c:v>
                </c:pt>
                <c:pt idx="31">
                  <c:v>5.7102406625132334</c:v>
                </c:pt>
                <c:pt idx="32">
                  <c:v>5.6722199596232095</c:v>
                </c:pt>
                <c:pt idx="33">
                  <c:v>5.6790714213569888</c:v>
                </c:pt>
                <c:pt idx="34">
                  <c:v>5.6626338206850253</c:v>
                </c:pt>
                <c:pt idx="35">
                  <c:v>5.616683471295226</c:v>
                </c:pt>
                <c:pt idx="36">
                  <c:v>5.5974909907491988</c:v>
                </c:pt>
                <c:pt idx="37">
                  <c:v>5.6655639188379663</c:v>
                </c:pt>
                <c:pt idx="38">
                  <c:v>5.6478360040049846</c:v>
                </c:pt>
                <c:pt idx="39">
                  <c:v>5.6691300924841732</c:v>
                </c:pt>
                <c:pt idx="40">
                  <c:v>5.6771068833597775</c:v>
                </c:pt>
                <c:pt idx="41">
                  <c:v>5.7047304938996222</c:v>
                </c:pt>
                <c:pt idx="42">
                  <c:v>5.7276757244747847</c:v>
                </c:pt>
                <c:pt idx="43">
                  <c:v>5.7524845899353654</c:v>
                </c:pt>
                <c:pt idx="44">
                  <c:v>5.8222332403490249</c:v>
                </c:pt>
                <c:pt idx="45">
                  <c:v>5.9053077317397058</c:v>
                </c:pt>
                <c:pt idx="46">
                  <c:v>5.9291210407278676</c:v>
                </c:pt>
                <c:pt idx="47">
                  <c:v>5.9430921261509218</c:v>
                </c:pt>
                <c:pt idx="48">
                  <c:v>5.9503375476698537</c:v>
                </c:pt>
                <c:pt idx="49">
                  <c:v>5.9864065086576765</c:v>
                </c:pt>
                <c:pt idx="50">
                  <c:v>6.0148352458802528</c:v>
                </c:pt>
                <c:pt idx="51">
                  <c:v>6.0366868691089133</c:v>
                </c:pt>
                <c:pt idx="52">
                  <c:v>6.0668316037839265</c:v>
                </c:pt>
                <c:pt idx="53">
                  <c:v>6.1001891369135457</c:v>
                </c:pt>
                <c:pt idx="54">
                  <c:v>6.1113013381287677</c:v>
                </c:pt>
                <c:pt idx="55">
                  <c:v>6.1656769438257042</c:v>
                </c:pt>
                <c:pt idx="56">
                  <c:v>6.1781834295482128</c:v>
                </c:pt>
                <c:pt idx="57">
                  <c:v>6.2200514283480732</c:v>
                </c:pt>
                <c:pt idx="58">
                  <c:v>6.2322955506987912</c:v>
                </c:pt>
                <c:pt idx="59">
                  <c:v>6.2936751892175646</c:v>
                </c:pt>
                <c:pt idx="60">
                  <c:v>6.3079164877610356</c:v>
                </c:pt>
                <c:pt idx="61">
                  <c:v>6.3394886612140642</c:v>
                </c:pt>
                <c:pt idx="62">
                  <c:v>6.3619800832521038</c:v>
                </c:pt>
                <c:pt idx="63">
                  <c:v>6.3511656733634787</c:v>
                </c:pt>
                <c:pt idx="64">
                  <c:v>6.4198815469221708</c:v>
                </c:pt>
                <c:pt idx="65">
                  <c:v>6.4495427811909236</c:v>
                </c:pt>
                <c:pt idx="66">
                  <c:v>7.0769574378845901</c:v>
                </c:pt>
                <c:pt idx="67">
                  <c:v>6.8472066693797409</c:v>
                </c:pt>
                <c:pt idx="68">
                  <c:v>6.6553490850859394</c:v>
                </c:pt>
                <c:pt idx="69">
                  <c:v>6.5939232518067037</c:v>
                </c:pt>
                <c:pt idx="70">
                  <c:v>6.575683671465363</c:v>
                </c:pt>
                <c:pt idx="71">
                  <c:v>6.5961653859557581</c:v>
                </c:pt>
                <c:pt idx="72">
                  <c:v>6.6205465967433472</c:v>
                </c:pt>
                <c:pt idx="73">
                  <c:v>6.6487363386625198</c:v>
                </c:pt>
                <c:pt idx="74">
                  <c:v>6.7359195583860449</c:v>
                </c:pt>
                <c:pt idx="75">
                  <c:v>6.8393953625635762</c:v>
                </c:pt>
                <c:pt idx="76">
                  <c:v>6.9102080350931843</c:v>
                </c:pt>
                <c:pt idx="77">
                  <c:v>6.9028299602761036</c:v>
                </c:pt>
                <c:pt idx="78">
                  <c:v>6.8440404274266342</c:v>
                </c:pt>
                <c:pt idx="79">
                  <c:v>6.7913443867228853</c:v>
                </c:pt>
                <c:pt idx="80">
                  <c:v>6.7530945464000292</c:v>
                </c:pt>
                <c:pt idx="81">
                  <c:v>6.740115110755756</c:v>
                </c:pt>
                <c:pt idx="82">
                  <c:v>6.7497912336921946</c:v>
                </c:pt>
                <c:pt idx="83">
                  <c:v>6.7062875981780863</c:v>
                </c:pt>
                <c:pt idx="84">
                  <c:v>6.6857691008554001</c:v>
                </c:pt>
                <c:pt idx="85">
                  <c:v>6.677650178729035</c:v>
                </c:pt>
                <c:pt idx="86">
                  <c:v>6.686307179544718</c:v>
                </c:pt>
                <c:pt idx="87">
                  <c:v>6.6943298898831936</c:v>
                </c:pt>
                <c:pt idx="88">
                  <c:v>6.6786682892345528</c:v>
                </c:pt>
                <c:pt idx="89">
                  <c:v>6.6676297829910691</c:v>
                </c:pt>
                <c:pt idx="90">
                  <c:v>6.7081188473972766</c:v>
                </c:pt>
                <c:pt idx="91">
                  <c:v>6.6781896796696154</c:v>
                </c:pt>
                <c:pt idx="92">
                  <c:v>6.6828666446964871</c:v>
                </c:pt>
                <c:pt idx="93">
                  <c:v>6.6565099020481435</c:v>
                </c:pt>
                <c:pt idx="94">
                  <c:v>6.6468925229833129</c:v>
                </c:pt>
                <c:pt idx="95">
                  <c:v>6.6471393668042822</c:v>
                </c:pt>
                <c:pt idx="96">
                  <c:v>6.6615060767897125</c:v>
                </c:pt>
                <c:pt idx="97">
                  <c:v>6.6767172708017508</c:v>
                </c:pt>
                <c:pt idx="98">
                  <c:v>6.6611888343131085</c:v>
                </c:pt>
                <c:pt idx="99">
                  <c:v>6.6557740082212264</c:v>
                </c:pt>
                <c:pt idx="100">
                  <c:v>6.6243118160902315</c:v>
                </c:pt>
                <c:pt idx="101">
                  <c:v>6.6298463319614083</c:v>
                </c:pt>
                <c:pt idx="102">
                  <c:v>6.6135365008328861</c:v>
                </c:pt>
                <c:pt idx="103">
                  <c:v>6.6351725040977616</c:v>
                </c:pt>
                <c:pt idx="104">
                  <c:v>6.602156787267063</c:v>
                </c:pt>
                <c:pt idx="105">
                  <c:v>6.574499087067208</c:v>
                </c:pt>
                <c:pt idx="106">
                  <c:v>6.568961557083675</c:v>
                </c:pt>
                <c:pt idx="107">
                  <c:v>6.5691344730089325</c:v>
                </c:pt>
                <c:pt idx="108">
                  <c:v>6.5529443696907395</c:v>
                </c:pt>
                <c:pt idx="109">
                  <c:v>6.8254999860598096</c:v>
                </c:pt>
                <c:pt idx="110">
                  <c:v>6.6690469997407158</c:v>
                </c:pt>
                <c:pt idx="111">
                  <c:v>6.5603954938477793</c:v>
                </c:pt>
                <c:pt idx="112">
                  <c:v>6.517790494116416</c:v>
                </c:pt>
                <c:pt idx="113">
                  <c:v>6.4988868367253172</c:v>
                </c:pt>
                <c:pt idx="114">
                  <c:v>6.5283836297531526</c:v>
                </c:pt>
                <c:pt idx="115">
                  <c:v>6.4943662237181012</c:v>
                </c:pt>
                <c:pt idx="116">
                  <c:v>6.4673407080346887</c:v>
                </c:pt>
                <c:pt idx="117">
                  <c:v>6.4719010029243824</c:v>
                </c:pt>
                <c:pt idx="118">
                  <c:v>6.4847671578887169</c:v>
                </c:pt>
                <c:pt idx="119">
                  <c:v>6.5036242675083829</c:v>
                </c:pt>
                <c:pt idx="120">
                  <c:v>6.5169674017022814</c:v>
                </c:pt>
                <c:pt idx="121">
                  <c:v>6.5704192576383944</c:v>
                </c:pt>
                <c:pt idx="122">
                  <c:v>6.4735090516338296</c:v>
                </c:pt>
                <c:pt idx="123">
                  <c:v>6.441850033665383</c:v>
                </c:pt>
                <c:pt idx="124">
                  <c:v>6.4002375066898685</c:v>
                </c:pt>
                <c:pt idx="125">
                  <c:v>6.3554375097022211</c:v>
                </c:pt>
                <c:pt idx="126">
                  <c:v>6.3211058985686623</c:v>
                </c:pt>
                <c:pt idx="127">
                  <c:v>6.2951891573612757</c:v>
                </c:pt>
                <c:pt idx="128">
                  <c:v>6.2520295865150057</c:v>
                </c:pt>
                <c:pt idx="129">
                  <c:v>6.2292937989928303</c:v>
                </c:pt>
                <c:pt idx="130">
                  <c:v>6.2138389614566725</c:v>
                </c:pt>
                <c:pt idx="131">
                  <c:v>6.2019312224640757</c:v>
                </c:pt>
                <c:pt idx="132">
                  <c:v>6.1845892029568041</c:v>
                </c:pt>
                <c:pt idx="133">
                  <c:v>6.1771135399927308</c:v>
                </c:pt>
                <c:pt idx="134">
                  <c:v>6.1543949670832196</c:v>
                </c:pt>
                <c:pt idx="135">
                  <c:v>6.1241421715541806</c:v>
                </c:pt>
                <c:pt idx="136">
                  <c:v>6.1212875161628695</c:v>
                </c:pt>
                <c:pt idx="137">
                  <c:v>6.0947567395322224</c:v>
                </c:pt>
                <c:pt idx="138">
                  <c:v>6.0621731001019405</c:v>
                </c:pt>
                <c:pt idx="139">
                  <c:v>6.0605825559011572</c:v>
                </c:pt>
                <c:pt idx="140">
                  <c:v>6.0328160349523916</c:v>
                </c:pt>
                <c:pt idx="141">
                  <c:v>6.0142927874853322</c:v>
                </c:pt>
                <c:pt idx="142">
                  <c:v>6.0188399296582977</c:v>
                </c:pt>
                <c:pt idx="143">
                  <c:v>6.0079835881368782</c:v>
                </c:pt>
                <c:pt idx="144">
                  <c:v>5.9715679981730636</c:v>
                </c:pt>
                <c:pt idx="145">
                  <c:v>5.9504557830848182</c:v>
                </c:pt>
                <c:pt idx="146">
                  <c:v>5.9351671666568668</c:v>
                </c:pt>
                <c:pt idx="147">
                  <c:v>5.9228329296069324</c:v>
                </c:pt>
                <c:pt idx="148">
                  <c:v>5.9046432214616864</c:v>
                </c:pt>
                <c:pt idx="149">
                  <c:v>5.907481890670006</c:v>
                </c:pt>
                <c:pt idx="150">
                  <c:v>5.8933825101512669</c:v>
                </c:pt>
                <c:pt idx="151">
                  <c:v>5.8765852165937691</c:v>
                </c:pt>
                <c:pt idx="152">
                  <c:v>5.8711881837221229</c:v>
                </c:pt>
                <c:pt idx="153">
                  <c:v>5.8470369541771525</c:v>
                </c:pt>
                <c:pt idx="154">
                  <c:v>5.8343509151590922</c:v>
                </c:pt>
                <c:pt idx="155">
                  <c:v>5.8105564595443369</c:v>
                </c:pt>
                <c:pt idx="156">
                  <c:v>5.8024831704881796</c:v>
                </c:pt>
                <c:pt idx="157">
                  <c:v>5.7836076651370076</c:v>
                </c:pt>
                <c:pt idx="158">
                  <c:v>5.7848589751964514</c:v>
                </c:pt>
                <c:pt idx="159">
                  <c:v>5.7650814509463881</c:v>
                </c:pt>
                <c:pt idx="160">
                  <c:v>5.7551913588674752</c:v>
                </c:pt>
                <c:pt idx="161">
                  <c:v>5.7485555948491083</c:v>
                </c:pt>
                <c:pt idx="162">
                  <c:v>5.740426848741623</c:v>
                </c:pt>
                <c:pt idx="163">
                  <c:v>5.7247308372785009</c:v>
                </c:pt>
                <c:pt idx="164">
                  <c:v>5.7396137714749313</c:v>
                </c:pt>
                <c:pt idx="165">
                  <c:v>5.7235481876446537</c:v>
                </c:pt>
                <c:pt idx="166">
                  <c:v>5.6969392843322</c:v>
                </c:pt>
                <c:pt idx="167">
                  <c:v>5.7172414768667448</c:v>
                </c:pt>
                <c:pt idx="168">
                  <c:v>5.7069108604116829</c:v>
                </c:pt>
                <c:pt idx="169">
                  <c:v>5.7055301624915442</c:v>
                </c:pt>
                <c:pt idx="170">
                  <c:v>5.702145104403427</c:v>
                </c:pt>
                <c:pt idx="171">
                  <c:v>5.6856010901092908</c:v>
                </c:pt>
                <c:pt idx="172">
                  <c:v>5.6666926076029638</c:v>
                </c:pt>
                <c:pt idx="173">
                  <c:v>5.6740583939444589</c:v>
                </c:pt>
                <c:pt idx="174">
                  <c:v>5.6717713484314514</c:v>
                </c:pt>
                <c:pt idx="175">
                  <c:v>5.6467850120482419</c:v>
                </c:pt>
                <c:pt idx="176">
                  <c:v>5.6437220487152633</c:v>
                </c:pt>
                <c:pt idx="177">
                  <c:v>5.6431642352350826</c:v>
                </c:pt>
                <c:pt idx="178">
                  <c:v>5.6424339727960415</c:v>
                </c:pt>
                <c:pt idx="179">
                  <c:v>5.6412681440478032</c:v>
                </c:pt>
                <c:pt idx="180">
                  <c:v>5.6349783215124409</c:v>
                </c:pt>
                <c:pt idx="181">
                  <c:v>5.6280540586945342</c:v>
                </c:pt>
                <c:pt idx="182">
                  <c:v>5.6282232846749203</c:v>
                </c:pt>
                <c:pt idx="183">
                  <c:v>5.6222828636991045</c:v>
                </c:pt>
                <c:pt idx="184">
                  <c:v>5.6264787708211355</c:v>
                </c:pt>
                <c:pt idx="185">
                  <c:v>5.6298337926527209</c:v>
                </c:pt>
                <c:pt idx="186">
                  <c:v>5.6300065685379055</c:v>
                </c:pt>
                <c:pt idx="187">
                  <c:v>5.6276806686546248</c:v>
                </c:pt>
                <c:pt idx="188">
                  <c:v>5.6238149207406094</c:v>
                </c:pt>
                <c:pt idx="189">
                  <c:v>5.6318757159978148</c:v>
                </c:pt>
                <c:pt idx="190">
                  <c:v>5.6362627070523565</c:v>
                </c:pt>
                <c:pt idx="191">
                  <c:v>5.6354521311076997</c:v>
                </c:pt>
                <c:pt idx="192">
                  <c:v>5.6446323491914869</c:v>
                </c:pt>
                <c:pt idx="193">
                  <c:v>5.6348535943297113</c:v>
                </c:pt>
                <c:pt idx="194">
                  <c:v>5.6990063480594531</c:v>
                </c:pt>
                <c:pt idx="195">
                  <c:v>5.6732401450391485</c:v>
                </c:pt>
                <c:pt idx="196">
                  <c:v>5.668580634094166</c:v>
                </c:pt>
                <c:pt idx="197">
                  <c:v>5.6694959340154725</c:v>
                </c:pt>
                <c:pt idx="198">
                  <c:v>5.6762900513888432</c:v>
                </c:pt>
                <c:pt idx="199">
                  <c:v>5.6770216512176734</c:v>
                </c:pt>
                <c:pt idx="200">
                  <c:v>5.6832320089720234</c:v>
                </c:pt>
                <c:pt idx="201">
                  <c:v>5.6703573651986181</c:v>
                </c:pt>
                <c:pt idx="202">
                  <c:v>5.6822731470244401</c:v>
                </c:pt>
                <c:pt idx="203">
                  <c:v>5.6952021437448117</c:v>
                </c:pt>
                <c:pt idx="204">
                  <c:v>5.7088170713712891</c:v>
                </c:pt>
                <c:pt idx="205">
                  <c:v>5.7152361038120914</c:v>
                </c:pt>
                <c:pt idx="206">
                  <c:v>5.7219898252574453</c:v>
                </c:pt>
                <c:pt idx="207">
                  <c:v>5.7206531339825242</c:v>
                </c:pt>
                <c:pt idx="208">
                  <c:v>5.7368107775858146</c:v>
                </c:pt>
                <c:pt idx="209">
                  <c:v>5.7419092045635258</c:v>
                </c:pt>
                <c:pt idx="210">
                  <c:v>5.7560543095678103</c:v>
                </c:pt>
                <c:pt idx="211">
                  <c:v>5.7572390098709878</c:v>
                </c:pt>
                <c:pt idx="212">
                  <c:v>5.766728523766945</c:v>
                </c:pt>
                <c:pt idx="213">
                  <c:v>5.7908651130400068</c:v>
                </c:pt>
                <c:pt idx="214">
                  <c:v>5.7970451437118697</c:v>
                </c:pt>
                <c:pt idx="215">
                  <c:v>5.8109651875035064</c:v>
                </c:pt>
                <c:pt idx="216">
                  <c:v>5.8287649648785473</c:v>
                </c:pt>
                <c:pt idx="217">
                  <c:v>5.8589537763864525</c:v>
                </c:pt>
                <c:pt idx="218">
                  <c:v>5.883761901948251</c:v>
                </c:pt>
                <c:pt idx="219">
                  <c:v>5.9069344574585427</c:v>
                </c:pt>
                <c:pt idx="220">
                  <c:v>5.9475910065553634</c:v>
                </c:pt>
                <c:pt idx="221">
                  <c:v>5.9628572902616686</c:v>
                </c:pt>
                <c:pt idx="222">
                  <c:v>6.0034266890397712</c:v>
                </c:pt>
                <c:pt idx="223">
                  <c:v>6.0210327311616689</c:v>
                </c:pt>
                <c:pt idx="224">
                  <c:v>5.9837399114788488</c:v>
                </c:pt>
                <c:pt idx="225">
                  <c:v>5.9711860376203472</c:v>
                </c:pt>
                <c:pt idx="226">
                  <c:v>5.9482404501480195</c:v>
                </c:pt>
                <c:pt idx="227">
                  <c:v>5.943226942276036</c:v>
                </c:pt>
                <c:pt idx="228">
                  <c:v>5.9327631216242169</c:v>
                </c:pt>
                <c:pt idx="229">
                  <c:v>5.9310836883982638</c:v>
                </c:pt>
                <c:pt idx="230">
                  <c:v>5.9430447635739441</c:v>
                </c:pt>
                <c:pt idx="231">
                  <c:v>5.9542637378016741</c:v>
                </c:pt>
                <c:pt idx="232">
                  <c:v>6.0001268092934295</c:v>
                </c:pt>
                <c:pt idx="233">
                  <c:v>6.0899564605320986</c:v>
                </c:pt>
                <c:pt idx="234">
                  <c:v>6.1989020264036343</c:v>
                </c:pt>
                <c:pt idx="235">
                  <c:v>5.9893881634966597</c:v>
                </c:pt>
                <c:pt idx="236">
                  <c:v>6.0201849736614292</c:v>
                </c:pt>
                <c:pt idx="237">
                  <c:v>6.0165939560447512</c:v>
                </c:pt>
                <c:pt idx="238">
                  <c:v>6.0096786630172936</c:v>
                </c:pt>
                <c:pt idx="239">
                  <c:v>6.014619876668295</c:v>
                </c:pt>
                <c:pt idx="240">
                  <c:v>6.0116260818675498</c:v>
                </c:pt>
                <c:pt idx="241">
                  <c:v>6.0181849139721644</c:v>
                </c:pt>
                <c:pt idx="242">
                  <c:v>6.0445862721986741</c:v>
                </c:pt>
                <c:pt idx="243">
                  <c:v>6.0342200644853321</c:v>
                </c:pt>
                <c:pt idx="244">
                  <c:v>6.0482873322338566</c:v>
                </c:pt>
                <c:pt idx="245">
                  <c:v>6.0431088223676523</c:v>
                </c:pt>
                <c:pt idx="246">
                  <c:v>6.043660004600599</c:v>
                </c:pt>
                <c:pt idx="247">
                  <c:v>6.0480233177964138</c:v>
                </c:pt>
                <c:pt idx="248">
                  <c:v>6.0538308938505283</c:v>
                </c:pt>
                <c:pt idx="249">
                  <c:v>6.0708528909881858</c:v>
                </c:pt>
                <c:pt idx="250">
                  <c:v>6.0700637314716683</c:v>
                </c:pt>
                <c:pt idx="251">
                  <c:v>6.0703173375372677</c:v>
                </c:pt>
                <c:pt idx="252">
                  <c:v>6.0704071645769613</c:v>
                </c:pt>
                <c:pt idx="253">
                  <c:v>6.07123912046859</c:v>
                </c:pt>
                <c:pt idx="254">
                  <c:v>6.0699261857533138</c:v>
                </c:pt>
                <c:pt idx="255">
                  <c:v>6.0768105437460616</c:v>
                </c:pt>
                <c:pt idx="256">
                  <c:v>6.0782299435194789</c:v>
                </c:pt>
                <c:pt idx="257">
                  <c:v>6.1235186713722189</c:v>
                </c:pt>
                <c:pt idx="258">
                  <c:v>6.1203924276544175</c:v>
                </c:pt>
                <c:pt idx="259">
                  <c:v>6.1268413760098506</c:v>
                </c:pt>
                <c:pt idx="260">
                  <c:v>6.1426838662784506</c:v>
                </c:pt>
                <c:pt idx="261">
                  <c:v>6.1671252859876571</c:v>
                </c:pt>
                <c:pt idx="262">
                  <c:v>6.1538223629541848</c:v>
                </c:pt>
                <c:pt idx="263">
                  <c:v>6.1888141535668284</c:v>
                </c:pt>
                <c:pt idx="264">
                  <c:v>6.2149163208724456</c:v>
                </c:pt>
                <c:pt idx="265">
                  <c:v>6.2474009824461927</c:v>
                </c:pt>
                <c:pt idx="266">
                  <c:v>6.2878455953216079</c:v>
                </c:pt>
                <c:pt idx="267">
                  <c:v>6.3099899639230532</c:v>
                </c:pt>
                <c:pt idx="268">
                  <c:v>6.2524860719784172</c:v>
                </c:pt>
                <c:pt idx="269">
                  <c:v>6.155567988707495</c:v>
                </c:pt>
                <c:pt idx="270">
                  <c:v>6.0862184171018461</c:v>
                </c:pt>
                <c:pt idx="271">
                  <c:v>6.0498573763415635</c:v>
                </c:pt>
                <c:pt idx="272">
                  <c:v>6.0184010188959824</c:v>
                </c:pt>
                <c:pt idx="273">
                  <c:v>6.0025499455533247</c:v>
                </c:pt>
                <c:pt idx="274">
                  <c:v>5.9973531346667848</c:v>
                </c:pt>
                <c:pt idx="275">
                  <c:v>6.0436168250598161</c:v>
                </c:pt>
                <c:pt idx="276">
                  <c:v>6.1804259541325539</c:v>
                </c:pt>
                <c:pt idx="277">
                  <c:v>6.4204654409701982</c:v>
                </c:pt>
                <c:pt idx="278">
                  <c:v>5.8907019107876675</c:v>
                </c:pt>
                <c:pt idx="279">
                  <c:v>5.8753588105208872</c:v>
                </c:pt>
                <c:pt idx="280">
                  <c:v>5.8467307531857413</c:v>
                </c:pt>
                <c:pt idx="281">
                  <c:v>5.8247585951118364</c:v>
                </c:pt>
                <c:pt idx="282">
                  <c:v>5.8170048245476842</c:v>
                </c:pt>
                <c:pt idx="283">
                  <c:v>5.8094893811746386</c:v>
                </c:pt>
                <c:pt idx="284">
                  <c:v>5.8052309217699598</c:v>
                </c:pt>
                <c:pt idx="285">
                  <c:v>5.7581950357193765</c:v>
                </c:pt>
                <c:pt idx="286">
                  <c:v>5.7346667742267137</c:v>
                </c:pt>
                <c:pt idx="287">
                  <c:v>5.7329665417603879</c:v>
                </c:pt>
                <c:pt idx="288">
                  <c:v>5.6974537835448889</c:v>
                </c:pt>
                <c:pt idx="289">
                  <c:v>5.6676498498665158</c:v>
                </c:pt>
                <c:pt idx="290">
                  <c:v>5.6377251906638497</c:v>
                </c:pt>
                <c:pt idx="291">
                  <c:v>5.6270158046194503</c:v>
                </c:pt>
                <c:pt idx="292">
                  <c:v>5.6051374368503133</c:v>
                </c:pt>
                <c:pt idx="293">
                  <c:v>5.5878570294114223</c:v>
                </c:pt>
                <c:pt idx="294">
                  <c:v>5.5661689402598613</c:v>
                </c:pt>
                <c:pt idx="295">
                  <c:v>5.5252807866343403</c:v>
                </c:pt>
                <c:pt idx="296">
                  <c:v>5.4944825793614482</c:v>
                </c:pt>
                <c:pt idx="297">
                  <c:v>5.4632832874943205</c:v>
                </c:pt>
                <c:pt idx="298">
                  <c:v>5.4426356185830675</c:v>
                </c:pt>
                <c:pt idx="299">
                  <c:v>5.4153752161274822</c:v>
                </c:pt>
                <c:pt idx="300">
                  <c:v>5.3967248688405585</c:v>
                </c:pt>
                <c:pt idx="301">
                  <c:v>5.3780299137614964</c:v>
                </c:pt>
                <c:pt idx="302">
                  <c:v>5.3668341646648674</c:v>
                </c:pt>
                <c:pt idx="303">
                  <c:v>5.3368206318700535</c:v>
                </c:pt>
                <c:pt idx="304">
                  <c:v>5.3274184819199215</c:v>
                </c:pt>
                <c:pt idx="305">
                  <c:v>5.3138848104368384</c:v>
                </c:pt>
                <c:pt idx="306">
                  <c:v>5.3179219988670203</c:v>
                </c:pt>
                <c:pt idx="307">
                  <c:v>5.3050812044841171</c:v>
                </c:pt>
                <c:pt idx="308">
                  <c:v>5.2950737445876879</c:v>
                </c:pt>
                <c:pt idx="309">
                  <c:v>5.3383904456892095</c:v>
                </c:pt>
                <c:pt idx="310">
                  <c:v>5.392630489420764</c:v>
                </c:pt>
                <c:pt idx="311">
                  <c:v>5.4326223342749786</c:v>
                </c:pt>
                <c:pt idx="312">
                  <c:v>5.4733598148791351</c:v>
                </c:pt>
                <c:pt idx="313">
                  <c:v>5.491425809760238</c:v>
                </c:pt>
                <c:pt idx="314">
                  <c:v>5.4876542148648788</c:v>
                </c:pt>
                <c:pt idx="315">
                  <c:v>5.4176400518796175</c:v>
                </c:pt>
                <c:pt idx="316">
                  <c:v>5.3347386016852676</c:v>
                </c:pt>
                <c:pt idx="317">
                  <c:v>5.2072171664469433</c:v>
                </c:pt>
                <c:pt idx="318">
                  <c:v>5.1111041096205891</c:v>
                </c:pt>
                <c:pt idx="319">
                  <c:v>5.0291309393454267</c:v>
                </c:pt>
                <c:pt idx="320">
                  <c:v>4.9628305793819418</c:v>
                </c:pt>
                <c:pt idx="321">
                  <c:v>4.8969922639705281</c:v>
                </c:pt>
                <c:pt idx="322">
                  <c:v>4.8406584377059776</c:v>
                </c:pt>
                <c:pt idx="323">
                  <c:v>4.821628262497434</c:v>
                </c:pt>
                <c:pt idx="324">
                  <c:v>4.7845204175363234</c:v>
                </c:pt>
                <c:pt idx="325">
                  <c:v>4.7525435382889487</c:v>
                </c:pt>
                <c:pt idx="326">
                  <c:v>4.7439457831280247</c:v>
                </c:pt>
                <c:pt idx="327">
                  <c:v>4.771186834467219</c:v>
                </c:pt>
                <c:pt idx="328">
                  <c:v>4.8134613294074899</c:v>
                </c:pt>
                <c:pt idx="329">
                  <c:v>4.8624243579158204</c:v>
                </c:pt>
                <c:pt idx="330">
                  <c:v>4.9127231107192006</c:v>
                </c:pt>
                <c:pt idx="331">
                  <c:v>5.0131311601060693</c:v>
                </c:pt>
                <c:pt idx="332">
                  <c:v>5.1295352324331249</c:v>
                </c:pt>
                <c:pt idx="333">
                  <c:v>5.2837426204329345</c:v>
                </c:pt>
                <c:pt idx="334">
                  <c:v>5.4390228517728882</c:v>
                </c:pt>
                <c:pt idx="335">
                  <c:v>5.581233813286981</c:v>
                </c:pt>
                <c:pt idx="336">
                  <c:v>4.4847504331381307</c:v>
                </c:pt>
                <c:pt idx="337">
                  <c:v>4.4575035640114296</c:v>
                </c:pt>
                <c:pt idx="338">
                  <c:v>4.4292929032806256</c:v>
                </c:pt>
                <c:pt idx="339">
                  <c:v>4.4232674957002525</c:v>
                </c:pt>
                <c:pt idx="340">
                  <c:v>4.4146946841222183</c:v>
                </c:pt>
                <c:pt idx="341">
                  <c:v>4.4051363247629398</c:v>
                </c:pt>
                <c:pt idx="342">
                  <c:v>4.397841721810706</c:v>
                </c:pt>
                <c:pt idx="343">
                  <c:v>4.3871030970400708</c:v>
                </c:pt>
                <c:pt idx="344">
                  <c:v>4.3766899762007005</c:v>
                </c:pt>
                <c:pt idx="345">
                  <c:v>4.3826991174308603</c:v>
                </c:pt>
                <c:pt idx="346">
                  <c:v>4.3760980598203032</c:v>
                </c:pt>
                <c:pt idx="347">
                  <c:v>4.3541408898907221</c:v>
                </c:pt>
                <c:pt idx="348">
                  <c:v>4.3528556528202422</c:v>
                </c:pt>
                <c:pt idx="349">
                  <c:v>4.3417276128861744</c:v>
                </c:pt>
                <c:pt idx="350">
                  <c:v>4.3324732100708401</c:v>
                </c:pt>
                <c:pt idx="351">
                  <c:v>4.3552948442216213</c:v>
                </c:pt>
                <c:pt idx="352">
                  <c:v>4.3576548059147653</c:v>
                </c:pt>
                <c:pt idx="353">
                  <c:v>4.3541195250129867</c:v>
                </c:pt>
                <c:pt idx="354">
                  <c:v>4.3603832584469782</c:v>
                </c:pt>
                <c:pt idx="355">
                  <c:v>4.3702094551264423</c:v>
                </c:pt>
                <c:pt idx="356">
                  <c:v>4.3609855567620048</c:v>
                </c:pt>
                <c:pt idx="357">
                  <c:v>4.3604994020535361</c:v>
                </c:pt>
                <c:pt idx="358">
                  <c:v>4.373708123365903</c:v>
                </c:pt>
                <c:pt idx="359">
                  <c:v>4.3793782084193307</c:v>
                </c:pt>
                <c:pt idx="360">
                  <c:v>4.3881034812963158</c:v>
                </c:pt>
                <c:pt idx="361">
                  <c:v>4.4043756588601637</c:v>
                </c:pt>
                <c:pt idx="362">
                  <c:v>4.4129389354573423</c:v>
                </c:pt>
                <c:pt idx="363">
                  <c:v>4.4389721018919328</c:v>
                </c:pt>
                <c:pt idx="364">
                  <c:v>4.4355697845350912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DF-45C2-BC59-FDD80D044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94208"/>
        <c:axId val="84495744"/>
      </c:scatterChart>
      <c:valAx>
        <c:axId val="84494208"/>
        <c:scaling>
          <c:orientation val="minMax"/>
          <c:max val="36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ca-ES"/>
                  <a:t>dies</a:t>
                </a:r>
              </a:p>
            </c:rich>
          </c:tx>
          <c:layout>
            <c:manualLayout>
              <c:xMode val="edge"/>
              <c:yMode val="edge"/>
              <c:x val="0.48840081380359995"/>
              <c:y val="0.90908821811365703"/>
            </c:manualLayout>
          </c:layout>
          <c:overlay val="0"/>
        </c:title>
        <c:majorTickMark val="out"/>
        <c:minorTickMark val="out"/>
        <c:tickLblPos val="nextTo"/>
        <c:spPr>
          <a:ln/>
        </c:spPr>
        <c:crossAx val="84495744"/>
        <c:crosses val="autoZero"/>
        <c:crossBetween val="midCat"/>
        <c:majorUnit val="20"/>
        <c:minorUnit val="5"/>
      </c:valAx>
      <c:valAx>
        <c:axId val="8449574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ca-ES"/>
                  <a:t>kw·h/m</a:t>
                </a:r>
                <a:r>
                  <a:rPr lang="ca-ES" baseline="30000"/>
                  <a:t>2</a:t>
                </a:r>
              </a:p>
            </c:rich>
          </c:tx>
          <c:layout>
            <c:manualLayout>
              <c:xMode val="edge"/>
              <c:yMode val="edge"/>
              <c:x val="1.6402249521571145E-2"/>
              <c:y val="0.442647482541413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8449420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a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447326784166581E-2"/>
          <c:y val="8.3980840817979019E-2"/>
          <c:w val="0.92076133910467972"/>
          <c:h val="0.8206633910557175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CalculDia!$C$7:$C$30</c:f>
              <c:numCache>
                <c:formatCode>#,#00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39.775133348263054</c:v>
                </c:pt>
                <c:pt idx="7">
                  <c:v>178.94177483050302</c:v>
                </c:pt>
                <c:pt idx="8">
                  <c:v>362.40456215308456</c:v>
                </c:pt>
                <c:pt idx="9">
                  <c:v>543.41813624488202</c:v>
                </c:pt>
                <c:pt idx="10">
                  <c:v>697.40688662700927</c:v>
                </c:pt>
                <c:pt idx="11">
                  <c:v>804.04935347749654</c:v>
                </c:pt>
                <c:pt idx="12">
                  <c:v>837.06223908157131</c:v>
                </c:pt>
                <c:pt idx="13">
                  <c:v>790.89296790281071</c:v>
                </c:pt>
                <c:pt idx="14">
                  <c:v>665.1460900388139</c:v>
                </c:pt>
                <c:pt idx="15">
                  <c:v>461.4576815224811</c:v>
                </c:pt>
                <c:pt idx="16">
                  <c:v>187.67677758727979</c:v>
                </c:pt>
                <c:pt idx="17">
                  <c:v>31.187387376849603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4-4F6E-B125-1383DD565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8784"/>
        <c:axId val="84520320"/>
      </c:lineChart>
      <c:catAx>
        <c:axId val="84518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ca-ES"/>
                  <a:t>hora</a:t>
                </a:r>
              </a:p>
            </c:rich>
          </c:tx>
          <c:overlay val="0"/>
        </c:title>
        <c:majorTickMark val="out"/>
        <c:minorTickMark val="none"/>
        <c:tickLblPos val="nextTo"/>
        <c:crossAx val="84520320"/>
        <c:crosses val="autoZero"/>
        <c:auto val="1"/>
        <c:lblAlgn val="ctr"/>
        <c:lblOffset val="100"/>
        <c:noMultiLvlLbl val="0"/>
      </c:catAx>
      <c:valAx>
        <c:axId val="845203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ca-ES"/>
                  <a:t>w/m</a:t>
                </a:r>
                <a:r>
                  <a:rPr lang="ca-ES" baseline="30000"/>
                  <a:t>2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8451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a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_tradnl"/>
              <a:t>Radiació</a:t>
            </a:r>
            <a:r>
              <a:rPr lang="es-ES_tradnl" baseline="0"/>
              <a:t> mitjana diària (</a:t>
            </a:r>
            <a:r>
              <a:rPr lang="en-US" sz="1800" b="1" i="0" u="none" strike="noStrike" baseline="0">
                <a:effectLst/>
              </a:rPr>
              <a:t>k</a:t>
            </a:r>
            <a:r>
              <a:rPr lang="ca-ES" sz="1800" b="1" i="0" u="none" strike="noStrike" baseline="0">
                <a:effectLst/>
              </a:rPr>
              <a:t>w·h/m²</a:t>
            </a:r>
            <a:r>
              <a:rPr lang="es-ES_tradnl" baseline="0"/>
              <a:t>)</a:t>
            </a:r>
            <a:endParaRPr lang="es-ES_tradnl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667205769955237"/>
          <c:y val="0.14566510303233374"/>
          <c:w val="0.83097155562675318"/>
          <c:h val="0.662156419277377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CalculAngle!$J$4</c:f>
              <c:strCache>
                <c:ptCount val="1"/>
                <c:pt idx="0">
                  <c:v>31</c:v>
                </c:pt>
              </c:strCache>
            </c:strRef>
          </c:tx>
          <c:invertIfNegative val="0"/>
          <c:cat>
            <c:strRef>
              <c:f>CalculAngle!$I$5:$I$16</c:f>
              <c:strCache>
                <c:ptCount val="12"/>
                <c:pt idx="0">
                  <c:v>Gener</c:v>
                </c:pt>
                <c:pt idx="1">
                  <c:v>Febrer </c:v>
                </c:pt>
                <c:pt idx="2">
                  <c:v>Març</c:v>
                </c:pt>
                <c:pt idx="3">
                  <c:v>Abril</c:v>
                </c:pt>
                <c:pt idx="4">
                  <c:v>Maig</c:v>
                </c:pt>
                <c:pt idx="5">
                  <c:v>Juny</c:v>
                </c:pt>
                <c:pt idx="6">
                  <c:v>Juliol</c:v>
                </c:pt>
                <c:pt idx="7">
                  <c:v>Agost</c:v>
                </c:pt>
                <c:pt idx="8">
                  <c:v>Septembre</c:v>
                </c:pt>
                <c:pt idx="9">
                  <c:v>Octubre</c:v>
                </c:pt>
                <c:pt idx="10">
                  <c:v>Novembre</c:v>
                </c:pt>
                <c:pt idx="11">
                  <c:v>Desembre</c:v>
                </c:pt>
              </c:strCache>
            </c:strRef>
          </c:cat>
          <c:val>
            <c:numRef>
              <c:f>CalculAngle!$J$5:$J$16</c:f>
              <c:numCache>
                <c:formatCode>0.00</c:formatCode>
                <c:ptCount val="12"/>
                <c:pt idx="0">
                  <c:v>4.7309769072983219</c:v>
                </c:pt>
                <c:pt idx="1">
                  <c:v>5.6201662499791691</c:v>
                </c:pt>
                <c:pt idx="2">
                  <c:v>6.7068676044050912</c:v>
                </c:pt>
                <c:pt idx="3">
                  <c:v>7.0365923852061636</c:v>
                </c:pt>
                <c:pt idx="4">
                  <c:v>6.8183710872347838</c:v>
                </c:pt>
                <c:pt idx="5">
                  <c:v>6.4719270618208489</c:v>
                </c:pt>
                <c:pt idx="6">
                  <c:v>6.3556534321841909</c:v>
                </c:pt>
                <c:pt idx="7">
                  <c:v>6.4310126652721102</c:v>
                </c:pt>
                <c:pt idx="8">
                  <c:v>6.2663392442628725</c:v>
                </c:pt>
                <c:pt idx="9">
                  <c:v>5.5079562674222746</c:v>
                </c:pt>
                <c:pt idx="10">
                  <c:v>4.6745030708933433</c:v>
                </c:pt>
                <c:pt idx="11">
                  <c:v>3.8723777040824365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A-4C45-B97F-E8320922DEE6}"/>
            </c:ext>
          </c:extLst>
        </c:ser>
        <c:ser>
          <c:idx val="1"/>
          <c:order val="1"/>
          <c:tx>
            <c:strRef>
              <c:f>CalculAngle!$K$4</c:f>
              <c:strCache>
                <c:ptCount val="1"/>
                <c:pt idx="0">
                  <c:v>21</c:v>
                </c:pt>
              </c:strCache>
            </c:strRef>
          </c:tx>
          <c:invertIfNegative val="0"/>
          <c:cat>
            <c:strRef>
              <c:f>CalculAngle!$I$5:$I$16</c:f>
              <c:strCache>
                <c:ptCount val="12"/>
                <c:pt idx="0">
                  <c:v>Gener</c:v>
                </c:pt>
                <c:pt idx="1">
                  <c:v>Febrer </c:v>
                </c:pt>
                <c:pt idx="2">
                  <c:v>Març</c:v>
                </c:pt>
                <c:pt idx="3">
                  <c:v>Abril</c:v>
                </c:pt>
                <c:pt idx="4">
                  <c:v>Maig</c:v>
                </c:pt>
                <c:pt idx="5">
                  <c:v>Juny</c:v>
                </c:pt>
                <c:pt idx="6">
                  <c:v>Juliol</c:v>
                </c:pt>
                <c:pt idx="7">
                  <c:v>Agost</c:v>
                </c:pt>
                <c:pt idx="8">
                  <c:v>Septembre</c:v>
                </c:pt>
                <c:pt idx="9">
                  <c:v>Octubre</c:v>
                </c:pt>
                <c:pt idx="10">
                  <c:v>Novembre</c:v>
                </c:pt>
                <c:pt idx="11">
                  <c:v>Desembre</c:v>
                </c:pt>
              </c:strCache>
            </c:strRef>
          </c:cat>
          <c:val>
            <c:numRef>
              <c:f>CalculAngle!$K$5:$K$16</c:f>
              <c:numCache>
                <c:formatCode>0.00</c:formatCode>
                <c:ptCount val="12"/>
                <c:pt idx="0">
                  <c:v>4.3163991422836894</c:v>
                </c:pt>
                <c:pt idx="1">
                  <c:v>5.3011286007060026</c:v>
                </c:pt>
                <c:pt idx="2">
                  <c:v>6.5152135829781459</c:v>
                </c:pt>
                <c:pt idx="3">
                  <c:v>7.0569788316437947</c:v>
                </c:pt>
                <c:pt idx="4">
                  <c:v>6.9831870351958427</c:v>
                </c:pt>
                <c:pt idx="5">
                  <c:v>6.6907528179235634</c:v>
                </c:pt>
                <c:pt idx="6">
                  <c:v>6.5345849109440053</c:v>
                </c:pt>
                <c:pt idx="7">
                  <c:v>6.4923387189128228</c:v>
                </c:pt>
                <c:pt idx="8">
                  <c:v>6.1519704164410154</c:v>
                </c:pt>
                <c:pt idx="9">
                  <c:v>5.2448502166160118</c:v>
                </c:pt>
                <c:pt idx="10">
                  <c:v>4.2903205017293713</c:v>
                </c:pt>
                <c:pt idx="11">
                  <c:v>3.5388217307681531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EA-4C45-B97F-E8320922DEE6}"/>
            </c:ext>
          </c:extLst>
        </c:ser>
        <c:ser>
          <c:idx val="2"/>
          <c:order val="2"/>
          <c:tx>
            <c:strRef>
              <c:f>CalculAngle!$L$4</c:f>
              <c:strCache>
                <c:ptCount val="1"/>
                <c:pt idx="0">
                  <c:v>51</c:v>
                </c:pt>
              </c:strCache>
            </c:strRef>
          </c:tx>
          <c:invertIfNegative val="0"/>
          <c:cat>
            <c:strRef>
              <c:f>CalculAngle!$I$5:$I$16</c:f>
              <c:strCache>
                <c:ptCount val="12"/>
                <c:pt idx="0">
                  <c:v>Gener</c:v>
                </c:pt>
                <c:pt idx="1">
                  <c:v>Febrer </c:v>
                </c:pt>
                <c:pt idx="2">
                  <c:v>Març</c:v>
                </c:pt>
                <c:pt idx="3">
                  <c:v>Abril</c:v>
                </c:pt>
                <c:pt idx="4">
                  <c:v>Maig</c:v>
                </c:pt>
                <c:pt idx="5">
                  <c:v>Juny</c:v>
                </c:pt>
                <c:pt idx="6">
                  <c:v>Juliol</c:v>
                </c:pt>
                <c:pt idx="7">
                  <c:v>Agost</c:v>
                </c:pt>
                <c:pt idx="8">
                  <c:v>Septembre</c:v>
                </c:pt>
                <c:pt idx="9">
                  <c:v>Octubre</c:v>
                </c:pt>
                <c:pt idx="10">
                  <c:v>Novembre</c:v>
                </c:pt>
                <c:pt idx="11">
                  <c:v>Desembre</c:v>
                </c:pt>
              </c:strCache>
            </c:strRef>
          </c:cat>
          <c:val>
            <c:numRef>
              <c:f>CalculAngle!$L$5:$L$16</c:f>
              <c:numCache>
                <c:formatCode>0.00</c:formatCode>
                <c:ptCount val="12"/>
                <c:pt idx="0">
                  <c:v>5.2428061462284008</c:v>
                </c:pt>
                <c:pt idx="1">
                  <c:v>5.8938875821948242</c:v>
                </c:pt>
                <c:pt idx="2">
                  <c:v>6.6650336502844363</c:v>
                </c:pt>
                <c:pt idx="3">
                  <c:v>6.5958772645149093</c:v>
                </c:pt>
                <c:pt idx="4">
                  <c:v>6.1345138978904741</c:v>
                </c:pt>
                <c:pt idx="5">
                  <c:v>5.7212842164956736</c:v>
                </c:pt>
                <c:pt idx="6">
                  <c:v>5.6771462824513925</c:v>
                </c:pt>
                <c:pt idx="7">
                  <c:v>5.9634779089196233</c:v>
                </c:pt>
                <c:pt idx="8">
                  <c:v>6.1154396371292021</c:v>
                </c:pt>
                <c:pt idx="9">
                  <c:v>5.6862212415518734</c:v>
                </c:pt>
                <c:pt idx="10">
                  <c:v>5.132540750533555</c:v>
                </c:pt>
                <c:pt idx="11">
                  <c:v>4.2854742483108899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EA-4C45-B97F-E8320922D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815040"/>
        <c:axId val="103816576"/>
      </c:barChart>
      <c:catAx>
        <c:axId val="103815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3816576"/>
        <c:crosses val="autoZero"/>
        <c:auto val="1"/>
        <c:lblAlgn val="ctr"/>
        <c:lblOffset val="100"/>
        <c:noMultiLvlLbl val="0"/>
      </c:catAx>
      <c:valAx>
        <c:axId val="10381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ca-ES" sz="1000" b="1" i="0" baseline="0">
                    <a:effectLst/>
                  </a:rPr>
                  <a:t>kw·h/m</a:t>
                </a:r>
                <a:r>
                  <a:rPr lang="ca-ES" sz="1000" b="1" i="0" baseline="30000">
                    <a:effectLst/>
                  </a:rPr>
                  <a:t>2</a:t>
                </a:r>
                <a:endParaRPr lang="ca-ES" sz="1000">
                  <a:effectLst/>
                </a:endParaRP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3815040"/>
        <c:crosses val="autoZero"/>
        <c:crossBetween val="between"/>
      </c:valAx>
      <c:spPr>
        <a:ln>
          <a:solidFill>
            <a:schemeClr val="tx1">
              <a:tint val="75000"/>
              <a:shade val="95000"/>
              <a:satMod val="10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8591883378335996"/>
          <c:y val="0.11830904115708937"/>
          <c:w val="7.8372644171549155E-2"/>
          <c:h val="0.19237141899815716"/>
        </c:manualLayout>
      </c:layout>
      <c:overlay val="0"/>
      <c:spPr>
        <a:solidFill>
          <a:schemeClr val="bg1"/>
        </a:solidFill>
        <a:ln>
          <a:solidFill>
            <a:schemeClr val="tx1">
              <a:tint val="75000"/>
              <a:shade val="95000"/>
              <a:satMod val="105000"/>
            </a:schemeClr>
          </a:solidFill>
        </a:ln>
      </c:spPr>
    </c:legend>
    <c:plotVisOnly val="1"/>
    <c:dispBlanksAs val="gap"/>
    <c:showDLblsOverMax val="0"/>
  </c:chart>
  <c:spPr>
    <a:ln>
      <a:solidFill>
        <a:sysClr val="windowText" lastClr="000000"/>
      </a:solidFill>
    </a:ln>
    <a:effectLst>
      <a:glow rad="101600">
        <a:schemeClr val="bg1">
          <a:alpha val="40000"/>
        </a:schemeClr>
      </a:glo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a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_tradnl"/>
              <a:t>Radiació</a:t>
            </a:r>
            <a:r>
              <a:rPr lang="es-ES_tradnl" baseline="0"/>
              <a:t> anual (</a:t>
            </a:r>
            <a:r>
              <a:rPr lang="en-US" sz="1800" b="1" i="0" u="none" strike="noStrike" baseline="0">
                <a:effectLst/>
              </a:rPr>
              <a:t>k</a:t>
            </a:r>
            <a:r>
              <a:rPr lang="ca-ES" sz="1800" b="1" i="0" u="none" strike="noStrike" baseline="0">
                <a:effectLst/>
              </a:rPr>
              <a:t>w·h/m²</a:t>
            </a:r>
            <a:r>
              <a:rPr lang="es-ES_tradnl" baseline="0"/>
              <a:t>)</a:t>
            </a:r>
            <a:endParaRPr lang="es-ES_tradnl"/>
          </a:p>
        </c:rich>
      </c:tx>
      <c:layout>
        <c:manualLayout>
          <c:xMode val="edge"/>
          <c:yMode val="edge"/>
          <c:x val="0.40998863545850733"/>
          <c:y val="2.43753808653260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3526243699008907E-2"/>
          <c:y val="0.12032129439030359"/>
          <c:w val="0.91470406677059268"/>
          <c:h val="0.7392064565969472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CalculAngle!$D$4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CalculAngle!$C$5:$C$369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CalculAngle!$D$5:$D$369</c:f>
              <c:numCache>
                <c:formatCode>#,#00</c:formatCode>
                <c:ptCount val="365"/>
                <c:pt idx="0">
                  <c:v>4.0067906027556113</c:v>
                </c:pt>
                <c:pt idx="1">
                  <c:v>4.0680612311903781</c:v>
                </c:pt>
                <c:pt idx="2">
                  <c:v>4.0637243619889674</c:v>
                </c:pt>
                <c:pt idx="3">
                  <c:v>4.0705866522314427</c:v>
                </c:pt>
                <c:pt idx="4">
                  <c:v>4.1252215919883639</c:v>
                </c:pt>
                <c:pt idx="5">
                  <c:v>4.1438939068731857</c:v>
                </c:pt>
                <c:pt idx="6">
                  <c:v>4.130648836689498</c:v>
                </c:pt>
                <c:pt idx="7">
                  <c:v>4.1493441050571489</c:v>
                </c:pt>
                <c:pt idx="8">
                  <c:v>4.8903066033319353</c:v>
                </c:pt>
                <c:pt idx="9">
                  <c:v>4.801882923558213</c:v>
                </c:pt>
                <c:pt idx="10">
                  <c:v>4.7600848075938504</c:v>
                </c:pt>
                <c:pt idx="11">
                  <c:v>4.6826947723227965</c:v>
                </c:pt>
                <c:pt idx="12">
                  <c:v>4.6060289154253153</c:v>
                </c:pt>
                <c:pt idx="13">
                  <c:v>4.5360965518480256</c:v>
                </c:pt>
                <c:pt idx="14">
                  <c:v>4.5368915712171969</c:v>
                </c:pt>
                <c:pt idx="15">
                  <c:v>4.5384984400284925</c:v>
                </c:pt>
                <c:pt idx="16">
                  <c:v>4.5114083578784934</c:v>
                </c:pt>
                <c:pt idx="17">
                  <c:v>4.5062878803517101</c:v>
                </c:pt>
                <c:pt idx="18">
                  <c:v>4.5380471603277943</c:v>
                </c:pt>
                <c:pt idx="19">
                  <c:v>4.5649476811100804</c:v>
                </c:pt>
                <c:pt idx="20">
                  <c:v>4.5902291085396207</c:v>
                </c:pt>
                <c:pt idx="21">
                  <c:v>4.6151759035565449</c:v>
                </c:pt>
                <c:pt idx="22">
                  <c:v>4.6599133179164403</c:v>
                </c:pt>
                <c:pt idx="23">
                  <c:v>4.7045937086310783</c:v>
                </c:pt>
                <c:pt idx="24">
                  <c:v>4.7673199336559291</c:v>
                </c:pt>
                <c:pt idx="25">
                  <c:v>4.8470844354688447</c:v>
                </c:pt>
                <c:pt idx="26">
                  <c:v>4.9325347496176386</c:v>
                </c:pt>
                <c:pt idx="27">
                  <c:v>5.041590018968245</c:v>
                </c:pt>
                <c:pt idx="28">
                  <c:v>5.1178990234683006</c:v>
                </c:pt>
                <c:pt idx="29">
                  <c:v>5.2043772222801481</c:v>
                </c:pt>
                <c:pt idx="30">
                  <c:v>5.2171428430783395</c:v>
                </c:pt>
                <c:pt idx="31">
                  <c:v>5.2147976818223327</c:v>
                </c:pt>
                <c:pt idx="32">
                  <c:v>5.2069756252370016</c:v>
                </c:pt>
                <c:pt idx="33">
                  <c:v>5.2443962354233911</c:v>
                </c:pt>
                <c:pt idx="34">
                  <c:v>5.2542056703479005</c:v>
                </c:pt>
                <c:pt idx="35">
                  <c:v>5.2288265901548501</c:v>
                </c:pt>
                <c:pt idx="36">
                  <c:v>5.2264389402008673</c:v>
                </c:pt>
                <c:pt idx="37">
                  <c:v>5.3108473122553681</c:v>
                </c:pt>
                <c:pt idx="38">
                  <c:v>5.3048777308002109</c:v>
                </c:pt>
                <c:pt idx="39">
                  <c:v>5.3377657126404712</c:v>
                </c:pt>
                <c:pt idx="40">
                  <c:v>5.3557010031716787</c:v>
                </c:pt>
                <c:pt idx="41">
                  <c:v>5.392105509732076</c:v>
                </c:pt>
                <c:pt idx="42">
                  <c:v>5.4246818937535659</c:v>
                </c:pt>
                <c:pt idx="43">
                  <c:v>5.4592658815233142</c:v>
                </c:pt>
                <c:pt idx="44">
                  <c:v>5.5389402439782431</c:v>
                </c:pt>
                <c:pt idx="45">
                  <c:v>5.6334794741722432</c:v>
                </c:pt>
                <c:pt idx="46">
                  <c:v>5.6669205366921718</c:v>
                </c:pt>
                <c:pt idx="47">
                  <c:v>5.6897480054356793</c:v>
                </c:pt>
                <c:pt idx="48">
                  <c:v>5.7038182450811883</c:v>
                </c:pt>
                <c:pt idx="49">
                  <c:v>5.7495439550979439</c:v>
                </c:pt>
                <c:pt idx="50">
                  <c:v>5.7875356243070888</c:v>
                </c:pt>
                <c:pt idx="51">
                  <c:v>5.8187984354320506</c:v>
                </c:pt>
                <c:pt idx="52">
                  <c:v>5.8580065093627942</c:v>
                </c:pt>
                <c:pt idx="53">
                  <c:v>5.9032344404560577</c:v>
                </c:pt>
                <c:pt idx="54">
                  <c:v>5.9249340108686566</c:v>
                </c:pt>
                <c:pt idx="55">
                  <c:v>5.9925092143888126</c:v>
                </c:pt>
                <c:pt idx="56">
                  <c:v>6.016248838775855</c:v>
                </c:pt>
                <c:pt idx="57">
                  <c:v>6.0704792638123743</c:v>
                </c:pt>
                <c:pt idx="58">
                  <c:v>6.0943216205155641</c:v>
                </c:pt>
                <c:pt idx="59">
                  <c:v>6.1700484757992839</c:v>
                </c:pt>
                <c:pt idx="60">
                  <c:v>6.196689928106327</c:v>
                </c:pt>
                <c:pt idx="61">
                  <c:v>6.2394151158302149</c:v>
                </c:pt>
                <c:pt idx="62">
                  <c:v>6.2764654988879993</c:v>
                </c:pt>
                <c:pt idx="63">
                  <c:v>6.2747025336418538</c:v>
                </c:pt>
                <c:pt idx="64">
                  <c:v>6.3611059402590646</c:v>
                </c:pt>
                <c:pt idx="65">
                  <c:v>6.405680872541021</c:v>
                </c:pt>
                <c:pt idx="66">
                  <c:v>6.7952620956427872</c:v>
                </c:pt>
                <c:pt idx="67">
                  <c:v>6.6921567140528335</c:v>
                </c:pt>
                <c:pt idx="68">
                  <c:v>6.5756786332601012</c:v>
                </c:pt>
                <c:pt idx="69">
                  <c:v>6.5659089351508895</c:v>
                </c:pt>
                <c:pt idx="70">
                  <c:v>6.570261850366097</c:v>
                </c:pt>
                <c:pt idx="71">
                  <c:v>6.6072518996059788</c:v>
                </c:pt>
                <c:pt idx="72">
                  <c:v>6.6410360281353658</c:v>
                </c:pt>
                <c:pt idx="73">
                  <c:v>6.6666801339684172</c:v>
                </c:pt>
                <c:pt idx="74">
                  <c:v>6.7452662144874322</c:v>
                </c:pt>
                <c:pt idx="75">
                  <c:v>6.8322897876715158</c:v>
                </c:pt>
                <c:pt idx="76">
                  <c:v>6.8942276215759133</c:v>
                </c:pt>
                <c:pt idx="77">
                  <c:v>6.9024516436659775</c:v>
                </c:pt>
                <c:pt idx="78">
                  <c:v>6.8763162723066209</c:v>
                </c:pt>
                <c:pt idx="79">
                  <c:v>6.8617122105625521</c:v>
                </c:pt>
                <c:pt idx="80">
                  <c:v>6.8558126966249322</c:v>
                </c:pt>
                <c:pt idx="81">
                  <c:v>6.8703795742627198</c:v>
                </c:pt>
                <c:pt idx="82">
                  <c:v>6.9066237897246152</c:v>
                </c:pt>
                <c:pt idx="83">
                  <c:v>6.8782816711486854</c:v>
                </c:pt>
                <c:pt idx="84">
                  <c:v>6.8721472533173564</c:v>
                </c:pt>
                <c:pt idx="85">
                  <c:v>6.8782376645491698</c:v>
                </c:pt>
                <c:pt idx="86">
                  <c:v>6.9063833490747886</c:v>
                </c:pt>
                <c:pt idx="87">
                  <c:v>6.929026019980018</c:v>
                </c:pt>
                <c:pt idx="88">
                  <c:v>6.9249371140924652</c:v>
                </c:pt>
                <c:pt idx="89">
                  <c:v>6.9244619502309126</c:v>
                </c:pt>
                <c:pt idx="90">
                  <c:v>6.9860447238331336</c:v>
                </c:pt>
                <c:pt idx="91">
                  <c:v>6.9663254523885927</c:v>
                </c:pt>
                <c:pt idx="92">
                  <c:v>6.9860536179210646</c:v>
                </c:pt>
                <c:pt idx="93">
                  <c:v>6.9661882052620321</c:v>
                </c:pt>
                <c:pt idx="94">
                  <c:v>6.967655482976137</c:v>
                </c:pt>
                <c:pt idx="95">
                  <c:v>6.9797411365681405</c:v>
                </c:pt>
                <c:pt idx="96">
                  <c:v>7.0111480469802423</c:v>
                </c:pt>
                <c:pt idx="97">
                  <c:v>7.0418206013348659</c:v>
                </c:pt>
                <c:pt idx="98">
                  <c:v>7.0385582697085143</c:v>
                </c:pt>
                <c:pt idx="99">
                  <c:v>7.0450500640843501</c:v>
                </c:pt>
                <c:pt idx="100">
                  <c:v>7.0178889106399387</c:v>
                </c:pt>
                <c:pt idx="101">
                  <c:v>7.0374041733863795</c:v>
                </c:pt>
                <c:pt idx="102">
                  <c:v>7.0297381702025303</c:v>
                </c:pt>
                <c:pt idx="103">
                  <c:v>7.0712207064257919</c:v>
                </c:pt>
                <c:pt idx="104">
                  <c:v>7.0470901136593129</c:v>
                </c:pt>
                <c:pt idx="105">
                  <c:v>7.0238590677108066</c:v>
                </c:pt>
                <c:pt idx="106">
                  <c:v>7.031014694498726</c:v>
                </c:pt>
                <c:pt idx="107">
                  <c:v>7.0480496589775647</c:v>
                </c:pt>
                <c:pt idx="108">
                  <c:v>7.0400518448226679</c:v>
                </c:pt>
                <c:pt idx="109">
                  <c:v>7.2052749647332552</c:v>
                </c:pt>
                <c:pt idx="110">
                  <c:v>7.1090059621213895</c:v>
                </c:pt>
                <c:pt idx="111">
                  <c:v>7.03798731338631</c:v>
                </c:pt>
                <c:pt idx="112">
                  <c:v>7.0233475732206569</c:v>
                </c:pt>
                <c:pt idx="113">
                  <c:v>7.0253392410464324</c:v>
                </c:pt>
                <c:pt idx="114">
                  <c:v>7.0752650740622736</c:v>
                </c:pt>
                <c:pt idx="115">
                  <c:v>7.0472490622478636</c:v>
                </c:pt>
                <c:pt idx="116">
                  <c:v>7.0220063492749931</c:v>
                </c:pt>
                <c:pt idx="117">
                  <c:v>7.0278025872640821</c:v>
                </c:pt>
                <c:pt idx="118">
                  <c:v>7.040453991051205</c:v>
                </c:pt>
                <c:pt idx="119">
                  <c:v>7.0597998492733272</c:v>
                </c:pt>
                <c:pt idx="120">
                  <c:v>7.0753813709554505</c:v>
                </c:pt>
                <c:pt idx="121">
                  <c:v>7.1507710688987265</c:v>
                </c:pt>
                <c:pt idx="122">
                  <c:v>7.0534255935362102</c:v>
                </c:pt>
                <c:pt idx="123">
                  <c:v>7.0323681791730914</c:v>
                </c:pt>
                <c:pt idx="124">
                  <c:v>7.0068448175642644</c:v>
                </c:pt>
                <c:pt idx="125">
                  <c:v>6.9718550551726919</c:v>
                </c:pt>
                <c:pt idx="126">
                  <c:v>6.9482177687638123</c:v>
                </c:pt>
                <c:pt idx="127">
                  <c:v>6.9333583040568296</c:v>
                </c:pt>
                <c:pt idx="128">
                  <c:v>6.8933999557142398</c:v>
                </c:pt>
                <c:pt idx="129">
                  <c:v>6.8769124438403262</c:v>
                </c:pt>
                <c:pt idx="130">
                  <c:v>6.8723467426343436</c:v>
                </c:pt>
                <c:pt idx="131">
                  <c:v>6.8706477444362211</c:v>
                </c:pt>
                <c:pt idx="132">
                  <c:v>6.8609744967219441</c:v>
                </c:pt>
                <c:pt idx="133">
                  <c:v>6.8619671472567596</c:v>
                </c:pt>
                <c:pt idx="134">
                  <c:v>6.8433893444992249</c:v>
                </c:pt>
                <c:pt idx="135">
                  <c:v>6.8162426541283825</c:v>
                </c:pt>
                <c:pt idx="136">
                  <c:v>6.8233855726090304</c:v>
                </c:pt>
                <c:pt idx="137">
                  <c:v>6.7972323404510009</c:v>
                </c:pt>
                <c:pt idx="138">
                  <c:v>6.7640594776987353</c:v>
                </c:pt>
                <c:pt idx="139">
                  <c:v>6.7745886753234119</c:v>
                </c:pt>
                <c:pt idx="140">
                  <c:v>6.7465665853254819</c:v>
                </c:pt>
                <c:pt idx="141">
                  <c:v>6.7296803032021622</c:v>
                </c:pt>
                <c:pt idx="142">
                  <c:v>6.7399817534218966</c:v>
                </c:pt>
                <c:pt idx="143">
                  <c:v>6.7413953088146723</c:v>
                </c:pt>
                <c:pt idx="144">
                  <c:v>6.6997186637664585</c:v>
                </c:pt>
                <c:pt idx="145">
                  <c:v>6.6780787740563534</c:v>
                </c:pt>
                <c:pt idx="146">
                  <c:v>6.6660116741225064</c:v>
                </c:pt>
                <c:pt idx="147">
                  <c:v>6.6570857800878933</c:v>
                </c:pt>
                <c:pt idx="148">
                  <c:v>6.6387840672458029</c:v>
                </c:pt>
                <c:pt idx="149">
                  <c:v>6.6543060615071132</c:v>
                </c:pt>
                <c:pt idx="150">
                  <c:v>6.6407128855212196</c:v>
                </c:pt>
                <c:pt idx="151">
                  <c:v>6.625194464727481</c:v>
                </c:pt>
                <c:pt idx="152">
                  <c:v>6.6243147023534377</c:v>
                </c:pt>
                <c:pt idx="153">
                  <c:v>6.5976959504173633</c:v>
                </c:pt>
                <c:pt idx="154">
                  <c:v>6.5836607833079892</c:v>
                </c:pt>
                <c:pt idx="155">
                  <c:v>6.5587774214744119</c:v>
                </c:pt>
                <c:pt idx="156">
                  <c:v>6.5536733726179106</c:v>
                </c:pt>
                <c:pt idx="157">
                  <c:v>6.5331727116082927</c:v>
                </c:pt>
                <c:pt idx="158">
                  <c:v>6.5370250300976656</c:v>
                </c:pt>
                <c:pt idx="159">
                  <c:v>6.5152529706042852</c:v>
                </c:pt>
                <c:pt idx="160">
                  <c:v>6.5063246529713776</c:v>
                </c:pt>
                <c:pt idx="161">
                  <c:v>6.5022066001131007</c:v>
                </c:pt>
                <c:pt idx="162">
                  <c:v>6.4951174974296038</c:v>
                </c:pt>
                <c:pt idx="163">
                  <c:v>6.4796468762489514</c:v>
                </c:pt>
                <c:pt idx="164">
                  <c:v>6.4975899206956065</c:v>
                </c:pt>
                <c:pt idx="165">
                  <c:v>6.4841226553608786</c:v>
                </c:pt>
                <c:pt idx="166">
                  <c:v>6.4475942162642115</c:v>
                </c:pt>
                <c:pt idx="167">
                  <c:v>6.4793840535595733</c:v>
                </c:pt>
                <c:pt idx="168">
                  <c:v>6.4672855937904901</c:v>
                </c:pt>
                <c:pt idx="169">
                  <c:v>6.4666727928486116</c:v>
                </c:pt>
                <c:pt idx="170">
                  <c:v>6.4644442495225229</c:v>
                </c:pt>
                <c:pt idx="171">
                  <c:v>6.4425700547287228</c:v>
                </c:pt>
                <c:pt idx="172">
                  <c:v>6.4158212711502136</c:v>
                </c:pt>
                <c:pt idx="173">
                  <c:v>6.4268608788532919</c:v>
                </c:pt>
                <c:pt idx="174">
                  <c:v>6.4236417226577842</c:v>
                </c:pt>
                <c:pt idx="175">
                  <c:v>6.3895882976419696</c:v>
                </c:pt>
                <c:pt idx="176">
                  <c:v>6.3869080594235683</c:v>
                </c:pt>
                <c:pt idx="177">
                  <c:v>6.3859617818028562</c:v>
                </c:pt>
                <c:pt idx="178">
                  <c:v>6.3845178027802607</c:v>
                </c:pt>
                <c:pt idx="179">
                  <c:v>6.3782538364325445</c:v>
                </c:pt>
                <c:pt idx="180">
                  <c:v>6.3708876760659416</c:v>
                </c:pt>
                <c:pt idx="181">
                  <c:v>6.3588384218020471</c:v>
                </c:pt>
                <c:pt idx="182">
                  <c:v>6.3584780694235192</c:v>
                </c:pt>
                <c:pt idx="183">
                  <c:v>6.3484380700509755</c:v>
                </c:pt>
                <c:pt idx="184">
                  <c:v>6.3529560671434115</c:v>
                </c:pt>
                <c:pt idx="185">
                  <c:v>6.3532366863707761</c:v>
                </c:pt>
                <c:pt idx="186">
                  <c:v>6.351172660477614</c:v>
                </c:pt>
                <c:pt idx="187">
                  <c:v>6.345313278599086</c:v>
                </c:pt>
                <c:pt idx="188">
                  <c:v>6.3357405657474324</c:v>
                </c:pt>
                <c:pt idx="189">
                  <c:v>6.3431419517739354</c:v>
                </c:pt>
                <c:pt idx="190">
                  <c:v>6.3459692965966141</c:v>
                </c:pt>
                <c:pt idx="191">
                  <c:v>6.3394403423948065</c:v>
                </c:pt>
                <c:pt idx="192">
                  <c:v>6.3469525717089121</c:v>
                </c:pt>
                <c:pt idx="193">
                  <c:v>6.3299945685835413</c:v>
                </c:pt>
                <c:pt idx="194">
                  <c:v>6.410090179345227</c:v>
                </c:pt>
                <c:pt idx="195">
                  <c:v>6.3748257459612692</c:v>
                </c:pt>
                <c:pt idx="196">
                  <c:v>6.3603430784403612</c:v>
                </c:pt>
                <c:pt idx="197">
                  <c:v>6.3555537638685253</c:v>
                </c:pt>
                <c:pt idx="198">
                  <c:v>6.3583994465203526</c:v>
                </c:pt>
                <c:pt idx="199">
                  <c:v>6.3539170531390869</c:v>
                </c:pt>
                <c:pt idx="200">
                  <c:v>6.3561559590760428</c:v>
                </c:pt>
                <c:pt idx="201">
                  <c:v>6.3323120496731855</c:v>
                </c:pt>
                <c:pt idx="202">
                  <c:v>6.3402929775023145</c:v>
                </c:pt>
                <c:pt idx="203">
                  <c:v>6.350828052991587</c:v>
                </c:pt>
                <c:pt idx="204">
                  <c:v>6.3629159855347082</c:v>
                </c:pt>
                <c:pt idx="205">
                  <c:v>6.3641932634613756</c:v>
                </c:pt>
                <c:pt idx="206">
                  <c:v>6.3640800643311284</c:v>
                </c:pt>
                <c:pt idx="207">
                  <c:v>6.3541290273500293</c:v>
                </c:pt>
                <c:pt idx="208">
                  <c:v>6.3666694331510438</c:v>
                </c:pt>
                <c:pt idx="209">
                  <c:v>6.366098677821463</c:v>
                </c:pt>
                <c:pt idx="210">
                  <c:v>6.3726549600838611</c:v>
                </c:pt>
                <c:pt idx="211">
                  <c:v>6.364455989539513</c:v>
                </c:pt>
                <c:pt idx="212">
                  <c:v>6.3665065610482285</c:v>
                </c:pt>
                <c:pt idx="213">
                  <c:v>6.3908000094534012</c:v>
                </c:pt>
                <c:pt idx="214">
                  <c:v>6.3839186788235427</c:v>
                </c:pt>
                <c:pt idx="215">
                  <c:v>6.3890660497416576</c:v>
                </c:pt>
                <c:pt idx="216">
                  <c:v>6.3981744748774494</c:v>
                </c:pt>
                <c:pt idx="217">
                  <c:v>6.4255968406958859</c:v>
                </c:pt>
                <c:pt idx="218">
                  <c:v>6.4389224757858283</c:v>
                </c:pt>
                <c:pt idx="219">
                  <c:v>6.4471935501937043</c:v>
                </c:pt>
                <c:pt idx="220">
                  <c:v>6.4770600176261102</c:v>
                </c:pt>
                <c:pt idx="221">
                  <c:v>6.473851704555396</c:v>
                </c:pt>
                <c:pt idx="222">
                  <c:v>6.5067231810539274</c:v>
                </c:pt>
                <c:pt idx="223">
                  <c:v>6.5213008104561085</c:v>
                </c:pt>
                <c:pt idx="224">
                  <c:v>6.4760678390252435</c:v>
                </c:pt>
                <c:pt idx="225">
                  <c:v>6.4660374059058725</c:v>
                </c:pt>
                <c:pt idx="226">
                  <c:v>6.440030335940949</c:v>
                </c:pt>
                <c:pt idx="227">
                  <c:v>6.4331905684962978</c:v>
                </c:pt>
                <c:pt idx="228">
                  <c:v>6.412647214625653</c:v>
                </c:pt>
                <c:pt idx="229">
                  <c:v>6.401672091660779</c:v>
                </c:pt>
                <c:pt idx="230">
                  <c:v>6.4049690324452691</c:v>
                </c:pt>
                <c:pt idx="231">
                  <c:v>6.3997088987675266</c:v>
                </c:pt>
                <c:pt idx="232">
                  <c:v>6.422719348008485</c:v>
                </c:pt>
                <c:pt idx="233">
                  <c:v>6.4840865626650626</c:v>
                </c:pt>
                <c:pt idx="234">
                  <c:v>6.5367292159159751</c:v>
                </c:pt>
                <c:pt idx="235">
                  <c:v>6.4186581446967939</c:v>
                </c:pt>
                <c:pt idx="236">
                  <c:v>6.4430935891754464</c:v>
                </c:pt>
                <c:pt idx="237">
                  <c:v>6.4280365005819826</c:v>
                </c:pt>
                <c:pt idx="238">
                  <c:v>6.4061320802586685</c:v>
                </c:pt>
                <c:pt idx="239">
                  <c:v>6.3991081932390186</c:v>
                </c:pt>
                <c:pt idx="240">
                  <c:v>6.3833997866124035</c:v>
                </c:pt>
                <c:pt idx="241">
                  <c:v>6.3784567989474326</c:v>
                </c:pt>
                <c:pt idx="242">
                  <c:v>6.4004638613219367</c:v>
                </c:pt>
                <c:pt idx="243">
                  <c:v>6.3735773618816198</c:v>
                </c:pt>
                <c:pt idx="244">
                  <c:v>6.3803843691393602</c:v>
                </c:pt>
                <c:pt idx="245">
                  <c:v>6.3616237247192462</c:v>
                </c:pt>
                <c:pt idx="246">
                  <c:v>6.3509893283696162</c:v>
                </c:pt>
                <c:pt idx="247">
                  <c:v>6.344588433674236</c:v>
                </c:pt>
                <c:pt idx="248">
                  <c:v>6.3416378656792594</c:v>
                </c:pt>
                <c:pt idx="249">
                  <c:v>6.349792398652359</c:v>
                </c:pt>
                <c:pt idx="250">
                  <c:v>6.337776852049716</c:v>
                </c:pt>
                <c:pt idx="251">
                  <c:v>6.3265254157867465</c:v>
                </c:pt>
                <c:pt idx="252">
                  <c:v>6.3143156519445656</c:v>
                </c:pt>
                <c:pt idx="253">
                  <c:v>6.3037091265705918</c:v>
                </c:pt>
                <c:pt idx="254">
                  <c:v>6.2902470391722156</c:v>
                </c:pt>
                <c:pt idx="255">
                  <c:v>6.2847988226176161</c:v>
                </c:pt>
                <c:pt idx="256">
                  <c:v>6.2742481373557197</c:v>
                </c:pt>
                <c:pt idx="257">
                  <c:v>6.3160718665036075</c:v>
                </c:pt>
                <c:pt idx="258">
                  <c:v>6.2992699533704322</c:v>
                </c:pt>
                <c:pt idx="259">
                  <c:v>6.2910284085899715</c:v>
                </c:pt>
                <c:pt idx="260">
                  <c:v>6.2928736766409807</c:v>
                </c:pt>
                <c:pt idx="261">
                  <c:v>6.3038874352396466</c:v>
                </c:pt>
                <c:pt idx="262">
                  <c:v>6.2677025467360918</c:v>
                </c:pt>
                <c:pt idx="263">
                  <c:v>6.2809477951416461</c:v>
                </c:pt>
                <c:pt idx="264">
                  <c:v>6.2785213283600116</c:v>
                </c:pt>
                <c:pt idx="265">
                  <c:v>6.2743442023928013</c:v>
                </c:pt>
                <c:pt idx="266">
                  <c:v>6.280909541233477</c:v>
                </c:pt>
                <c:pt idx="267">
                  <c:v>6.2876224124834481</c:v>
                </c:pt>
                <c:pt idx="268">
                  <c:v>6.2349216387517092</c:v>
                </c:pt>
                <c:pt idx="269">
                  <c:v>6.1543273862610031</c:v>
                </c:pt>
                <c:pt idx="270">
                  <c:v>6.0953645054368062</c:v>
                </c:pt>
                <c:pt idx="271">
                  <c:v>6.0609605975396841</c:v>
                </c:pt>
                <c:pt idx="272">
                  <c:v>6.0203561574801965</c:v>
                </c:pt>
                <c:pt idx="273">
                  <c:v>5.9904307099934497</c:v>
                </c:pt>
                <c:pt idx="274">
                  <c:v>5.9626134935186519</c:v>
                </c:pt>
                <c:pt idx="275">
                  <c:v>5.9695497959841859</c:v>
                </c:pt>
                <c:pt idx="276">
                  <c:v>6.0378072602484654</c:v>
                </c:pt>
                <c:pt idx="277">
                  <c:v>6.1729521061373802</c:v>
                </c:pt>
                <c:pt idx="278">
                  <c:v>5.8444849785528374</c:v>
                </c:pt>
                <c:pt idx="279">
                  <c:v>5.8163217332471753</c:v>
                </c:pt>
                <c:pt idx="280">
                  <c:v>5.7760998886995596</c:v>
                </c:pt>
                <c:pt idx="281">
                  <c:v>5.7427837556074994</c:v>
                </c:pt>
                <c:pt idx="282">
                  <c:v>5.7233750467451125</c:v>
                </c:pt>
                <c:pt idx="283">
                  <c:v>5.7065984666253291</c:v>
                </c:pt>
                <c:pt idx="284">
                  <c:v>5.6934324393584292</c:v>
                </c:pt>
                <c:pt idx="285">
                  <c:v>5.6307097383414426</c:v>
                </c:pt>
                <c:pt idx="286">
                  <c:v>5.5955352982189215</c:v>
                </c:pt>
                <c:pt idx="287">
                  <c:v>5.5844970605289159</c:v>
                </c:pt>
                <c:pt idx="288">
                  <c:v>5.5374672132169422</c:v>
                </c:pt>
                <c:pt idx="289">
                  <c:v>5.495792854557533</c:v>
                </c:pt>
                <c:pt idx="290">
                  <c:v>5.4542584946523673</c:v>
                </c:pt>
                <c:pt idx="291">
                  <c:v>5.4340085229517445</c:v>
                </c:pt>
                <c:pt idx="292">
                  <c:v>5.4023774560832205</c:v>
                </c:pt>
                <c:pt idx="293">
                  <c:v>5.375679644614805</c:v>
                </c:pt>
                <c:pt idx="294">
                  <c:v>5.3454120146488364</c:v>
                </c:pt>
                <c:pt idx="295">
                  <c:v>5.2943249397389343</c:v>
                </c:pt>
                <c:pt idx="296">
                  <c:v>5.2545467106276993</c:v>
                </c:pt>
                <c:pt idx="297">
                  <c:v>5.2141366761013188</c:v>
                </c:pt>
                <c:pt idx="298">
                  <c:v>5.1851763673745719</c:v>
                </c:pt>
                <c:pt idx="299">
                  <c:v>5.1496237984661466</c:v>
                </c:pt>
                <c:pt idx="300">
                  <c:v>5.1226342000221008</c:v>
                </c:pt>
                <c:pt idx="301">
                  <c:v>5.0952706029360169</c:v>
                </c:pt>
                <c:pt idx="302">
                  <c:v>5.0759955994306036</c:v>
                </c:pt>
                <c:pt idx="303">
                  <c:v>5.0360817359788106</c:v>
                </c:pt>
                <c:pt idx="304">
                  <c:v>5.0170963968749609</c:v>
                </c:pt>
                <c:pt idx="305">
                  <c:v>4.9930330594048682</c:v>
                </c:pt>
                <c:pt idx="306">
                  <c:v>4.9851581977515602</c:v>
                </c:pt>
                <c:pt idx="307">
                  <c:v>4.9585211221902528</c:v>
                </c:pt>
                <c:pt idx="308">
                  <c:v>4.9319426846630607</c:v>
                </c:pt>
                <c:pt idx="309">
                  <c:v>4.9549638916346721</c:v>
                </c:pt>
                <c:pt idx="310">
                  <c:v>4.9868743050842435</c:v>
                </c:pt>
                <c:pt idx="311">
                  <c:v>4.9990952797447612</c:v>
                </c:pt>
                <c:pt idx="312">
                  <c:v>5.0101741140834539</c:v>
                </c:pt>
                <c:pt idx="313">
                  <c:v>5.0022226174991173</c:v>
                </c:pt>
                <c:pt idx="314">
                  <c:v>4.9842933546955317</c:v>
                </c:pt>
                <c:pt idx="315">
                  <c:v>4.9175768799991815</c:v>
                </c:pt>
                <c:pt idx="316">
                  <c:v>4.852728065826712</c:v>
                </c:pt>
                <c:pt idx="317">
                  <c:v>4.7497446866790476</c:v>
                </c:pt>
                <c:pt idx="318">
                  <c:v>4.6774848104085596</c:v>
                </c:pt>
                <c:pt idx="319">
                  <c:v>4.6120348183768547</c:v>
                </c:pt>
                <c:pt idx="320">
                  <c:v>4.5557179884534706</c:v>
                </c:pt>
                <c:pt idx="321">
                  <c:v>4.4944167318432475</c:v>
                </c:pt>
                <c:pt idx="322">
                  <c:v>4.4391023644552776</c:v>
                </c:pt>
                <c:pt idx="323">
                  <c:v>4.4187274313458209</c:v>
                </c:pt>
                <c:pt idx="324">
                  <c:v>4.3774385094038122</c:v>
                </c:pt>
                <c:pt idx="325">
                  <c:v>4.3386998859119208</c:v>
                </c:pt>
                <c:pt idx="326">
                  <c:v>4.3203686383915274</c:v>
                </c:pt>
                <c:pt idx="327">
                  <c:v>4.3323827574719598</c:v>
                </c:pt>
                <c:pt idx="328">
                  <c:v>4.353861677831695</c:v>
                </c:pt>
                <c:pt idx="329">
                  <c:v>4.3741268720139557</c:v>
                </c:pt>
                <c:pt idx="330">
                  <c:v>4.3871137187163658</c:v>
                </c:pt>
                <c:pt idx="331">
                  <c:v>4.4408797578405261</c:v>
                </c:pt>
                <c:pt idx="332">
                  <c:v>4.5027858203523659</c:v>
                </c:pt>
                <c:pt idx="333">
                  <c:v>4.5959664249203103</c:v>
                </c:pt>
                <c:pt idx="334">
                  <c:v>4.6876556598062038</c:v>
                </c:pt>
                <c:pt idx="335">
                  <c:v>4.7678094789823566</c:v>
                </c:pt>
                <c:pt idx="336">
                  <c:v>4.0832807606771322</c:v>
                </c:pt>
                <c:pt idx="337">
                  <c:v>4.0548515457448584</c:v>
                </c:pt>
                <c:pt idx="338">
                  <c:v>4.0254065342203029</c:v>
                </c:pt>
                <c:pt idx="339">
                  <c:v>4.0179245209051277</c:v>
                </c:pt>
                <c:pt idx="340">
                  <c:v>4.0079944197708439</c:v>
                </c:pt>
                <c:pt idx="341">
                  <c:v>3.9972558130294975</c:v>
                </c:pt>
                <c:pt idx="342">
                  <c:v>3.9886146518499741</c:v>
                </c:pt>
                <c:pt idx="343">
                  <c:v>3.9768822948488687</c:v>
                </c:pt>
                <c:pt idx="344">
                  <c:v>3.9654276670795907</c:v>
                </c:pt>
                <c:pt idx="345">
                  <c:v>3.9700513856815651</c:v>
                </c:pt>
                <c:pt idx="346">
                  <c:v>3.9628104051536632</c:v>
                </c:pt>
                <c:pt idx="347">
                  <c:v>3.9404468085901176</c:v>
                </c:pt>
                <c:pt idx="348">
                  <c:v>3.9384019764660501</c:v>
                </c:pt>
                <c:pt idx="349">
                  <c:v>3.9268755892034601</c:v>
                </c:pt>
                <c:pt idx="350">
                  <c:v>3.9174221106661347</c:v>
                </c:pt>
                <c:pt idx="351">
                  <c:v>3.9389630766600829</c:v>
                </c:pt>
                <c:pt idx="352">
                  <c:v>3.9408172368056649</c:v>
                </c:pt>
                <c:pt idx="353">
                  <c:v>3.9367933060379712</c:v>
                </c:pt>
                <c:pt idx="354">
                  <c:v>3.9428893844358028</c:v>
                </c:pt>
                <c:pt idx="355">
                  <c:v>3.9519741378461073</c:v>
                </c:pt>
                <c:pt idx="356">
                  <c:v>3.9429051231922712</c:v>
                </c:pt>
                <c:pt idx="357">
                  <c:v>3.9424337983264253</c:v>
                </c:pt>
                <c:pt idx="358">
                  <c:v>3.9552048326662406</c:v>
                </c:pt>
                <c:pt idx="359">
                  <c:v>3.9610134968736328</c:v>
                </c:pt>
                <c:pt idx="360">
                  <c:v>3.969849756635182</c:v>
                </c:pt>
                <c:pt idx="361">
                  <c:v>3.9858758361718754</c:v>
                </c:pt>
                <c:pt idx="362">
                  <c:v>3.9946451204019189</c:v>
                </c:pt>
                <c:pt idx="363">
                  <c:v>4.0208903620691494</c:v>
                </c:pt>
                <c:pt idx="364">
                  <c:v>4.0179973955636514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52-4016-9704-F99A91315D1B}"/>
            </c:ext>
          </c:extLst>
        </c:ser>
        <c:ser>
          <c:idx val="1"/>
          <c:order val="1"/>
          <c:tx>
            <c:strRef>
              <c:f>CalculAngle!$E$4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CalculAngle!$C$5:$C$369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CalculAngle!$E$5:$E$369</c:f>
              <c:numCache>
                <c:formatCode>#,#00</c:formatCode>
                <c:ptCount val="365"/>
                <c:pt idx="0">
                  <c:v>3.6671473491146758</c:v>
                </c:pt>
                <c:pt idx="1">
                  <c:v>3.7260876278887567</c:v>
                </c:pt>
                <c:pt idx="2">
                  <c:v>3.7227141521997709</c:v>
                </c:pt>
                <c:pt idx="3">
                  <c:v>3.7295523203703116</c:v>
                </c:pt>
                <c:pt idx="4">
                  <c:v>3.7824199827793383</c:v>
                </c:pt>
                <c:pt idx="5">
                  <c:v>3.8011304293873467</c:v>
                </c:pt>
                <c:pt idx="6">
                  <c:v>3.7889092579285912</c:v>
                </c:pt>
                <c:pt idx="7">
                  <c:v>3.8074568520392407</c:v>
                </c:pt>
                <c:pt idx="8">
                  <c:v>4.2954574558976972</c:v>
                </c:pt>
                <c:pt idx="9">
                  <c:v>4.2422952343872504</c:v>
                </c:pt>
                <c:pt idx="10">
                  <c:v>4.2356647151533116</c:v>
                </c:pt>
                <c:pt idx="11">
                  <c:v>4.1935577834737003</c:v>
                </c:pt>
                <c:pt idx="12">
                  <c:v>4.1492161093603492</c:v>
                </c:pt>
                <c:pt idx="13">
                  <c:v>4.1070938692078132</c:v>
                </c:pt>
                <c:pt idx="14">
                  <c:v>4.1281851528255231</c:v>
                </c:pt>
                <c:pt idx="15">
                  <c:v>4.1464360942803333</c:v>
                </c:pt>
                <c:pt idx="16">
                  <c:v>4.1318969759966437</c:v>
                </c:pt>
                <c:pt idx="17">
                  <c:v>4.1348209893766494</c:v>
                </c:pt>
                <c:pt idx="18">
                  <c:v>4.1713160803198566</c:v>
                </c:pt>
                <c:pt idx="19">
                  <c:v>4.2007899928634771</c:v>
                </c:pt>
                <c:pt idx="20">
                  <c:v>4.2276083948623064</c:v>
                </c:pt>
                <c:pt idx="21">
                  <c:v>4.2524987126491096</c:v>
                </c:pt>
                <c:pt idx="22">
                  <c:v>4.2950247552308136</c:v>
                </c:pt>
                <c:pt idx="23">
                  <c:v>4.3356877420396884</c:v>
                </c:pt>
                <c:pt idx="24">
                  <c:v>4.3908163406885503</c:v>
                </c:pt>
                <c:pt idx="25">
                  <c:v>4.4584437850396403</c:v>
                </c:pt>
                <c:pt idx="26">
                  <c:v>4.5283888490019493</c:v>
                </c:pt>
                <c:pt idx="27">
                  <c:v>4.6190551994287565</c:v>
                </c:pt>
                <c:pt idx="28">
                  <c:v>4.6809049402061342</c:v>
                </c:pt>
                <c:pt idx="29">
                  <c:v>4.7614217498999514</c:v>
                </c:pt>
                <c:pt idx="30">
                  <c:v>4.7799753746131479</c:v>
                </c:pt>
                <c:pt idx="31">
                  <c:v>4.7911741349731356</c:v>
                </c:pt>
                <c:pt idx="32">
                  <c:v>4.7994521793417277</c:v>
                </c:pt>
                <c:pt idx="33">
                  <c:v>4.8518210816087128</c:v>
                </c:pt>
                <c:pt idx="34">
                  <c:v>4.8751330987492114</c:v>
                </c:pt>
                <c:pt idx="35">
                  <c:v>4.8612919971923034</c:v>
                </c:pt>
                <c:pt idx="36">
                  <c:v>4.8676843800825109</c:v>
                </c:pt>
                <c:pt idx="37">
                  <c:v>4.9579415832962468</c:v>
                </c:pt>
                <c:pt idx="38">
                  <c:v>4.9581825626362823</c:v>
                </c:pt>
                <c:pt idx="39">
                  <c:v>4.9959783483629812</c:v>
                </c:pt>
                <c:pt idx="40">
                  <c:v>5.0184236050120514</c:v>
                </c:pt>
                <c:pt idx="41">
                  <c:v>5.0580704797622511</c:v>
                </c:pt>
                <c:pt idx="42">
                  <c:v>5.094534481703513</c:v>
                </c:pt>
                <c:pt idx="43">
                  <c:v>5.1330198988922886</c:v>
                </c:pt>
                <c:pt idx="44">
                  <c:v>5.2152174008639944</c:v>
                </c:pt>
                <c:pt idx="45">
                  <c:v>5.3126213536741265</c:v>
                </c:pt>
                <c:pt idx="46">
                  <c:v>5.3499394457028782</c:v>
                </c:pt>
                <c:pt idx="47">
                  <c:v>5.3765467470780379</c:v>
                </c:pt>
                <c:pt idx="48">
                  <c:v>5.3948863052483036</c:v>
                </c:pt>
                <c:pt idx="49">
                  <c:v>5.4461284270037273</c:v>
                </c:pt>
                <c:pt idx="50">
                  <c:v>5.489932634144699</c:v>
                </c:pt>
                <c:pt idx="51">
                  <c:v>5.5272249915843528</c:v>
                </c:pt>
                <c:pt idx="52">
                  <c:v>5.5702277888509109</c:v>
                </c:pt>
                <c:pt idx="53">
                  <c:v>5.6195867963742208</c:v>
                </c:pt>
                <c:pt idx="54">
                  <c:v>5.645455723780513</c:v>
                </c:pt>
                <c:pt idx="55">
                  <c:v>5.717201091264454</c:v>
                </c:pt>
                <c:pt idx="56">
                  <c:v>5.7455349803209668</c:v>
                </c:pt>
                <c:pt idx="57">
                  <c:v>5.8039252400540002</c:v>
                </c:pt>
                <c:pt idx="58">
                  <c:v>5.8326330255662748</c:v>
                </c:pt>
                <c:pt idx="59">
                  <c:v>5.9130051716165379</c:v>
                </c:pt>
                <c:pt idx="60">
                  <c:v>5.9448945335250558</c:v>
                </c:pt>
                <c:pt idx="61">
                  <c:v>5.9915639408989243</c:v>
                </c:pt>
                <c:pt idx="62">
                  <c:v>6.0348005587758724</c:v>
                </c:pt>
                <c:pt idx="63">
                  <c:v>6.0374284370027453</c:v>
                </c:pt>
                <c:pt idx="64">
                  <c:v>6.130096037583745</c:v>
                </c:pt>
                <c:pt idx="65">
                  <c:v>6.1808073704443647</c:v>
                </c:pt>
                <c:pt idx="66">
                  <c:v>6.4310600922646657</c:v>
                </c:pt>
                <c:pt idx="67">
                  <c:v>6.3975594665192057</c:v>
                </c:pt>
                <c:pt idx="68">
                  <c:v>6.3242464894982646</c:v>
                </c:pt>
                <c:pt idx="69">
                  <c:v>6.3422250745827613</c:v>
                </c:pt>
                <c:pt idx="70">
                  <c:v>6.3583376550011339</c:v>
                </c:pt>
                <c:pt idx="71">
                  <c:v>6.4028970459535532</c:v>
                </c:pt>
                <c:pt idx="72">
                  <c:v>6.4405339699468467</c:v>
                </c:pt>
                <c:pt idx="73">
                  <c:v>6.463782520517217</c:v>
                </c:pt>
                <c:pt idx="74">
                  <c:v>6.5350371126012314</c:v>
                </c:pt>
                <c:pt idx="75">
                  <c:v>6.6103225966841741</c:v>
                </c:pt>
                <c:pt idx="76">
                  <c:v>6.6651631907698734</c:v>
                </c:pt>
                <c:pt idx="77">
                  <c:v>6.6811593682312145</c:v>
                </c:pt>
                <c:pt idx="78">
                  <c:v>6.6730777393318377</c:v>
                </c:pt>
                <c:pt idx="79">
                  <c:v>6.679019243792065</c:v>
                </c:pt>
                <c:pt idx="80">
                  <c:v>6.6903219801620049</c:v>
                </c:pt>
                <c:pt idx="81">
                  <c:v>6.7188684962488905</c:v>
                </c:pt>
                <c:pt idx="82">
                  <c:v>6.7679047806435868</c:v>
                </c:pt>
                <c:pt idx="83">
                  <c:v>6.7484327088643195</c:v>
                </c:pt>
                <c:pt idx="84">
                  <c:v>6.7499782935274952</c:v>
                </c:pt>
                <c:pt idx="85">
                  <c:v>6.7632340923275116</c:v>
                </c:pt>
                <c:pt idx="86">
                  <c:v>6.8007376059111753</c:v>
                </c:pt>
                <c:pt idx="87">
                  <c:v>6.8302333423511508</c:v>
                </c:pt>
                <c:pt idx="88">
                  <c:v>6.8323181528357413</c:v>
                </c:pt>
                <c:pt idx="89">
                  <c:v>6.8374189893447799</c:v>
                </c:pt>
                <c:pt idx="90">
                  <c:v>6.9081601861811155</c:v>
                </c:pt>
                <c:pt idx="91">
                  <c:v>6.8945890983991829</c:v>
                </c:pt>
                <c:pt idx="92">
                  <c:v>6.9216870580462011</c:v>
                </c:pt>
                <c:pt idx="93">
                  <c:v>6.9059088905778383</c:v>
                </c:pt>
                <c:pt idx="94">
                  <c:v>6.9132478331792431</c:v>
                </c:pt>
                <c:pt idx="95">
                  <c:v>6.9324097923568893</c:v>
                </c:pt>
                <c:pt idx="96">
                  <c:v>6.9739508669049322</c:v>
                </c:pt>
                <c:pt idx="97">
                  <c:v>7.0139036162017714</c:v>
                </c:pt>
                <c:pt idx="98">
                  <c:v>7.0194678948243103</c:v>
                </c:pt>
                <c:pt idx="99">
                  <c:v>7.0341327178180393</c:v>
                </c:pt>
                <c:pt idx="100">
                  <c:v>7.0119641516357971</c:v>
                </c:pt>
                <c:pt idx="101">
                  <c:v>7.0402761042330138</c:v>
                </c:pt>
                <c:pt idx="102">
                  <c:v>7.0394275263762003</c:v>
                </c:pt>
                <c:pt idx="103">
                  <c:v>7.0908449354722114</c:v>
                </c:pt>
                <c:pt idx="104">
                  <c:v>7.072412628364666</c:v>
                </c:pt>
                <c:pt idx="105">
                  <c:v>7.0521384845662558</c:v>
                </c:pt>
                <c:pt idx="106">
                  <c:v>7.0659148267586867</c:v>
                </c:pt>
                <c:pt idx="107">
                  <c:v>7.0917616343405951</c:v>
                </c:pt>
                <c:pt idx="108">
                  <c:v>7.0884664047287282</c:v>
                </c:pt>
                <c:pt idx="109">
                  <c:v>7.1917292799557346</c:v>
                </c:pt>
                <c:pt idx="110">
                  <c:v>7.1303291602263394</c:v>
                </c:pt>
                <c:pt idx="111">
                  <c:v>7.0810934347734067</c:v>
                </c:pt>
                <c:pt idx="112">
                  <c:v>7.0903279636286882</c:v>
                </c:pt>
                <c:pt idx="113">
                  <c:v>7.102855190198154</c:v>
                </c:pt>
                <c:pt idx="114">
                  <c:v>7.1572025689361372</c:v>
                </c:pt>
                <c:pt idx="115">
                  <c:v>7.1320591763143755</c:v>
                </c:pt>
                <c:pt idx="116">
                  <c:v>7.108906915438701</c:v>
                </c:pt>
                <c:pt idx="117">
                  <c:v>7.1151260299295087</c:v>
                </c:pt>
                <c:pt idx="118">
                  <c:v>7.127493640277315</c:v>
                </c:pt>
                <c:pt idx="119">
                  <c:v>7.1468746958531568</c:v>
                </c:pt>
                <c:pt idx="120">
                  <c:v>7.162862428997756</c:v>
                </c:pt>
                <c:pt idx="121">
                  <c:v>7.2485106428180615</c:v>
                </c:pt>
                <c:pt idx="122">
                  <c:v>7.1535169122952436</c:v>
                </c:pt>
                <c:pt idx="123">
                  <c:v>7.1393580706546027</c:v>
                </c:pt>
                <c:pt idx="124">
                  <c:v>7.1233879049937281</c:v>
                </c:pt>
                <c:pt idx="125">
                  <c:v>7.0948492570405639</c:v>
                </c:pt>
                <c:pt idx="126">
                  <c:v>7.0775825467742415</c:v>
                </c:pt>
                <c:pt idx="127">
                  <c:v>7.0692955537147544</c:v>
                </c:pt>
                <c:pt idx="128">
                  <c:v>7.0324085816559299</c:v>
                </c:pt>
                <c:pt idx="129">
                  <c:v>7.0197479786983221</c:v>
                </c:pt>
                <c:pt idx="130">
                  <c:v>7.0213770648700473</c:v>
                </c:pt>
                <c:pt idx="131">
                  <c:v>7.025269498515363</c:v>
                </c:pt>
                <c:pt idx="132">
                  <c:v>7.0201650643167985</c:v>
                </c:pt>
                <c:pt idx="133">
                  <c:v>7.0258627341317892</c:v>
                </c:pt>
                <c:pt idx="134">
                  <c:v>7.0101783066144749</c:v>
                </c:pt>
                <c:pt idx="135">
                  <c:v>6.9856296562809961</c:v>
                </c:pt>
                <c:pt idx="136">
                  <c:v>6.9980529668137947</c:v>
                </c:pt>
                <c:pt idx="137">
                  <c:v>6.9729545157007156</c:v>
                </c:pt>
                <c:pt idx="138">
                  <c:v>6.9404590723702455</c:v>
                </c:pt>
                <c:pt idx="139">
                  <c:v>6.9574946893890059</c:v>
                </c:pt>
                <c:pt idx="140">
                  <c:v>6.9301839866387045</c:v>
                </c:pt>
                <c:pt idx="141">
                  <c:v>6.9146095325863985</c:v>
                </c:pt>
                <c:pt idx="142">
                  <c:v>6.9276161548380033</c:v>
                </c:pt>
                <c:pt idx="143">
                  <c:v>6.9360877911772745</c:v>
                </c:pt>
                <c:pt idx="144">
                  <c:v>6.892678669455516</c:v>
                </c:pt>
                <c:pt idx="145">
                  <c:v>6.8713874781193551</c:v>
                </c:pt>
                <c:pt idx="146">
                  <c:v>6.8614936015770365</c:v>
                </c:pt>
                <c:pt idx="147">
                  <c:v>6.854699335929646</c:v>
                </c:pt>
                <c:pt idx="148">
                  <c:v>6.8368890224376315</c:v>
                </c:pt>
                <c:pt idx="149">
                  <c:v>6.8590011085257085</c:v>
                </c:pt>
                <c:pt idx="150">
                  <c:v>6.8461232191806367</c:v>
                </c:pt>
                <c:pt idx="151">
                  <c:v>6.8319271729566013</c:v>
                </c:pt>
                <c:pt idx="152">
                  <c:v>6.8342893915594312</c:v>
                </c:pt>
                <c:pt idx="153">
                  <c:v>6.8078492092948624</c:v>
                </c:pt>
                <c:pt idx="154">
                  <c:v>6.7940192292307211</c:v>
                </c:pt>
                <c:pt idx="155">
                  <c:v>6.7700435835102715</c:v>
                </c:pt>
                <c:pt idx="156">
                  <c:v>6.767303165178161</c:v>
                </c:pt>
                <c:pt idx="157">
                  <c:v>6.7471075198174342</c:v>
                </c:pt>
                <c:pt idx="158">
                  <c:v>6.7527429591249675</c:v>
                </c:pt>
                <c:pt idx="159">
                  <c:v>6.7310373115812014</c:v>
                </c:pt>
                <c:pt idx="160">
                  <c:v>6.7234394725089981</c:v>
                </c:pt>
                <c:pt idx="161">
                  <c:v>6.7212774127702088</c:v>
                </c:pt>
                <c:pt idx="162">
                  <c:v>6.7153725467125494</c:v>
                </c:pt>
                <c:pt idx="163">
                  <c:v>6.7009262060059269</c:v>
                </c:pt>
                <c:pt idx="164">
                  <c:v>6.7200299872798306</c:v>
                </c:pt>
                <c:pt idx="165">
                  <c:v>6.7091538214863915</c:v>
                </c:pt>
                <c:pt idx="166">
                  <c:v>6.6683966315415315</c:v>
                </c:pt>
                <c:pt idx="167">
                  <c:v>6.7058689431761493</c:v>
                </c:pt>
                <c:pt idx="168">
                  <c:v>6.6933902984906721</c:v>
                </c:pt>
                <c:pt idx="169">
                  <c:v>6.6931781032364732</c:v>
                </c:pt>
                <c:pt idx="170">
                  <c:v>6.6919383824216787</c:v>
                </c:pt>
                <c:pt idx="171">
                  <c:v>6.667855853946393</c:v>
                </c:pt>
                <c:pt idx="172">
                  <c:v>6.6375415831928271</c:v>
                </c:pt>
                <c:pt idx="173">
                  <c:v>6.6502221873590344</c:v>
                </c:pt>
                <c:pt idx="174">
                  <c:v>6.6466899820385175</c:v>
                </c:pt>
                <c:pt idx="175">
                  <c:v>6.6085524592715172</c:v>
                </c:pt>
                <c:pt idx="176">
                  <c:v>6.6061045338252899</c:v>
                </c:pt>
                <c:pt idx="177">
                  <c:v>6.6048163249611589</c:v>
                </c:pt>
                <c:pt idx="178">
                  <c:v>6.6029762695947269</c:v>
                </c:pt>
                <c:pt idx="179">
                  <c:v>6.5936782811415799</c:v>
                </c:pt>
                <c:pt idx="180">
                  <c:v>6.5857477481127926</c:v>
                </c:pt>
                <c:pt idx="181">
                  <c:v>6.571035139335585</c:v>
                </c:pt>
                <c:pt idx="182">
                  <c:v>6.5700876555146976</c:v>
                </c:pt>
                <c:pt idx="183">
                  <c:v>6.5578205050180989</c:v>
                </c:pt>
                <c:pt idx="184">
                  <c:v>6.562097219315552</c:v>
                </c:pt>
                <c:pt idx="185">
                  <c:v>6.5601795150213293</c:v>
                </c:pt>
                <c:pt idx="186">
                  <c:v>6.5565637222627666</c:v>
                </c:pt>
                <c:pt idx="187">
                  <c:v>6.548464725523008</c:v>
                </c:pt>
                <c:pt idx="188">
                  <c:v>6.5354240931944272</c:v>
                </c:pt>
                <c:pt idx="189">
                  <c:v>6.5416774440330716</c:v>
                </c:pt>
                <c:pt idx="190">
                  <c:v>6.5430780126066539</c:v>
                </c:pt>
                <c:pt idx="191">
                  <c:v>6.5329798404805377</c:v>
                </c:pt>
                <c:pt idx="192">
                  <c:v>6.5386278183291848</c:v>
                </c:pt>
                <c:pt idx="193">
                  <c:v>6.5176900601504677</c:v>
                </c:pt>
                <c:pt idx="194">
                  <c:v>6.6035999796690747</c:v>
                </c:pt>
                <c:pt idx="195">
                  <c:v>6.5644423151967475</c:v>
                </c:pt>
                <c:pt idx="196">
                  <c:v>6.5449699378487471</c:v>
                </c:pt>
                <c:pt idx="197">
                  <c:v>6.5372648175814216</c:v>
                </c:pt>
                <c:pt idx="198">
                  <c:v>6.5377983202212313</c:v>
                </c:pt>
                <c:pt idx="199">
                  <c:v>6.5306512769710192</c:v>
                </c:pt>
                <c:pt idx="200">
                  <c:v>6.530676379093391</c:v>
                </c:pt>
                <c:pt idx="201">
                  <c:v>6.5016143904100456</c:v>
                </c:pt>
                <c:pt idx="202">
                  <c:v>6.5071518533909583</c:v>
                </c:pt>
                <c:pt idx="203">
                  <c:v>6.5161524387303311</c:v>
                </c:pt>
                <c:pt idx="204">
                  <c:v>6.5270877900449573</c:v>
                </c:pt>
                <c:pt idx="205">
                  <c:v>6.5255421518433119</c:v>
                </c:pt>
                <c:pt idx="206">
                  <c:v>6.5216761649255552</c:v>
                </c:pt>
                <c:pt idx="207">
                  <c:v>6.5073988291746119</c:v>
                </c:pt>
                <c:pt idx="208">
                  <c:v>6.5175050574066402</c:v>
                </c:pt>
                <c:pt idx="209">
                  <c:v>6.5139402021031847</c:v>
                </c:pt>
                <c:pt idx="210">
                  <c:v>6.5160270731401955</c:v>
                </c:pt>
                <c:pt idx="211">
                  <c:v>6.5030026143997626</c:v>
                </c:pt>
                <c:pt idx="212">
                  <c:v>6.5009400356631319</c:v>
                </c:pt>
                <c:pt idx="213">
                  <c:v>6.5248012162693261</c:v>
                </c:pt>
                <c:pt idx="214">
                  <c:v>6.5109056803453411</c:v>
                </c:pt>
                <c:pt idx="215">
                  <c:v>6.5110575823531898</c:v>
                </c:pt>
                <c:pt idx="216">
                  <c:v>6.5151516526635165</c:v>
                </c:pt>
                <c:pt idx="217">
                  <c:v>6.5404370910340672</c:v>
                </c:pt>
                <c:pt idx="218">
                  <c:v>6.5471404213554223</c:v>
                </c:pt>
                <c:pt idx="219">
                  <c:v>6.5470370369666995</c:v>
                </c:pt>
                <c:pt idx="220">
                  <c:v>6.5702185295257465</c:v>
                </c:pt>
                <c:pt idx="221">
                  <c:v>6.5572928135325492</c:v>
                </c:pt>
                <c:pt idx="222">
                  <c:v>6.5848321489503201</c:v>
                </c:pt>
                <c:pt idx="223">
                  <c:v>6.597267526053753</c:v>
                </c:pt>
                <c:pt idx="224">
                  <c:v>6.5491943384207403</c:v>
                </c:pt>
                <c:pt idx="225">
                  <c:v>6.5405171521337806</c:v>
                </c:pt>
                <c:pt idx="226">
                  <c:v>6.5135121368630156</c:v>
                </c:pt>
                <c:pt idx="227">
                  <c:v>6.5058077292307166</c:v>
                </c:pt>
                <c:pt idx="228">
                  <c:v>6.4801876326357615</c:v>
                </c:pt>
                <c:pt idx="229">
                  <c:v>6.4664031693504551</c:v>
                </c:pt>
                <c:pt idx="230">
                  <c:v>6.4685387903900455</c:v>
                </c:pt>
                <c:pt idx="231">
                  <c:v>6.4579389230313984</c:v>
                </c:pt>
                <c:pt idx="232">
                  <c:v>6.4614348989185615</c:v>
                </c:pt>
                <c:pt idx="233">
                  <c:v>6.5030350674098445</c:v>
                </c:pt>
                <c:pt idx="234">
                  <c:v>6.5245516328669479</c:v>
                </c:pt>
                <c:pt idx="235">
                  <c:v>6.458630110556391</c:v>
                </c:pt>
                <c:pt idx="236">
                  <c:v>6.4788435832485645</c:v>
                </c:pt>
                <c:pt idx="237">
                  <c:v>6.4582863130359502</c:v>
                </c:pt>
                <c:pt idx="238">
                  <c:v>6.4288277514578773</c:v>
                </c:pt>
                <c:pt idx="239">
                  <c:v>6.4155629197318573</c:v>
                </c:pt>
                <c:pt idx="240">
                  <c:v>6.3935268609297964</c:v>
                </c:pt>
                <c:pt idx="241">
                  <c:v>6.3826093800679216</c:v>
                </c:pt>
                <c:pt idx="242">
                  <c:v>6.4019335701077731</c:v>
                </c:pt>
                <c:pt idx="243">
                  <c:v>6.3670166268601518</c:v>
                </c:pt>
                <c:pt idx="244">
                  <c:v>6.3690362438869235</c:v>
                </c:pt>
                <c:pt idx="245">
                  <c:v>6.3415530268819014</c:v>
                </c:pt>
                <c:pt idx="246">
                  <c:v>6.3232558600985644</c:v>
                </c:pt>
                <c:pt idx="247">
                  <c:v>6.3092810314100651</c:v>
                </c:pt>
                <c:pt idx="248">
                  <c:v>6.2998085951808385</c:v>
                </c:pt>
                <c:pt idx="249">
                  <c:v>6.3008974336748613</c:v>
                </c:pt>
                <c:pt idx="250">
                  <c:v>6.2819065686104425</c:v>
                </c:pt>
                <c:pt idx="251">
                  <c:v>6.2648502564320081</c:v>
                </c:pt>
                <c:pt idx="252">
                  <c:v>6.2464207841818942</c:v>
                </c:pt>
                <c:pt idx="253">
                  <c:v>6.2300449130163313</c:v>
                </c:pt>
                <c:pt idx="254">
                  <c:v>6.2105263088449965</c:v>
                </c:pt>
                <c:pt idx="255">
                  <c:v>6.198636269926193</c:v>
                </c:pt>
                <c:pt idx="256">
                  <c:v>6.1820533725617297</c:v>
                </c:pt>
                <c:pt idx="257">
                  <c:v>6.2207511910342692</c:v>
                </c:pt>
                <c:pt idx="258">
                  <c:v>6.1972416153068899</c:v>
                </c:pt>
                <c:pt idx="259">
                  <c:v>6.1814354133655014</c:v>
                </c:pt>
                <c:pt idx="260">
                  <c:v>6.1757919297015791</c:v>
                </c:pt>
                <c:pt idx="261">
                  <c:v>6.1793587724784986</c:v>
                </c:pt>
                <c:pt idx="262">
                  <c:v>6.1322235489286845</c:v>
                </c:pt>
                <c:pt idx="263">
                  <c:v>6.133494381659613</c:v>
                </c:pt>
                <c:pt idx="264">
                  <c:v>6.116046305593259</c:v>
                </c:pt>
                <c:pt idx="265">
                  <c:v>6.0925101831763842</c:v>
                </c:pt>
                <c:pt idx="266">
                  <c:v>6.0807792704926973</c:v>
                </c:pt>
                <c:pt idx="267">
                  <c:v>6.079238771269579</c:v>
                </c:pt>
                <c:pt idx="268">
                  <c:v>6.030987656314144</c:v>
                </c:pt>
                <c:pt idx="269">
                  <c:v>5.9617716053797727</c:v>
                </c:pt>
                <c:pt idx="270">
                  <c:v>5.910272703422943</c:v>
                </c:pt>
                <c:pt idx="271">
                  <c:v>5.8780541324837472</c:v>
                </c:pt>
                <c:pt idx="272">
                  <c:v>5.8337654754435198</c:v>
                </c:pt>
                <c:pt idx="273">
                  <c:v>5.7971188724726295</c:v>
                </c:pt>
                <c:pt idx="274">
                  <c:v>5.7579662119441108</c:v>
                </c:pt>
                <c:pt idx="275">
                  <c:v>5.7436778119273004</c:v>
                </c:pt>
                <c:pt idx="276">
                  <c:v>5.7735741609187103</c:v>
                </c:pt>
                <c:pt idx="277">
                  <c:v>5.8493145462758944</c:v>
                </c:pt>
                <c:pt idx="278">
                  <c:v>5.6386229707659634</c:v>
                </c:pt>
                <c:pt idx="279">
                  <c:v>5.6045431676835316</c:v>
                </c:pt>
                <c:pt idx="280">
                  <c:v>5.5597221565635078</c:v>
                </c:pt>
                <c:pt idx="281">
                  <c:v>5.521924873843723</c:v>
                </c:pt>
                <c:pt idx="282">
                  <c:v>5.4973563537926369</c:v>
                </c:pt>
                <c:pt idx="283">
                  <c:v>5.4767729137528161</c:v>
                </c:pt>
                <c:pt idx="284">
                  <c:v>5.4599055655948883</c:v>
                </c:pt>
                <c:pt idx="285">
                  <c:v>5.3912432962435251</c:v>
                </c:pt>
                <c:pt idx="286">
                  <c:v>5.3515325917149532</c:v>
                </c:pt>
                <c:pt idx="287">
                  <c:v>5.3365379756779499</c:v>
                </c:pt>
                <c:pt idx="288">
                  <c:v>5.2855694160157753</c:v>
                </c:pt>
                <c:pt idx="289">
                  <c:v>5.2395016044603464</c:v>
                </c:pt>
                <c:pt idx="290">
                  <c:v>5.1937683715077085</c:v>
                </c:pt>
                <c:pt idx="291">
                  <c:v>5.1698454154119569</c:v>
                </c:pt>
                <c:pt idx="292">
                  <c:v>5.1348504113564051</c:v>
                </c:pt>
                <c:pt idx="293">
                  <c:v>5.1033505106180677</c:v>
                </c:pt>
                <c:pt idx="294">
                  <c:v>5.0675754180398647</c:v>
                </c:pt>
                <c:pt idx="295">
                  <c:v>5.0107007126295668</c:v>
                </c:pt>
                <c:pt idx="296">
                  <c:v>4.9655970039352493</c:v>
                </c:pt>
                <c:pt idx="297">
                  <c:v>4.9213189425321398</c:v>
                </c:pt>
                <c:pt idx="298">
                  <c:v>4.8889955132964191</c:v>
                </c:pt>
                <c:pt idx="299">
                  <c:v>4.8503084028011854</c:v>
                </c:pt>
                <c:pt idx="300">
                  <c:v>4.8198830881425136</c:v>
                </c:pt>
                <c:pt idx="301">
                  <c:v>4.788918423415911</c:v>
                </c:pt>
                <c:pt idx="302">
                  <c:v>4.7661334912885689</c:v>
                </c:pt>
                <c:pt idx="303">
                  <c:v>4.72233797800597</c:v>
                </c:pt>
                <c:pt idx="304">
                  <c:v>4.6990074149391843</c:v>
                </c:pt>
                <c:pt idx="305">
                  <c:v>4.670260169632404</c:v>
                </c:pt>
                <c:pt idx="306">
                  <c:v>4.6564421076083207</c:v>
                </c:pt>
                <c:pt idx="307">
                  <c:v>4.6234467503437449</c:v>
                </c:pt>
                <c:pt idx="308">
                  <c:v>4.5890222040934932</c:v>
                </c:pt>
                <c:pt idx="309">
                  <c:v>4.6006126971672661</c:v>
                </c:pt>
                <c:pt idx="310">
                  <c:v>4.6198486269218257</c:v>
                </c:pt>
                <c:pt idx="311">
                  <c:v>4.6170314704196391</c:v>
                </c:pt>
                <c:pt idx="312">
                  <c:v>4.6121011367622478</c:v>
                </c:pt>
                <c:pt idx="313">
                  <c:v>4.5905149024087599</c:v>
                </c:pt>
                <c:pt idx="314">
                  <c:v>4.5658004444470981</c:v>
                </c:pt>
                <c:pt idx="315">
                  <c:v>4.502973779660457</c:v>
                </c:pt>
                <c:pt idx="316">
                  <c:v>4.4502057153306707</c:v>
                </c:pt>
                <c:pt idx="317">
                  <c:v>4.3636600547046704</c:v>
                </c:pt>
                <c:pt idx="318">
                  <c:v>4.3065861331141537</c:v>
                </c:pt>
                <c:pt idx="319">
                  <c:v>4.2521165753394108</c:v>
                </c:pt>
                <c:pt idx="320">
                  <c:v>4.2029714871902115</c:v>
                </c:pt>
                <c:pt idx="321">
                  <c:v>4.1460288734090174</c:v>
                </c:pt>
                <c:pt idx="322">
                  <c:v>4.0929807575915023</c:v>
                </c:pt>
                <c:pt idx="323">
                  <c:v>4.0725604066363843</c:v>
                </c:pt>
                <c:pt idx="324">
                  <c:v>4.0302636893690611</c:v>
                </c:pt>
                <c:pt idx="325">
                  <c:v>3.9890329521409025</c:v>
                </c:pt>
                <c:pt idx="326">
                  <c:v>3.9660367437430426</c:v>
                </c:pt>
                <c:pt idx="327">
                  <c:v>3.9695282073089522</c:v>
                </c:pt>
                <c:pt idx="328">
                  <c:v>3.9792922732407789</c:v>
                </c:pt>
                <c:pt idx="329">
                  <c:v>3.9836750661478231</c:v>
                </c:pt>
                <c:pt idx="330">
                  <c:v>3.9764234795655109</c:v>
                </c:pt>
                <c:pt idx="331">
                  <c:v>4.0038233329092865</c:v>
                </c:pt>
                <c:pt idx="332">
                  <c:v>4.0349883547213397</c:v>
                </c:pt>
                <c:pt idx="333">
                  <c:v>4.0930478649890176</c:v>
                </c:pt>
                <c:pt idx="334">
                  <c:v>4.148338794964137</c:v>
                </c:pt>
                <c:pt idx="335">
                  <c:v>4.1932236088416754</c:v>
                </c:pt>
                <c:pt idx="336">
                  <c:v>3.7494941738770486</c:v>
                </c:pt>
                <c:pt idx="337">
                  <c:v>3.7213405811405527</c:v>
                </c:pt>
                <c:pt idx="338">
                  <c:v>3.6921516022478995</c:v>
                </c:pt>
                <c:pt idx="339">
                  <c:v>3.6841726638040964</c:v>
                </c:pt>
                <c:pt idx="340">
                  <c:v>3.673865533363152</c:v>
                </c:pt>
                <c:pt idx="341">
                  <c:v>3.6628627845315327</c:v>
                </c:pt>
                <c:pt idx="342">
                  <c:v>3.6537889271140136</c:v>
                </c:pt>
                <c:pt idx="343">
                  <c:v>3.6419087679780344</c:v>
                </c:pt>
                <c:pt idx="344">
                  <c:v>3.6302560882179145</c:v>
                </c:pt>
                <c:pt idx="345">
                  <c:v>3.6340272401115392</c:v>
                </c:pt>
                <c:pt idx="346">
                  <c:v>3.6266926447159973</c:v>
                </c:pt>
                <c:pt idx="347">
                  <c:v>3.6047704914752532</c:v>
                </c:pt>
                <c:pt idx="348">
                  <c:v>3.6023945830333441</c:v>
                </c:pt>
                <c:pt idx="349">
                  <c:v>3.5909972660843033</c:v>
                </c:pt>
                <c:pt idx="350">
                  <c:v>3.5817294390949019</c:v>
                </c:pt>
                <c:pt idx="351">
                  <c:v>3.6019548704664697</c:v>
                </c:pt>
                <c:pt idx="352">
                  <c:v>3.6034805619515216</c:v>
                </c:pt>
                <c:pt idx="353">
                  <c:v>3.5992844918463209</c:v>
                </c:pt>
                <c:pt idx="354">
                  <c:v>3.60511638222424</c:v>
                </c:pt>
                <c:pt idx="355">
                  <c:v>3.6135056291417342</c:v>
                </c:pt>
                <c:pt idx="356">
                  <c:v>3.6047537572511192</c:v>
                </c:pt>
                <c:pt idx="357">
                  <c:v>3.60427229097006</c:v>
                </c:pt>
                <c:pt idx="358">
                  <c:v>3.6163922735649487</c:v>
                </c:pt>
                <c:pt idx="359">
                  <c:v>3.6220673640237879</c:v>
                </c:pt>
                <c:pt idx="360">
                  <c:v>3.6306650632294768</c:v>
                </c:pt>
                <c:pt idx="361">
                  <c:v>3.646031092500206</c:v>
                </c:pt>
                <c:pt idx="362">
                  <c:v>3.6545991204116244</c:v>
                </c:pt>
                <c:pt idx="363">
                  <c:v>3.6801489969990704</c:v>
                </c:pt>
                <c:pt idx="364">
                  <c:v>3.67752536360093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52-4016-9704-F99A91315D1B}"/>
            </c:ext>
          </c:extLst>
        </c:ser>
        <c:ser>
          <c:idx val="2"/>
          <c:order val="2"/>
          <c:tx>
            <c:strRef>
              <c:f>CalculAngle!$F$4</c:f>
              <c:strCache>
                <c:ptCount val="1"/>
                <c:pt idx="0">
                  <c:v>51</c:v>
                </c:pt>
              </c:strCache>
            </c:strRef>
          </c:tx>
          <c:marker>
            <c:symbol val="none"/>
          </c:marker>
          <c:xVal>
            <c:numRef>
              <c:f>CalculAngle!$C$5:$C$369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CalculAngle!$F$5:$F$369</c:f>
              <c:numCache>
                <c:formatCode>#,#00</c:formatCode>
                <c:ptCount val="365"/>
                <c:pt idx="0">
                  <c:v>4.4232284785575811</c:v>
                </c:pt>
                <c:pt idx="1">
                  <c:v>4.4853608746273075</c:v>
                </c:pt>
                <c:pt idx="2">
                  <c:v>4.4793575589785233</c:v>
                </c:pt>
                <c:pt idx="3">
                  <c:v>4.4856828881295634</c:v>
                </c:pt>
                <c:pt idx="4">
                  <c:v>4.5404408023807026</c:v>
                </c:pt>
                <c:pt idx="5">
                  <c:v>4.5578600736727655</c:v>
                </c:pt>
                <c:pt idx="6">
                  <c:v>4.5431954587160694</c:v>
                </c:pt>
                <c:pt idx="7">
                  <c:v>4.5609191523493164</c:v>
                </c:pt>
                <c:pt idx="8">
                  <c:v>5.7334313059025668</c:v>
                </c:pt>
                <c:pt idx="9">
                  <c:v>5.5832852289495891</c:v>
                </c:pt>
                <c:pt idx="10">
                  <c:v>5.477389963416873</c:v>
                </c:pt>
                <c:pt idx="11">
                  <c:v>5.337683010775649</c:v>
                </c:pt>
                <c:pt idx="12">
                  <c:v>5.2042753500938224</c:v>
                </c:pt>
                <c:pt idx="13">
                  <c:v>5.0857537695818573</c:v>
                </c:pt>
                <c:pt idx="14">
                  <c:v>5.0481644375824315</c:v>
                </c:pt>
                <c:pt idx="15">
                  <c:v>5.0184459843514126</c:v>
                </c:pt>
                <c:pt idx="16">
                  <c:v>4.9692157241824795</c:v>
                </c:pt>
                <c:pt idx="17">
                  <c:v>4.9491868001994286</c:v>
                </c:pt>
                <c:pt idx="18">
                  <c:v>4.9702685260784794</c:v>
                </c:pt>
                <c:pt idx="19">
                  <c:v>4.990742645097022</c:v>
                </c:pt>
                <c:pt idx="20">
                  <c:v>5.011636225915356</c:v>
                </c:pt>
                <c:pt idx="21">
                  <c:v>5.0351036053252205</c:v>
                </c:pt>
                <c:pt idx="22">
                  <c:v>5.0812079985168621</c:v>
                </c:pt>
                <c:pt idx="23">
                  <c:v>5.1306088793307829</c:v>
                </c:pt>
                <c:pt idx="24">
                  <c:v>5.2036389767429823</c:v>
                </c:pt>
                <c:pt idx="25">
                  <c:v>5.3011159053769301</c:v>
                </c:pt>
                <c:pt idx="26">
                  <c:v>5.4102671311719694</c:v>
                </c:pt>
                <c:pt idx="27">
                  <c:v>5.5469470056404733</c:v>
                </c:pt>
                <c:pt idx="28">
                  <c:v>5.644413347882578</c:v>
                </c:pt>
                <c:pt idx="29">
                  <c:v>5.737337483012702</c:v>
                </c:pt>
                <c:pt idx="30">
                  <c:v>5.7380197943127103</c:v>
                </c:pt>
                <c:pt idx="31">
                  <c:v>5.7102406625132334</c:v>
                </c:pt>
                <c:pt idx="32">
                  <c:v>5.6722199596232095</c:v>
                </c:pt>
                <c:pt idx="33">
                  <c:v>5.6790714213569888</c:v>
                </c:pt>
                <c:pt idx="34">
                  <c:v>5.6626338206850253</c:v>
                </c:pt>
                <c:pt idx="35">
                  <c:v>5.616683471295226</c:v>
                </c:pt>
                <c:pt idx="36">
                  <c:v>5.5974909907491988</c:v>
                </c:pt>
                <c:pt idx="37">
                  <c:v>5.6655639188379663</c:v>
                </c:pt>
                <c:pt idx="38">
                  <c:v>5.6478360040049846</c:v>
                </c:pt>
                <c:pt idx="39">
                  <c:v>5.6691300924841732</c:v>
                </c:pt>
                <c:pt idx="40">
                  <c:v>5.6771068833597775</c:v>
                </c:pt>
                <c:pt idx="41">
                  <c:v>5.7047304938996222</c:v>
                </c:pt>
                <c:pt idx="42">
                  <c:v>5.7276757244747847</c:v>
                </c:pt>
                <c:pt idx="43">
                  <c:v>5.7524845899353654</c:v>
                </c:pt>
                <c:pt idx="44">
                  <c:v>5.8222332403490249</c:v>
                </c:pt>
                <c:pt idx="45">
                  <c:v>5.9053077317397058</c:v>
                </c:pt>
                <c:pt idx="46">
                  <c:v>5.9291210407278676</c:v>
                </c:pt>
                <c:pt idx="47">
                  <c:v>5.9430921261509218</c:v>
                </c:pt>
                <c:pt idx="48">
                  <c:v>5.9503375476698537</c:v>
                </c:pt>
                <c:pt idx="49">
                  <c:v>5.9864065086576765</c:v>
                </c:pt>
                <c:pt idx="50">
                  <c:v>6.0148352458802528</c:v>
                </c:pt>
                <c:pt idx="51">
                  <c:v>6.0366868691089133</c:v>
                </c:pt>
                <c:pt idx="52">
                  <c:v>6.0668316037839265</c:v>
                </c:pt>
                <c:pt idx="53">
                  <c:v>6.1001891369135457</c:v>
                </c:pt>
                <c:pt idx="54">
                  <c:v>6.1113013381287677</c:v>
                </c:pt>
                <c:pt idx="55">
                  <c:v>6.1656769438257042</c:v>
                </c:pt>
                <c:pt idx="56">
                  <c:v>6.1781834295482128</c:v>
                </c:pt>
                <c:pt idx="57">
                  <c:v>6.2200514283480732</c:v>
                </c:pt>
                <c:pt idx="58">
                  <c:v>6.2322955506987912</c:v>
                </c:pt>
                <c:pt idx="59">
                  <c:v>6.2936751892175646</c:v>
                </c:pt>
                <c:pt idx="60">
                  <c:v>6.3079164877610356</c:v>
                </c:pt>
                <c:pt idx="61">
                  <c:v>6.3394886612140642</c:v>
                </c:pt>
                <c:pt idx="62">
                  <c:v>6.3619800832521038</c:v>
                </c:pt>
                <c:pt idx="63">
                  <c:v>6.3511656733634787</c:v>
                </c:pt>
                <c:pt idx="64">
                  <c:v>6.4198815469221708</c:v>
                </c:pt>
                <c:pt idx="65">
                  <c:v>6.4495427811909236</c:v>
                </c:pt>
                <c:pt idx="66">
                  <c:v>7.0769574378845901</c:v>
                </c:pt>
                <c:pt idx="67">
                  <c:v>6.8472066693797409</c:v>
                </c:pt>
                <c:pt idx="68">
                  <c:v>6.6553490850859394</c:v>
                </c:pt>
                <c:pt idx="69">
                  <c:v>6.5939232518067037</c:v>
                </c:pt>
                <c:pt idx="70">
                  <c:v>6.575683671465363</c:v>
                </c:pt>
                <c:pt idx="71">
                  <c:v>6.5961653859557581</c:v>
                </c:pt>
                <c:pt idx="72">
                  <c:v>6.6205465967433472</c:v>
                </c:pt>
                <c:pt idx="73">
                  <c:v>6.6487363386625198</c:v>
                </c:pt>
                <c:pt idx="74">
                  <c:v>6.7359195583860449</c:v>
                </c:pt>
                <c:pt idx="75">
                  <c:v>6.8393953625635762</c:v>
                </c:pt>
                <c:pt idx="76">
                  <c:v>6.9102080350931843</c:v>
                </c:pt>
                <c:pt idx="77">
                  <c:v>6.9028299602761036</c:v>
                </c:pt>
                <c:pt idx="78">
                  <c:v>6.8440404274266342</c:v>
                </c:pt>
                <c:pt idx="79">
                  <c:v>6.7913443867228853</c:v>
                </c:pt>
                <c:pt idx="80">
                  <c:v>6.7530945464000292</c:v>
                </c:pt>
                <c:pt idx="81">
                  <c:v>6.740115110755756</c:v>
                </c:pt>
                <c:pt idx="82">
                  <c:v>6.7497912336921946</c:v>
                </c:pt>
                <c:pt idx="83">
                  <c:v>6.7062875981780863</c:v>
                </c:pt>
                <c:pt idx="84">
                  <c:v>6.6857691008554001</c:v>
                </c:pt>
                <c:pt idx="85">
                  <c:v>6.677650178729035</c:v>
                </c:pt>
                <c:pt idx="86">
                  <c:v>6.686307179544718</c:v>
                </c:pt>
                <c:pt idx="87">
                  <c:v>6.6943298898831936</c:v>
                </c:pt>
                <c:pt idx="88">
                  <c:v>6.6786682892345528</c:v>
                </c:pt>
                <c:pt idx="89">
                  <c:v>6.6676297829910691</c:v>
                </c:pt>
                <c:pt idx="90">
                  <c:v>6.7081188473972766</c:v>
                </c:pt>
                <c:pt idx="91">
                  <c:v>6.6781896796696154</c:v>
                </c:pt>
                <c:pt idx="92">
                  <c:v>6.6828666446964871</c:v>
                </c:pt>
                <c:pt idx="93">
                  <c:v>6.6565099020481435</c:v>
                </c:pt>
                <c:pt idx="94">
                  <c:v>6.6468925229833129</c:v>
                </c:pt>
                <c:pt idx="95">
                  <c:v>6.6471393668042822</c:v>
                </c:pt>
                <c:pt idx="96">
                  <c:v>6.6615060767897125</c:v>
                </c:pt>
                <c:pt idx="97">
                  <c:v>6.6767172708017508</c:v>
                </c:pt>
                <c:pt idx="98">
                  <c:v>6.6611888343131085</c:v>
                </c:pt>
                <c:pt idx="99">
                  <c:v>6.6557740082212264</c:v>
                </c:pt>
                <c:pt idx="100">
                  <c:v>6.6243118160902315</c:v>
                </c:pt>
                <c:pt idx="101">
                  <c:v>6.6298463319614083</c:v>
                </c:pt>
                <c:pt idx="102">
                  <c:v>6.6135365008328861</c:v>
                </c:pt>
                <c:pt idx="103">
                  <c:v>6.6351725040977616</c:v>
                </c:pt>
                <c:pt idx="104">
                  <c:v>6.602156787267063</c:v>
                </c:pt>
                <c:pt idx="105">
                  <c:v>6.574499087067208</c:v>
                </c:pt>
                <c:pt idx="106">
                  <c:v>6.568961557083675</c:v>
                </c:pt>
                <c:pt idx="107">
                  <c:v>6.5691344730089325</c:v>
                </c:pt>
                <c:pt idx="108">
                  <c:v>6.5529443696907395</c:v>
                </c:pt>
                <c:pt idx="109">
                  <c:v>6.8254999860598096</c:v>
                </c:pt>
                <c:pt idx="110">
                  <c:v>6.6690469997407158</c:v>
                </c:pt>
                <c:pt idx="111">
                  <c:v>6.5603954938477793</c:v>
                </c:pt>
                <c:pt idx="112">
                  <c:v>6.517790494116416</c:v>
                </c:pt>
                <c:pt idx="113">
                  <c:v>6.4988868367253172</c:v>
                </c:pt>
                <c:pt idx="114">
                  <c:v>6.5283836297531526</c:v>
                </c:pt>
                <c:pt idx="115">
                  <c:v>6.4943662237181012</c:v>
                </c:pt>
                <c:pt idx="116">
                  <c:v>6.4673407080346887</c:v>
                </c:pt>
                <c:pt idx="117">
                  <c:v>6.4719010029243824</c:v>
                </c:pt>
                <c:pt idx="118">
                  <c:v>6.4847671578887169</c:v>
                </c:pt>
                <c:pt idx="119">
                  <c:v>6.5036242675083829</c:v>
                </c:pt>
                <c:pt idx="120">
                  <c:v>6.5169674017022814</c:v>
                </c:pt>
                <c:pt idx="121">
                  <c:v>6.5704192576383944</c:v>
                </c:pt>
                <c:pt idx="122">
                  <c:v>6.4735090516338296</c:v>
                </c:pt>
                <c:pt idx="123">
                  <c:v>6.441850033665383</c:v>
                </c:pt>
                <c:pt idx="124">
                  <c:v>6.4002375066898685</c:v>
                </c:pt>
                <c:pt idx="125">
                  <c:v>6.3554375097022211</c:v>
                </c:pt>
                <c:pt idx="126">
                  <c:v>6.3211058985686623</c:v>
                </c:pt>
                <c:pt idx="127">
                  <c:v>6.2951891573612757</c:v>
                </c:pt>
                <c:pt idx="128">
                  <c:v>6.2520295865150057</c:v>
                </c:pt>
                <c:pt idx="129">
                  <c:v>6.2292937989928303</c:v>
                </c:pt>
                <c:pt idx="130">
                  <c:v>6.2138389614566725</c:v>
                </c:pt>
                <c:pt idx="131">
                  <c:v>6.2019312224640757</c:v>
                </c:pt>
                <c:pt idx="132">
                  <c:v>6.1845892029568041</c:v>
                </c:pt>
                <c:pt idx="133">
                  <c:v>6.1771135399927308</c:v>
                </c:pt>
                <c:pt idx="134">
                  <c:v>6.1543949670832196</c:v>
                </c:pt>
                <c:pt idx="135">
                  <c:v>6.1241421715541806</c:v>
                </c:pt>
                <c:pt idx="136">
                  <c:v>6.1212875161628695</c:v>
                </c:pt>
                <c:pt idx="137">
                  <c:v>6.0947567395322224</c:v>
                </c:pt>
                <c:pt idx="138">
                  <c:v>6.0621731001019405</c:v>
                </c:pt>
                <c:pt idx="139">
                  <c:v>6.0605825559011572</c:v>
                </c:pt>
                <c:pt idx="140">
                  <c:v>6.0328160349523916</c:v>
                </c:pt>
                <c:pt idx="141">
                  <c:v>6.0142927874853322</c:v>
                </c:pt>
                <c:pt idx="142">
                  <c:v>6.0188399296582977</c:v>
                </c:pt>
                <c:pt idx="143">
                  <c:v>6.0079835881368782</c:v>
                </c:pt>
                <c:pt idx="144">
                  <c:v>5.9715679981730636</c:v>
                </c:pt>
                <c:pt idx="145">
                  <c:v>5.9504557830848182</c:v>
                </c:pt>
                <c:pt idx="146">
                  <c:v>5.9351671666568668</c:v>
                </c:pt>
                <c:pt idx="147">
                  <c:v>5.9228329296069324</c:v>
                </c:pt>
                <c:pt idx="148">
                  <c:v>5.9046432214616864</c:v>
                </c:pt>
                <c:pt idx="149">
                  <c:v>5.907481890670006</c:v>
                </c:pt>
                <c:pt idx="150">
                  <c:v>5.8933825101512669</c:v>
                </c:pt>
                <c:pt idx="151">
                  <c:v>5.8765852165937691</c:v>
                </c:pt>
                <c:pt idx="152">
                  <c:v>5.8711881837221229</c:v>
                </c:pt>
                <c:pt idx="153">
                  <c:v>5.8470369541771525</c:v>
                </c:pt>
                <c:pt idx="154">
                  <c:v>5.8343509151590922</c:v>
                </c:pt>
                <c:pt idx="155">
                  <c:v>5.8105564595443369</c:v>
                </c:pt>
                <c:pt idx="156">
                  <c:v>5.8024831704881796</c:v>
                </c:pt>
                <c:pt idx="157">
                  <c:v>5.7836076651370076</c:v>
                </c:pt>
                <c:pt idx="158">
                  <c:v>5.7848589751964514</c:v>
                </c:pt>
                <c:pt idx="159">
                  <c:v>5.7650814509463881</c:v>
                </c:pt>
                <c:pt idx="160">
                  <c:v>5.7551913588674752</c:v>
                </c:pt>
                <c:pt idx="161">
                  <c:v>5.7485555948491083</c:v>
                </c:pt>
                <c:pt idx="162">
                  <c:v>5.740426848741623</c:v>
                </c:pt>
                <c:pt idx="163">
                  <c:v>5.7247308372785009</c:v>
                </c:pt>
                <c:pt idx="164">
                  <c:v>5.7396137714749313</c:v>
                </c:pt>
                <c:pt idx="165">
                  <c:v>5.7235481876446537</c:v>
                </c:pt>
                <c:pt idx="166">
                  <c:v>5.6969392843322</c:v>
                </c:pt>
                <c:pt idx="167">
                  <c:v>5.7172414768667448</c:v>
                </c:pt>
                <c:pt idx="168">
                  <c:v>5.7069108604116829</c:v>
                </c:pt>
                <c:pt idx="169">
                  <c:v>5.7055301624915442</c:v>
                </c:pt>
                <c:pt idx="170">
                  <c:v>5.702145104403427</c:v>
                </c:pt>
                <c:pt idx="171">
                  <c:v>5.6856010901092908</c:v>
                </c:pt>
                <c:pt idx="172">
                  <c:v>5.6666926076029638</c:v>
                </c:pt>
                <c:pt idx="173">
                  <c:v>5.6740583939444589</c:v>
                </c:pt>
                <c:pt idx="174">
                  <c:v>5.6717713484314514</c:v>
                </c:pt>
                <c:pt idx="175">
                  <c:v>5.6467850120482419</c:v>
                </c:pt>
                <c:pt idx="176">
                  <c:v>5.6437220487152633</c:v>
                </c:pt>
                <c:pt idx="177">
                  <c:v>5.6431642352350826</c:v>
                </c:pt>
                <c:pt idx="178">
                  <c:v>5.6424339727960415</c:v>
                </c:pt>
                <c:pt idx="179">
                  <c:v>5.6412681440478032</c:v>
                </c:pt>
                <c:pt idx="180">
                  <c:v>5.6349783215124409</c:v>
                </c:pt>
                <c:pt idx="181">
                  <c:v>5.6280540586945342</c:v>
                </c:pt>
                <c:pt idx="182">
                  <c:v>5.6282232846749203</c:v>
                </c:pt>
                <c:pt idx="183">
                  <c:v>5.6222828636991045</c:v>
                </c:pt>
                <c:pt idx="184">
                  <c:v>5.6264787708211355</c:v>
                </c:pt>
                <c:pt idx="185">
                  <c:v>5.6298337926527209</c:v>
                </c:pt>
                <c:pt idx="186">
                  <c:v>5.6300065685379055</c:v>
                </c:pt>
                <c:pt idx="187">
                  <c:v>5.6276806686546248</c:v>
                </c:pt>
                <c:pt idx="188">
                  <c:v>5.6238149207406094</c:v>
                </c:pt>
                <c:pt idx="189">
                  <c:v>5.6318757159978148</c:v>
                </c:pt>
                <c:pt idx="190">
                  <c:v>5.6362627070523565</c:v>
                </c:pt>
                <c:pt idx="191">
                  <c:v>5.6354521311076997</c:v>
                </c:pt>
                <c:pt idx="192">
                  <c:v>5.6446323491914869</c:v>
                </c:pt>
                <c:pt idx="193">
                  <c:v>5.6348535943297113</c:v>
                </c:pt>
                <c:pt idx="194">
                  <c:v>5.6990063480594531</c:v>
                </c:pt>
                <c:pt idx="195">
                  <c:v>5.6732401450391485</c:v>
                </c:pt>
                <c:pt idx="196">
                  <c:v>5.668580634094166</c:v>
                </c:pt>
                <c:pt idx="197">
                  <c:v>5.6694959340154725</c:v>
                </c:pt>
                <c:pt idx="198">
                  <c:v>5.6762900513888432</c:v>
                </c:pt>
                <c:pt idx="199">
                  <c:v>5.6770216512176734</c:v>
                </c:pt>
                <c:pt idx="200">
                  <c:v>5.6832320089720234</c:v>
                </c:pt>
                <c:pt idx="201">
                  <c:v>5.6703573651986181</c:v>
                </c:pt>
                <c:pt idx="202">
                  <c:v>5.6822731470244401</c:v>
                </c:pt>
                <c:pt idx="203">
                  <c:v>5.6952021437448117</c:v>
                </c:pt>
                <c:pt idx="204">
                  <c:v>5.7088170713712891</c:v>
                </c:pt>
                <c:pt idx="205">
                  <c:v>5.7152361038120914</c:v>
                </c:pt>
                <c:pt idx="206">
                  <c:v>5.7219898252574453</c:v>
                </c:pt>
                <c:pt idx="207">
                  <c:v>5.7206531339825242</c:v>
                </c:pt>
                <c:pt idx="208">
                  <c:v>5.7368107775858146</c:v>
                </c:pt>
                <c:pt idx="209">
                  <c:v>5.7419092045635258</c:v>
                </c:pt>
                <c:pt idx="210">
                  <c:v>5.7560543095678103</c:v>
                </c:pt>
                <c:pt idx="211">
                  <c:v>5.7572390098709878</c:v>
                </c:pt>
                <c:pt idx="212">
                  <c:v>5.766728523766945</c:v>
                </c:pt>
                <c:pt idx="213">
                  <c:v>5.7908651130400068</c:v>
                </c:pt>
                <c:pt idx="214">
                  <c:v>5.7970451437118697</c:v>
                </c:pt>
                <c:pt idx="215">
                  <c:v>5.8109651875035064</c:v>
                </c:pt>
                <c:pt idx="216">
                  <c:v>5.8287649648785473</c:v>
                </c:pt>
                <c:pt idx="217">
                  <c:v>5.8589537763864525</c:v>
                </c:pt>
                <c:pt idx="218">
                  <c:v>5.883761901948251</c:v>
                </c:pt>
                <c:pt idx="219">
                  <c:v>5.9069344574585427</c:v>
                </c:pt>
                <c:pt idx="220">
                  <c:v>5.9475910065553634</c:v>
                </c:pt>
                <c:pt idx="221">
                  <c:v>5.9628572902616686</c:v>
                </c:pt>
                <c:pt idx="222">
                  <c:v>6.0034266890397712</c:v>
                </c:pt>
                <c:pt idx="223">
                  <c:v>6.0210327311616689</c:v>
                </c:pt>
                <c:pt idx="224">
                  <c:v>5.9837399114788488</c:v>
                </c:pt>
                <c:pt idx="225">
                  <c:v>5.9711860376203472</c:v>
                </c:pt>
                <c:pt idx="226">
                  <c:v>5.9482404501480195</c:v>
                </c:pt>
                <c:pt idx="227">
                  <c:v>5.943226942276036</c:v>
                </c:pt>
                <c:pt idx="228">
                  <c:v>5.9327631216242169</c:v>
                </c:pt>
                <c:pt idx="229">
                  <c:v>5.9310836883982638</c:v>
                </c:pt>
                <c:pt idx="230">
                  <c:v>5.9430447635739441</c:v>
                </c:pt>
                <c:pt idx="231">
                  <c:v>5.9542637378016741</c:v>
                </c:pt>
                <c:pt idx="232">
                  <c:v>6.0001268092934295</c:v>
                </c:pt>
                <c:pt idx="233">
                  <c:v>6.0899564605320986</c:v>
                </c:pt>
                <c:pt idx="234">
                  <c:v>6.1989020264036343</c:v>
                </c:pt>
                <c:pt idx="235">
                  <c:v>5.9893881634966597</c:v>
                </c:pt>
                <c:pt idx="236">
                  <c:v>6.0201849736614292</c:v>
                </c:pt>
                <c:pt idx="237">
                  <c:v>6.0165939560447512</c:v>
                </c:pt>
                <c:pt idx="238">
                  <c:v>6.0096786630172936</c:v>
                </c:pt>
                <c:pt idx="239">
                  <c:v>6.014619876668295</c:v>
                </c:pt>
                <c:pt idx="240">
                  <c:v>6.0116260818675498</c:v>
                </c:pt>
                <c:pt idx="241">
                  <c:v>6.0181849139721644</c:v>
                </c:pt>
                <c:pt idx="242">
                  <c:v>6.0445862721986741</c:v>
                </c:pt>
                <c:pt idx="243">
                  <c:v>6.0342200644853321</c:v>
                </c:pt>
                <c:pt idx="244">
                  <c:v>6.0482873322338566</c:v>
                </c:pt>
                <c:pt idx="245">
                  <c:v>6.0431088223676523</c:v>
                </c:pt>
                <c:pt idx="246">
                  <c:v>6.043660004600599</c:v>
                </c:pt>
                <c:pt idx="247">
                  <c:v>6.0480233177964138</c:v>
                </c:pt>
                <c:pt idx="248">
                  <c:v>6.0538308938505283</c:v>
                </c:pt>
                <c:pt idx="249">
                  <c:v>6.0708528909881858</c:v>
                </c:pt>
                <c:pt idx="250">
                  <c:v>6.0700637314716683</c:v>
                </c:pt>
                <c:pt idx="251">
                  <c:v>6.0703173375372677</c:v>
                </c:pt>
                <c:pt idx="252">
                  <c:v>6.0704071645769613</c:v>
                </c:pt>
                <c:pt idx="253">
                  <c:v>6.07123912046859</c:v>
                </c:pt>
                <c:pt idx="254">
                  <c:v>6.0699261857533138</c:v>
                </c:pt>
                <c:pt idx="255">
                  <c:v>6.0768105437460616</c:v>
                </c:pt>
                <c:pt idx="256">
                  <c:v>6.0782299435194789</c:v>
                </c:pt>
                <c:pt idx="257">
                  <c:v>6.1235186713722189</c:v>
                </c:pt>
                <c:pt idx="258">
                  <c:v>6.1203924276544175</c:v>
                </c:pt>
                <c:pt idx="259">
                  <c:v>6.1268413760098506</c:v>
                </c:pt>
                <c:pt idx="260">
                  <c:v>6.1426838662784506</c:v>
                </c:pt>
                <c:pt idx="261">
                  <c:v>6.1671252859876571</c:v>
                </c:pt>
                <c:pt idx="262">
                  <c:v>6.1538223629541848</c:v>
                </c:pt>
                <c:pt idx="263">
                  <c:v>6.1888141535668284</c:v>
                </c:pt>
                <c:pt idx="264">
                  <c:v>6.2149163208724456</c:v>
                </c:pt>
                <c:pt idx="265">
                  <c:v>6.2474009824461927</c:v>
                </c:pt>
                <c:pt idx="266">
                  <c:v>6.2878455953216079</c:v>
                </c:pt>
                <c:pt idx="267">
                  <c:v>6.3099899639230532</c:v>
                </c:pt>
                <c:pt idx="268">
                  <c:v>6.2524860719784172</c:v>
                </c:pt>
                <c:pt idx="269">
                  <c:v>6.155567988707495</c:v>
                </c:pt>
                <c:pt idx="270">
                  <c:v>6.0862184171018461</c:v>
                </c:pt>
                <c:pt idx="271">
                  <c:v>6.0498573763415635</c:v>
                </c:pt>
                <c:pt idx="272">
                  <c:v>6.0184010188959824</c:v>
                </c:pt>
                <c:pt idx="273">
                  <c:v>6.0025499455533247</c:v>
                </c:pt>
                <c:pt idx="274">
                  <c:v>5.9973531346667848</c:v>
                </c:pt>
                <c:pt idx="275">
                  <c:v>6.0436168250598161</c:v>
                </c:pt>
                <c:pt idx="276">
                  <c:v>6.1804259541325539</c:v>
                </c:pt>
                <c:pt idx="277">
                  <c:v>6.4204654409701982</c:v>
                </c:pt>
                <c:pt idx="278">
                  <c:v>5.8907019107876675</c:v>
                </c:pt>
                <c:pt idx="279">
                  <c:v>5.8753588105208872</c:v>
                </c:pt>
                <c:pt idx="280">
                  <c:v>5.8467307531857413</c:v>
                </c:pt>
                <c:pt idx="281">
                  <c:v>5.8247585951118364</c:v>
                </c:pt>
                <c:pt idx="282">
                  <c:v>5.8170048245476842</c:v>
                </c:pt>
                <c:pt idx="283">
                  <c:v>5.8094893811746386</c:v>
                </c:pt>
                <c:pt idx="284">
                  <c:v>5.8052309217699598</c:v>
                </c:pt>
                <c:pt idx="285">
                  <c:v>5.7581950357193765</c:v>
                </c:pt>
                <c:pt idx="286">
                  <c:v>5.7346667742267137</c:v>
                </c:pt>
                <c:pt idx="287">
                  <c:v>5.7329665417603879</c:v>
                </c:pt>
                <c:pt idx="288">
                  <c:v>5.6974537835448889</c:v>
                </c:pt>
                <c:pt idx="289">
                  <c:v>5.6676498498665158</c:v>
                </c:pt>
                <c:pt idx="290">
                  <c:v>5.6377251906638497</c:v>
                </c:pt>
                <c:pt idx="291">
                  <c:v>5.6270158046194503</c:v>
                </c:pt>
                <c:pt idx="292">
                  <c:v>5.6051374368503133</c:v>
                </c:pt>
                <c:pt idx="293">
                  <c:v>5.5878570294114223</c:v>
                </c:pt>
                <c:pt idx="294">
                  <c:v>5.5661689402598613</c:v>
                </c:pt>
                <c:pt idx="295">
                  <c:v>5.5252807866343403</c:v>
                </c:pt>
                <c:pt idx="296">
                  <c:v>5.4944825793614482</c:v>
                </c:pt>
                <c:pt idx="297">
                  <c:v>5.4632832874943205</c:v>
                </c:pt>
                <c:pt idx="298">
                  <c:v>5.4426356185830675</c:v>
                </c:pt>
                <c:pt idx="299">
                  <c:v>5.4153752161274822</c:v>
                </c:pt>
                <c:pt idx="300">
                  <c:v>5.3967248688405585</c:v>
                </c:pt>
                <c:pt idx="301">
                  <c:v>5.3780299137614964</c:v>
                </c:pt>
                <c:pt idx="302">
                  <c:v>5.3668341646648674</c:v>
                </c:pt>
                <c:pt idx="303">
                  <c:v>5.3368206318700535</c:v>
                </c:pt>
                <c:pt idx="304">
                  <c:v>5.3274184819199215</c:v>
                </c:pt>
                <c:pt idx="305">
                  <c:v>5.3138848104368384</c:v>
                </c:pt>
                <c:pt idx="306">
                  <c:v>5.3179219988670203</c:v>
                </c:pt>
                <c:pt idx="307">
                  <c:v>5.3050812044841171</c:v>
                </c:pt>
                <c:pt idx="308">
                  <c:v>5.2950737445876879</c:v>
                </c:pt>
                <c:pt idx="309">
                  <c:v>5.3383904456892095</c:v>
                </c:pt>
                <c:pt idx="310">
                  <c:v>5.392630489420764</c:v>
                </c:pt>
                <c:pt idx="311">
                  <c:v>5.4326223342749786</c:v>
                </c:pt>
                <c:pt idx="312">
                  <c:v>5.4733598148791351</c:v>
                </c:pt>
                <c:pt idx="313">
                  <c:v>5.491425809760238</c:v>
                </c:pt>
                <c:pt idx="314">
                  <c:v>5.4876542148648788</c:v>
                </c:pt>
                <c:pt idx="315">
                  <c:v>5.4176400518796175</c:v>
                </c:pt>
                <c:pt idx="316">
                  <c:v>5.3347386016852676</c:v>
                </c:pt>
                <c:pt idx="317">
                  <c:v>5.2072171664469433</c:v>
                </c:pt>
                <c:pt idx="318">
                  <c:v>5.1111041096205891</c:v>
                </c:pt>
                <c:pt idx="319">
                  <c:v>5.0291309393454267</c:v>
                </c:pt>
                <c:pt idx="320">
                  <c:v>4.9628305793819418</c:v>
                </c:pt>
                <c:pt idx="321">
                  <c:v>4.8969922639705281</c:v>
                </c:pt>
                <c:pt idx="322">
                  <c:v>4.8406584377059776</c:v>
                </c:pt>
                <c:pt idx="323">
                  <c:v>4.821628262497434</c:v>
                </c:pt>
                <c:pt idx="324">
                  <c:v>4.7845204175363234</c:v>
                </c:pt>
                <c:pt idx="325">
                  <c:v>4.7525435382889487</c:v>
                </c:pt>
                <c:pt idx="326">
                  <c:v>4.7439457831280247</c:v>
                </c:pt>
                <c:pt idx="327">
                  <c:v>4.771186834467219</c:v>
                </c:pt>
                <c:pt idx="328">
                  <c:v>4.8134613294074899</c:v>
                </c:pt>
                <c:pt idx="329">
                  <c:v>4.8624243579158204</c:v>
                </c:pt>
                <c:pt idx="330">
                  <c:v>4.9127231107192006</c:v>
                </c:pt>
                <c:pt idx="331">
                  <c:v>5.0131311601060693</c:v>
                </c:pt>
                <c:pt idx="332">
                  <c:v>5.1295352324331249</c:v>
                </c:pt>
                <c:pt idx="333">
                  <c:v>5.2837426204329345</c:v>
                </c:pt>
                <c:pt idx="334">
                  <c:v>5.4390228517728882</c:v>
                </c:pt>
                <c:pt idx="335">
                  <c:v>5.581233813286981</c:v>
                </c:pt>
                <c:pt idx="336">
                  <c:v>4.4847504331381307</c:v>
                </c:pt>
                <c:pt idx="337">
                  <c:v>4.4575035640114296</c:v>
                </c:pt>
                <c:pt idx="338">
                  <c:v>4.4292929032806256</c:v>
                </c:pt>
                <c:pt idx="339">
                  <c:v>4.4232674957002525</c:v>
                </c:pt>
                <c:pt idx="340">
                  <c:v>4.4146946841222183</c:v>
                </c:pt>
                <c:pt idx="341">
                  <c:v>4.4051363247629398</c:v>
                </c:pt>
                <c:pt idx="342">
                  <c:v>4.397841721810706</c:v>
                </c:pt>
                <c:pt idx="343">
                  <c:v>4.3871030970400708</c:v>
                </c:pt>
                <c:pt idx="344">
                  <c:v>4.3766899762007005</c:v>
                </c:pt>
                <c:pt idx="345">
                  <c:v>4.3826991174308603</c:v>
                </c:pt>
                <c:pt idx="346">
                  <c:v>4.3760980598203032</c:v>
                </c:pt>
                <c:pt idx="347">
                  <c:v>4.3541408898907221</c:v>
                </c:pt>
                <c:pt idx="348">
                  <c:v>4.3528556528202422</c:v>
                </c:pt>
                <c:pt idx="349">
                  <c:v>4.3417276128861744</c:v>
                </c:pt>
                <c:pt idx="350">
                  <c:v>4.3324732100708401</c:v>
                </c:pt>
                <c:pt idx="351">
                  <c:v>4.3552948442216213</c:v>
                </c:pt>
                <c:pt idx="352">
                  <c:v>4.3576548059147653</c:v>
                </c:pt>
                <c:pt idx="353">
                  <c:v>4.3541195250129867</c:v>
                </c:pt>
                <c:pt idx="354">
                  <c:v>4.3603832584469782</c:v>
                </c:pt>
                <c:pt idx="355">
                  <c:v>4.3702094551264423</c:v>
                </c:pt>
                <c:pt idx="356">
                  <c:v>4.3609855567620048</c:v>
                </c:pt>
                <c:pt idx="357">
                  <c:v>4.3604994020535361</c:v>
                </c:pt>
                <c:pt idx="358">
                  <c:v>4.373708123365903</c:v>
                </c:pt>
                <c:pt idx="359">
                  <c:v>4.3793782084193307</c:v>
                </c:pt>
                <c:pt idx="360">
                  <c:v>4.3881034812963158</c:v>
                </c:pt>
                <c:pt idx="361">
                  <c:v>4.4043756588601637</c:v>
                </c:pt>
                <c:pt idx="362">
                  <c:v>4.4129389354573423</c:v>
                </c:pt>
                <c:pt idx="363">
                  <c:v>4.4389721018919328</c:v>
                </c:pt>
                <c:pt idx="364">
                  <c:v>4.4355697845350912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52-4016-9704-F99A91315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51136"/>
        <c:axId val="103852672"/>
      </c:scatterChart>
      <c:valAx>
        <c:axId val="103851136"/>
        <c:scaling>
          <c:orientation val="minMax"/>
          <c:max val="36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ca-ES"/>
                  <a:t>dies</a:t>
                </a:r>
              </a:p>
            </c:rich>
          </c:tx>
          <c:layout>
            <c:manualLayout>
              <c:xMode val="edge"/>
              <c:yMode val="edge"/>
              <c:x val="0.48443456072277913"/>
              <c:y val="0.91327949637008354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/>
        </c:spPr>
        <c:crossAx val="103852672"/>
        <c:crosses val="autoZero"/>
        <c:crossBetween val="midCat"/>
        <c:majorUnit val="20"/>
        <c:minorUnit val="5"/>
      </c:valAx>
      <c:valAx>
        <c:axId val="103852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ca-ES" sz="1000" b="1" i="0" baseline="0">
                    <a:effectLst/>
                  </a:rPr>
                  <a:t>kw·h/m</a:t>
                </a:r>
                <a:r>
                  <a:rPr lang="ca-ES" sz="1000" b="1" i="0" baseline="30000">
                    <a:effectLst/>
                  </a:rPr>
                  <a:t>2</a:t>
                </a:r>
                <a:endParaRPr lang="ca-ES" sz="1000">
                  <a:effectLst/>
                </a:endParaRP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3851136"/>
        <c:crossesAt val="1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7226642951424049"/>
          <c:y val="0.68857552769340757"/>
          <c:w val="4.5317531547625821E-2"/>
          <c:h val="0.13223337028026891"/>
        </c:manualLayout>
      </c:layout>
      <c:overlay val="0"/>
      <c:spPr>
        <a:solidFill>
          <a:schemeClr val="bg1"/>
        </a:solidFill>
        <a:ln>
          <a:solidFill>
            <a:schemeClr val="tx1">
              <a:tint val="75000"/>
              <a:shade val="95000"/>
              <a:satMod val="105000"/>
            </a:schemeClr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12</xdr:row>
          <xdr:rowOff>104775</xdr:rowOff>
        </xdr:from>
        <xdr:to>
          <xdr:col>5</xdr:col>
          <xdr:colOff>76200</xdr:colOff>
          <xdr:row>16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1809750</xdr:colOff>
          <xdr:row>14</xdr:row>
          <xdr:rowOff>142875</xdr:rowOff>
        </xdr:from>
        <xdr:to>
          <xdr:col>11</xdr:col>
          <xdr:colOff>228600</xdr:colOff>
          <xdr:row>18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1447800</xdr:colOff>
          <xdr:row>15</xdr:row>
          <xdr:rowOff>104775</xdr:rowOff>
        </xdr:from>
        <xdr:to>
          <xdr:col>17</xdr:col>
          <xdr:colOff>161925</xdr:colOff>
          <xdr:row>19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600075</xdr:colOff>
      <xdr:row>3</xdr:row>
      <xdr:rowOff>9524</xdr:rowOff>
    </xdr:from>
    <xdr:to>
      <xdr:col>38</xdr:col>
      <xdr:colOff>609599</xdr:colOff>
      <xdr:row>18</xdr:row>
      <xdr:rowOff>171449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23811</xdr:colOff>
      <xdr:row>3</xdr:row>
      <xdr:rowOff>19050</xdr:rowOff>
    </xdr:from>
    <xdr:to>
      <xdr:col>49</xdr:col>
      <xdr:colOff>0</xdr:colOff>
      <xdr:row>21</xdr:row>
      <xdr:rowOff>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752474</xdr:colOff>
      <xdr:row>12</xdr:row>
      <xdr:rowOff>19048</xdr:rowOff>
    </xdr:from>
    <xdr:to>
      <xdr:col>19</xdr:col>
      <xdr:colOff>761999</xdr:colOff>
      <xdr:row>36</xdr:row>
      <xdr:rowOff>142875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445433</xdr:colOff>
      <xdr:row>4</xdr:row>
      <xdr:rowOff>33617</xdr:rowOff>
    </xdr:from>
    <xdr:to>
      <xdr:col>18</xdr:col>
      <xdr:colOff>448236</xdr:colOff>
      <xdr:row>37</xdr:row>
      <xdr:rowOff>33617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0.42458</cdr:x>
      <cdr:y>0.04519</cdr:y>
    </cdr:from>
    <cdr:to>
      <cdr:x>0.66054</cdr:x>
      <cdr:y>0.09767</cdr:y>
    </cdr:to>
    <cdr:sp macro="" textlink="">
      <cdr:nvSpPr>
        <cdr:cNvPr id="3" name="2 CuadroTexto"/>
        <cdr:cNvSpPr txBox="1"/>
      </cdr:nvSpPr>
      <cdr:spPr>
        <a:xfrm xmlns:a="http://schemas.openxmlformats.org/drawingml/2006/main">
          <a:off x="4597214" y="347383"/>
          <a:ext cx="2554941" cy="4034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s-ES_tradnl" sz="1100"/>
        </a:p>
      </cdr:txBody>
    </cdr:sp>
  </cdr:relSizeAnchor>
  <cdr:relSizeAnchor xmlns:cdr="http://schemas.openxmlformats.org/drawingml/2006/chartDrawing">
    <cdr:from>
      <cdr:x>0.39974</cdr:x>
      <cdr:y>0.02146</cdr:y>
    </cdr:from>
    <cdr:to>
      <cdr:x>0.65019</cdr:x>
      <cdr:y>0.09143</cdr:y>
    </cdr:to>
    <cdr:sp macro="" textlink="">
      <cdr:nvSpPr>
        <cdr:cNvPr id="4" name="3 CuadroTexto"/>
        <cdr:cNvSpPr txBox="1"/>
      </cdr:nvSpPr>
      <cdr:spPr>
        <a:xfrm xmlns:a="http://schemas.openxmlformats.org/drawingml/2006/main">
          <a:off x="4328275" y="160870"/>
          <a:ext cx="2711823" cy="5245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rtl="0"/>
          <a:r>
            <a:rPr lang="en-US" sz="1800" b="1" i="0" baseline="0">
              <a:effectLst/>
              <a:latin typeface="+mn-lt"/>
              <a:ea typeface="+mn-ea"/>
              <a:cs typeface="+mn-cs"/>
            </a:rPr>
            <a:t>Radiació diària (</a:t>
          </a:r>
          <a:r>
            <a:rPr lang="ca-ES" sz="1800" b="1" i="0" baseline="0">
              <a:effectLst/>
              <a:latin typeface="+mn-lt"/>
              <a:ea typeface="+mn-ea"/>
              <a:cs typeface="+mn-cs"/>
            </a:rPr>
            <a:t>w/m²)</a:t>
          </a:r>
          <a:endParaRPr lang="es-ES_tradnl" sz="1800">
            <a:effectLst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280986</xdr:colOff>
      <xdr:row>1</xdr:row>
      <xdr:rowOff>152400</xdr:rowOff>
    </xdr:from>
    <xdr:to>
      <xdr:col>20</xdr:col>
      <xdr:colOff>590549</xdr:colOff>
      <xdr:row>16</xdr:row>
      <xdr:rowOff>123825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409576</xdr:colOff>
      <xdr:row>17</xdr:row>
      <xdr:rowOff>28574</xdr:rowOff>
    </xdr:from>
    <xdr:to>
      <xdr:col>20</xdr:col>
      <xdr:colOff>609600</xdr:colOff>
      <xdr:row>44</xdr:row>
      <xdr:rowOff>95249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l'Office">
  <a:themeElements>
    <a:clrScheme name="Ofici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cin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ici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B369"/>
  <sheetViews>
    <sheetView showGridLines="0" tabSelected="1" zoomScale="115" zoomScaleNormal="115" workbookViewId="0">
      <selection activeCell="H27" sqref="H27"/>
    </sheetView>
  </sheetViews>
  <sheetFormatPr defaultColWidth="11.42578125" defaultRowHeight="15" x14ac:dyDescent="0.25"/>
  <cols>
    <col min="1" max="1" width="11.42578125" style="7"/>
    <col min="2" max="2" width="30.140625" style="7" bestFit="1" customWidth="1"/>
    <col min="3" max="3" width="2.85546875" style="7" bestFit="1" customWidth="1"/>
    <col min="4" max="4" width="6.140625" style="7" bestFit="1" customWidth="1"/>
    <col min="5" max="5" width="4.5703125" style="7" bestFit="1" customWidth="1"/>
    <col min="6" max="6" width="5.85546875" style="7" customWidth="1"/>
    <col min="7" max="7" width="5.42578125" style="7" customWidth="1"/>
    <col min="8" max="8" width="30.140625" style="7" bestFit="1" customWidth="1"/>
    <col min="9" max="9" width="2.85546875" style="7" bestFit="1" customWidth="1"/>
    <col min="10" max="10" width="12" style="7" bestFit="1" customWidth="1"/>
    <col min="11" max="11" width="4.5703125" style="7" customWidth="1"/>
    <col min="12" max="12" width="4.140625" style="7" customWidth="1"/>
    <col min="13" max="13" width="5" style="7" customWidth="1"/>
    <col min="14" max="14" width="30.140625" style="7" bestFit="1" customWidth="1"/>
    <col min="15" max="15" width="5.140625" style="7" bestFit="1" customWidth="1"/>
    <col min="16" max="16" width="7.42578125" style="7" customWidth="1"/>
    <col min="17" max="17" width="5.28515625" style="7" customWidth="1"/>
    <col min="18" max="18" width="5" style="7" customWidth="1"/>
    <col min="19" max="16384" width="11.42578125" style="7"/>
  </cols>
  <sheetData>
    <row r="1" spans="2:28" ht="15.75" thickBot="1" x14ac:dyDescent="0.3">
      <c r="D1" s="8"/>
    </row>
    <row r="2" spans="2:28" ht="15" customHeight="1" x14ac:dyDescent="0.25">
      <c r="B2" s="110" t="s">
        <v>97</v>
      </c>
      <c r="C2" s="111"/>
      <c r="D2" s="111"/>
      <c r="E2" s="111"/>
      <c r="F2" s="112"/>
      <c r="H2" s="110" t="s">
        <v>98</v>
      </c>
      <c r="I2" s="111"/>
      <c r="J2" s="111"/>
      <c r="K2" s="111"/>
      <c r="L2" s="112"/>
      <c r="N2" s="110" t="s">
        <v>107</v>
      </c>
      <c r="O2" s="111"/>
      <c r="P2" s="111"/>
      <c r="Q2" s="111"/>
      <c r="R2" s="112"/>
    </row>
    <row r="3" spans="2:28" ht="15.75" thickBot="1" x14ac:dyDescent="0.3">
      <c r="B3" s="113"/>
      <c r="C3" s="114"/>
      <c r="D3" s="114"/>
      <c r="E3" s="114"/>
      <c r="F3" s="115"/>
      <c r="H3" s="113"/>
      <c r="I3" s="114"/>
      <c r="J3" s="114"/>
      <c r="K3" s="114"/>
      <c r="L3" s="115"/>
      <c r="N3" s="113"/>
      <c r="O3" s="114"/>
      <c r="P3" s="114"/>
      <c r="Q3" s="114"/>
      <c r="R3" s="115"/>
    </row>
    <row r="4" spans="2:28" x14ac:dyDescent="0.25">
      <c r="B4" s="9"/>
      <c r="C4" s="10"/>
      <c r="D4" s="10"/>
      <c r="E4" s="10"/>
      <c r="F4" s="11"/>
      <c r="H4" s="12"/>
      <c r="I4" s="13"/>
      <c r="J4" s="13"/>
      <c r="K4" s="13"/>
      <c r="L4" s="14"/>
      <c r="N4" s="9"/>
      <c r="O4" s="10"/>
      <c r="P4" s="10"/>
      <c r="Q4" s="10"/>
      <c r="R4" s="11"/>
    </row>
    <row r="5" spans="2:28" ht="15.75" thickBot="1" x14ac:dyDescent="0.3">
      <c r="B5" s="15" t="s">
        <v>96</v>
      </c>
      <c r="C5" s="10"/>
      <c r="D5" s="16"/>
      <c r="E5" s="17"/>
      <c r="F5" s="18"/>
      <c r="G5" s="19"/>
      <c r="H5" s="20" t="s">
        <v>96</v>
      </c>
      <c r="I5" s="21"/>
      <c r="J5" s="22"/>
      <c r="K5" s="21"/>
      <c r="L5" s="23"/>
      <c r="M5" s="19"/>
      <c r="N5" s="20"/>
      <c r="O5" s="24"/>
      <c r="P5" s="16"/>
      <c r="Q5" s="24"/>
      <c r="R5" s="18"/>
      <c r="S5" s="19"/>
      <c r="T5" s="19"/>
      <c r="U5" s="19"/>
      <c r="V5" s="19"/>
      <c r="W5" s="19"/>
      <c r="X5" s="19"/>
      <c r="Y5" s="19"/>
      <c r="Z5" s="19"/>
      <c r="AA5" s="19"/>
      <c r="AB5" s="7">
        <v>0</v>
      </c>
    </row>
    <row r="6" spans="2:28" ht="15.75" thickBot="1" x14ac:dyDescent="0.3">
      <c r="B6" s="25" t="s">
        <v>19</v>
      </c>
      <c r="C6" s="26" t="s">
        <v>0</v>
      </c>
      <c r="D6" s="27">
        <v>315</v>
      </c>
      <c r="E6" s="17"/>
      <c r="F6" s="18"/>
      <c r="G6" s="19"/>
      <c r="H6" s="28" t="s">
        <v>19</v>
      </c>
      <c r="I6" s="29" t="s">
        <v>0</v>
      </c>
      <c r="J6" s="30">
        <v>315</v>
      </c>
      <c r="K6" s="21"/>
      <c r="L6" s="18"/>
      <c r="M6" s="19"/>
      <c r="N6" s="31" t="s">
        <v>19</v>
      </c>
      <c r="O6" s="32" t="s">
        <v>0</v>
      </c>
      <c r="P6" s="27">
        <v>315</v>
      </c>
      <c r="Q6" s="24"/>
      <c r="R6" s="18"/>
      <c r="S6" s="19"/>
      <c r="T6" s="19"/>
      <c r="U6" s="19"/>
      <c r="V6" s="19"/>
      <c r="W6" s="19"/>
      <c r="X6" s="19"/>
      <c r="Y6" s="19"/>
      <c r="Z6" s="19"/>
      <c r="AA6" s="19"/>
      <c r="AB6" s="7">
        <v>40</v>
      </c>
    </row>
    <row r="7" spans="2:28" ht="15.75" thickBot="1" x14ac:dyDescent="0.3">
      <c r="B7" s="25" t="s">
        <v>1</v>
      </c>
      <c r="C7" s="26" t="s">
        <v>2</v>
      </c>
      <c r="D7" s="27">
        <v>41</v>
      </c>
      <c r="E7" s="24"/>
      <c r="F7" s="18"/>
      <c r="G7" s="19"/>
      <c r="H7" s="28" t="s">
        <v>1</v>
      </c>
      <c r="I7" s="29" t="s">
        <v>2</v>
      </c>
      <c r="J7" s="30">
        <v>41</v>
      </c>
      <c r="K7" s="21"/>
      <c r="L7" s="23"/>
      <c r="M7" s="19"/>
      <c r="N7" s="31" t="s">
        <v>1</v>
      </c>
      <c r="O7" s="32" t="s">
        <v>2</v>
      </c>
      <c r="P7" s="27">
        <v>41</v>
      </c>
      <c r="Q7" s="24"/>
      <c r="R7" s="18"/>
      <c r="S7" s="19"/>
      <c r="T7" s="19"/>
      <c r="U7" s="19"/>
      <c r="V7" s="19"/>
      <c r="W7" s="19"/>
      <c r="X7" s="19"/>
      <c r="Y7" s="19"/>
      <c r="Z7" s="19"/>
      <c r="AA7" s="19"/>
    </row>
    <row r="8" spans="2:28" ht="15.75" thickBot="1" x14ac:dyDescent="0.3">
      <c r="B8" s="9"/>
      <c r="C8" s="10"/>
      <c r="D8" s="16"/>
      <c r="E8" s="24"/>
      <c r="F8" s="18"/>
      <c r="G8" s="19"/>
      <c r="H8" s="33"/>
      <c r="I8" s="21"/>
      <c r="J8" s="22"/>
      <c r="K8" s="21"/>
      <c r="L8" s="23"/>
      <c r="M8" s="19"/>
      <c r="N8" s="31" t="s">
        <v>109</v>
      </c>
      <c r="O8" s="32" t="s">
        <v>2</v>
      </c>
      <c r="P8" s="27">
        <v>45</v>
      </c>
      <c r="Q8" s="24"/>
      <c r="R8" s="18"/>
      <c r="S8" s="19"/>
      <c r="T8" s="19"/>
      <c r="U8" s="19"/>
      <c r="V8" s="19"/>
      <c r="W8" s="19"/>
      <c r="X8" s="19"/>
      <c r="Y8" s="19"/>
      <c r="Z8" s="19"/>
      <c r="AA8" s="19"/>
    </row>
    <row r="9" spans="2:28" ht="15.75" thickBot="1" x14ac:dyDescent="0.3">
      <c r="B9" s="34" t="s">
        <v>70</v>
      </c>
      <c r="C9" s="10"/>
      <c r="D9" s="16"/>
      <c r="E9" s="17"/>
      <c r="F9" s="18"/>
      <c r="G9" s="19"/>
      <c r="H9" s="35" t="s">
        <v>70</v>
      </c>
      <c r="I9" s="21"/>
      <c r="J9" s="22"/>
      <c r="K9" s="21"/>
      <c r="L9" s="23"/>
      <c r="M9" s="19"/>
      <c r="N9" s="20"/>
      <c r="O9" s="24"/>
      <c r="P9" s="16"/>
      <c r="Q9" s="24"/>
      <c r="R9" s="18"/>
      <c r="S9" s="19"/>
      <c r="T9" s="19"/>
      <c r="U9" s="19"/>
      <c r="V9" s="19"/>
      <c r="W9" s="19"/>
      <c r="X9" s="19"/>
      <c r="Y9" s="19"/>
      <c r="Z9" s="19"/>
      <c r="AA9" s="19"/>
    </row>
    <row r="10" spans="2:28" ht="15.75" thickBot="1" x14ac:dyDescent="0.3">
      <c r="B10" s="25" t="s">
        <v>109</v>
      </c>
      <c r="C10" s="26" t="s">
        <v>2</v>
      </c>
      <c r="D10" s="27">
        <v>45</v>
      </c>
      <c r="E10" s="17"/>
      <c r="F10" s="18"/>
      <c r="G10" s="19"/>
      <c r="H10" s="28" t="s">
        <v>109</v>
      </c>
      <c r="I10" s="29" t="s">
        <v>2</v>
      </c>
      <c r="J10" s="30">
        <v>45</v>
      </c>
      <c r="K10" s="36"/>
      <c r="L10" s="37"/>
      <c r="M10" s="38"/>
      <c r="N10" s="39"/>
      <c r="O10" s="17"/>
      <c r="P10" s="24"/>
      <c r="Q10" s="24"/>
      <c r="R10" s="18"/>
      <c r="S10" s="19"/>
      <c r="T10" s="19"/>
      <c r="U10" s="19"/>
      <c r="V10" s="19"/>
      <c r="W10" s="19"/>
      <c r="X10" s="19"/>
      <c r="Y10" s="19"/>
      <c r="Z10" s="19"/>
      <c r="AA10" s="19"/>
    </row>
    <row r="11" spans="2:28" ht="15.75" thickBot="1" x14ac:dyDescent="0.3">
      <c r="B11" s="25" t="s">
        <v>45</v>
      </c>
      <c r="C11" s="26" t="s">
        <v>2</v>
      </c>
      <c r="D11" s="27">
        <v>51</v>
      </c>
      <c r="E11" s="24"/>
      <c r="F11" s="18"/>
      <c r="G11" s="19"/>
      <c r="H11" s="28" t="s">
        <v>45</v>
      </c>
      <c r="I11" s="29" t="s">
        <v>2</v>
      </c>
      <c r="J11" s="30">
        <v>31</v>
      </c>
      <c r="K11" s="21"/>
      <c r="L11" s="23"/>
      <c r="M11" s="19"/>
      <c r="N11" s="31" t="s">
        <v>108</v>
      </c>
      <c r="O11" s="58">
        <v>3</v>
      </c>
      <c r="P11" s="24"/>
      <c r="Q11" s="24"/>
      <c r="R11" s="18"/>
      <c r="S11" s="19"/>
      <c r="T11" s="19"/>
      <c r="U11" s="19"/>
      <c r="V11" s="19"/>
      <c r="W11" s="19"/>
      <c r="X11" s="19"/>
      <c r="Y11" s="19"/>
      <c r="Z11" s="19"/>
      <c r="AA11" s="19"/>
    </row>
    <row r="12" spans="2:28" ht="15.75" thickBot="1" x14ac:dyDescent="0.3">
      <c r="B12" s="9"/>
      <c r="C12" s="10"/>
      <c r="D12" s="16"/>
      <c r="E12" s="24"/>
      <c r="F12" s="18"/>
      <c r="G12" s="19"/>
      <c r="H12" s="33"/>
      <c r="I12" s="21"/>
      <c r="J12" s="21"/>
      <c r="K12" s="21"/>
      <c r="L12" s="23"/>
      <c r="M12" s="19"/>
      <c r="N12" s="40"/>
      <c r="O12" s="24"/>
      <c r="P12" s="24"/>
      <c r="Q12" s="24"/>
      <c r="R12" s="18"/>
      <c r="S12" s="19"/>
      <c r="T12" s="19"/>
      <c r="U12" s="19"/>
      <c r="V12" s="19"/>
      <c r="W12" s="19"/>
      <c r="X12" s="19"/>
      <c r="Y12" s="19"/>
      <c r="Z12" s="19"/>
      <c r="AA12" s="19"/>
    </row>
    <row r="13" spans="2:28" ht="15.75" thickBot="1" x14ac:dyDescent="0.3">
      <c r="B13" s="9"/>
      <c r="C13" s="41"/>
      <c r="D13" s="16"/>
      <c r="E13" s="24"/>
      <c r="F13" s="18"/>
      <c r="G13" s="19"/>
      <c r="H13" s="28" t="s">
        <v>110</v>
      </c>
      <c r="I13" s="29"/>
      <c r="J13" s="107">
        <v>43373</v>
      </c>
      <c r="K13" s="21"/>
      <c r="L13" s="23"/>
      <c r="M13" s="19"/>
      <c r="N13" s="116" t="s">
        <v>99</v>
      </c>
      <c r="O13" s="119" t="s">
        <v>2</v>
      </c>
      <c r="P13" s="42">
        <v>31</v>
      </c>
      <c r="Q13" s="24"/>
      <c r="R13" s="18"/>
      <c r="S13" s="19"/>
      <c r="T13" s="19"/>
      <c r="U13" s="19"/>
      <c r="V13" s="19"/>
      <c r="W13" s="19"/>
      <c r="X13" s="19"/>
      <c r="Y13" s="19"/>
      <c r="Z13" s="19"/>
      <c r="AA13" s="19"/>
    </row>
    <row r="14" spans="2:28" ht="15.75" thickBot="1" x14ac:dyDescent="0.3">
      <c r="B14" s="9"/>
      <c r="C14" s="41"/>
      <c r="D14" s="16"/>
      <c r="E14" s="24"/>
      <c r="F14" s="18"/>
      <c r="G14" s="19"/>
      <c r="H14" s="28" t="s">
        <v>91</v>
      </c>
      <c r="I14" s="29"/>
      <c r="J14" s="57">
        <f>J13-DATE(2018,1,1)</f>
        <v>272</v>
      </c>
      <c r="K14" s="21"/>
      <c r="L14" s="23"/>
      <c r="M14" s="19"/>
      <c r="N14" s="117"/>
      <c r="O14" s="120"/>
      <c r="P14" s="42">
        <v>21</v>
      </c>
      <c r="Q14" s="24"/>
      <c r="R14" s="18"/>
      <c r="S14" s="19"/>
      <c r="T14" s="19"/>
      <c r="U14" s="19"/>
      <c r="V14" s="19"/>
      <c r="W14" s="19"/>
      <c r="X14" s="19"/>
      <c r="Y14" s="19"/>
      <c r="Z14" s="19"/>
      <c r="AA14" s="19"/>
    </row>
    <row r="15" spans="2:28" ht="15.75" thickBot="1" x14ac:dyDescent="0.3">
      <c r="B15" s="9"/>
      <c r="C15" s="10"/>
      <c r="D15" s="16"/>
      <c r="E15" s="24"/>
      <c r="F15" s="18"/>
      <c r="G15" s="19"/>
      <c r="H15" s="33"/>
      <c r="I15" s="21"/>
      <c r="J15" s="21"/>
      <c r="K15" s="21"/>
      <c r="L15" s="23"/>
      <c r="M15" s="19"/>
      <c r="N15" s="118"/>
      <c r="O15" s="121"/>
      <c r="P15" s="42">
        <v>51</v>
      </c>
      <c r="Q15" s="24"/>
      <c r="R15" s="18"/>
      <c r="S15" s="19"/>
      <c r="T15" s="19"/>
      <c r="U15" s="19"/>
      <c r="V15" s="19"/>
      <c r="W15" s="19"/>
      <c r="X15" s="19"/>
      <c r="Y15" s="19"/>
      <c r="Z15" s="19"/>
      <c r="AA15" s="19"/>
    </row>
    <row r="16" spans="2:28" x14ac:dyDescent="0.25">
      <c r="B16" s="9"/>
      <c r="C16" s="10"/>
      <c r="D16" s="16"/>
      <c r="E16" s="24"/>
      <c r="F16" s="18"/>
      <c r="G16" s="19"/>
      <c r="H16" s="33"/>
      <c r="I16" s="21"/>
      <c r="J16" s="21"/>
      <c r="K16" s="21"/>
      <c r="L16" s="23"/>
      <c r="M16" s="19"/>
      <c r="N16" s="43"/>
      <c r="O16" s="44"/>
      <c r="P16" s="24"/>
      <c r="Q16" s="24"/>
      <c r="R16" s="18"/>
      <c r="S16" s="19"/>
      <c r="T16" s="19"/>
      <c r="U16" s="19"/>
      <c r="V16" s="19"/>
      <c r="W16" s="19"/>
      <c r="X16" s="19"/>
      <c r="Y16" s="19"/>
      <c r="Z16" s="19"/>
      <c r="AA16" s="19"/>
    </row>
    <row r="17" spans="2:27" ht="15.75" thickBot="1" x14ac:dyDescent="0.3">
      <c r="B17" s="45"/>
      <c r="C17" s="46"/>
      <c r="D17" s="47"/>
      <c r="E17" s="48"/>
      <c r="F17" s="49"/>
      <c r="G17" s="19"/>
      <c r="H17" s="33"/>
      <c r="I17" s="21"/>
      <c r="J17" s="21"/>
      <c r="K17" s="21"/>
      <c r="L17" s="23"/>
      <c r="M17" s="19"/>
      <c r="N17" s="40"/>
      <c r="O17" s="24"/>
      <c r="P17" s="24"/>
      <c r="Q17" s="24"/>
      <c r="R17" s="18"/>
      <c r="S17" s="19"/>
      <c r="T17" s="19"/>
      <c r="U17" s="19"/>
      <c r="V17" s="19"/>
      <c r="W17" s="19"/>
      <c r="X17" s="19"/>
      <c r="Y17" s="19"/>
      <c r="Z17" s="19"/>
      <c r="AA17" s="19"/>
    </row>
    <row r="18" spans="2:27" x14ac:dyDescent="0.25">
      <c r="B18" s="50"/>
      <c r="C18" s="51"/>
      <c r="D18" s="52"/>
      <c r="E18" s="19"/>
      <c r="F18" s="19"/>
      <c r="G18" s="19"/>
      <c r="H18" s="40"/>
      <c r="I18" s="24"/>
      <c r="J18" s="24"/>
      <c r="K18" s="24"/>
      <c r="L18" s="18"/>
      <c r="M18" s="19"/>
      <c r="N18" s="40"/>
      <c r="O18" s="24"/>
      <c r="P18" s="24"/>
      <c r="Q18" s="24"/>
      <c r="R18" s="18"/>
      <c r="S18" s="19"/>
      <c r="T18" s="19"/>
      <c r="U18" s="19"/>
      <c r="V18" s="19"/>
      <c r="W18" s="19"/>
      <c r="X18" s="19"/>
      <c r="Y18" s="19"/>
      <c r="Z18" s="19"/>
      <c r="AA18" s="19"/>
    </row>
    <row r="19" spans="2:27" ht="15.75" thickBot="1" x14ac:dyDescent="0.3">
      <c r="B19" s="50"/>
      <c r="C19" s="51"/>
      <c r="D19" s="52"/>
      <c r="E19" s="19"/>
      <c r="F19" s="19"/>
      <c r="G19" s="19"/>
      <c r="H19" s="53"/>
      <c r="I19" s="48"/>
      <c r="J19" s="48"/>
      <c r="K19" s="48"/>
      <c r="L19" s="49"/>
      <c r="M19" s="19"/>
      <c r="N19" s="40"/>
      <c r="O19" s="24"/>
      <c r="P19" s="24"/>
      <c r="Q19" s="24"/>
      <c r="R19" s="18"/>
      <c r="S19" s="19"/>
      <c r="T19" s="19"/>
      <c r="U19" s="19"/>
      <c r="V19" s="19"/>
      <c r="W19" s="19"/>
      <c r="X19" s="19"/>
      <c r="Y19" s="19"/>
      <c r="Z19" s="19"/>
      <c r="AA19" s="19"/>
    </row>
    <row r="20" spans="2:27" ht="15" customHeight="1" thickBot="1" x14ac:dyDescent="0.3">
      <c r="B20" s="50"/>
      <c r="C20" s="51"/>
      <c r="D20" s="52"/>
      <c r="E20" s="19"/>
      <c r="F20" s="19"/>
      <c r="G20" s="19"/>
      <c r="H20" s="19"/>
      <c r="I20" s="19"/>
      <c r="J20" s="19"/>
      <c r="K20" s="19"/>
      <c r="L20" s="19"/>
      <c r="M20" s="19"/>
      <c r="N20" s="53"/>
      <c r="O20" s="48"/>
      <c r="P20" s="48"/>
      <c r="Q20" s="48"/>
      <c r="R20" s="49"/>
      <c r="S20" s="19"/>
      <c r="T20" s="19"/>
      <c r="U20" s="19"/>
      <c r="V20" s="19"/>
      <c r="W20" s="19"/>
      <c r="X20" s="19"/>
      <c r="Y20" s="19"/>
      <c r="Z20" s="19"/>
      <c r="AA20" s="19"/>
    </row>
    <row r="21" spans="2:27" x14ac:dyDescent="0.25">
      <c r="D21" s="52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</row>
    <row r="22" spans="2:27" x14ac:dyDescent="0.25"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</row>
    <row r="23" spans="2:27" ht="15.75" thickBot="1" x14ac:dyDescent="0.3"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</row>
    <row r="24" spans="2:27" ht="60" customHeight="1" thickBot="1" x14ac:dyDescent="0.3">
      <c r="B24" s="139" t="s">
        <v>115</v>
      </c>
      <c r="C24" s="140"/>
      <c r="D24" s="140"/>
      <c r="E24" s="141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</row>
    <row r="25" spans="2:27" ht="15.75" x14ac:dyDescent="0.25">
      <c r="B25" s="147" t="s">
        <v>111</v>
      </c>
      <c r="C25" s="138"/>
      <c r="D25" s="138"/>
      <c r="E25" s="142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</row>
    <row r="26" spans="2:27" ht="15.75" x14ac:dyDescent="0.25">
      <c r="B26" s="148" t="s">
        <v>112</v>
      </c>
      <c r="C26" s="143"/>
      <c r="D26" s="143"/>
      <c r="E26" s="144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</row>
    <row r="27" spans="2:27" ht="15.75" x14ac:dyDescent="0.25">
      <c r="B27" s="148" t="s">
        <v>113</v>
      </c>
      <c r="C27" s="143"/>
      <c r="D27" s="143"/>
      <c r="E27" s="144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</row>
    <row r="28" spans="2:27" ht="16.5" thickBot="1" x14ac:dyDescent="0.3">
      <c r="B28" s="149" t="s">
        <v>114</v>
      </c>
      <c r="C28" s="145"/>
      <c r="D28" s="145"/>
      <c r="E28" s="146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</row>
    <row r="29" spans="2:27" x14ac:dyDescent="0.25"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</row>
    <row r="30" spans="2:27" x14ac:dyDescent="0.25"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</row>
    <row r="31" spans="2:27" x14ac:dyDescent="0.25"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</row>
    <row r="32" spans="2:27" x14ac:dyDescent="0.25"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</row>
    <row r="33" spans="4:27" x14ac:dyDescent="0.25"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</row>
    <row r="34" spans="4:27" x14ac:dyDescent="0.25"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</row>
    <row r="35" spans="4:27" x14ac:dyDescent="0.25"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4:27" x14ac:dyDescent="0.25"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</row>
    <row r="37" spans="4:27" x14ac:dyDescent="0.25"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</row>
    <row r="38" spans="4:27" x14ac:dyDescent="0.25"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</row>
    <row r="39" spans="4:27" x14ac:dyDescent="0.25"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</row>
    <row r="40" spans="4:27" x14ac:dyDescent="0.25"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</row>
    <row r="41" spans="4:27" x14ac:dyDescent="0.25"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</row>
    <row r="42" spans="4:27" x14ac:dyDescent="0.25"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</row>
    <row r="43" spans="4:27" x14ac:dyDescent="0.25"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</row>
    <row r="44" spans="4:27" x14ac:dyDescent="0.25"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</row>
    <row r="45" spans="4:27" x14ac:dyDescent="0.25"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</row>
    <row r="46" spans="4:27" x14ac:dyDescent="0.25"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</row>
    <row r="47" spans="4:27" x14ac:dyDescent="0.25"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</row>
    <row r="48" spans="4:27" x14ac:dyDescent="0.25"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</row>
    <row r="49" spans="4:27" x14ac:dyDescent="0.25"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</row>
    <row r="50" spans="4:27" x14ac:dyDescent="0.25"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</row>
    <row r="51" spans="4:27" x14ac:dyDescent="0.25"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</row>
    <row r="52" spans="4:27" x14ac:dyDescent="0.25"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</row>
    <row r="53" spans="4:27" x14ac:dyDescent="0.25"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</row>
    <row r="54" spans="4:27" x14ac:dyDescent="0.25"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</row>
    <row r="55" spans="4:27" x14ac:dyDescent="0.25"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</row>
    <row r="56" spans="4:27" x14ac:dyDescent="0.25"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</row>
    <row r="57" spans="4:27" x14ac:dyDescent="0.25"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</row>
    <row r="58" spans="4:27" x14ac:dyDescent="0.25"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</row>
    <row r="59" spans="4:27" x14ac:dyDescent="0.25"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</row>
    <row r="60" spans="4:27" x14ac:dyDescent="0.25"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</row>
    <row r="61" spans="4:27" x14ac:dyDescent="0.25"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</row>
    <row r="62" spans="4:27" x14ac:dyDescent="0.25"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</row>
    <row r="63" spans="4:27" x14ac:dyDescent="0.25"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</row>
    <row r="64" spans="4:27" x14ac:dyDescent="0.25"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</row>
    <row r="65" spans="4:27" x14ac:dyDescent="0.25"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</row>
    <row r="66" spans="4:27" x14ac:dyDescent="0.25"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</row>
    <row r="67" spans="4:27" x14ac:dyDescent="0.25"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</row>
    <row r="68" spans="4:27" x14ac:dyDescent="0.25"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</row>
    <row r="69" spans="4:27" x14ac:dyDescent="0.25"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</row>
    <row r="70" spans="4:27" x14ac:dyDescent="0.25"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</row>
    <row r="71" spans="4:27" x14ac:dyDescent="0.25"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</row>
    <row r="72" spans="4:27" x14ac:dyDescent="0.25"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</row>
    <row r="73" spans="4:27" x14ac:dyDescent="0.25"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</row>
    <row r="74" spans="4:27" x14ac:dyDescent="0.25"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</row>
    <row r="75" spans="4:27" x14ac:dyDescent="0.25"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</row>
    <row r="76" spans="4:27" x14ac:dyDescent="0.25"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</row>
    <row r="77" spans="4:27" x14ac:dyDescent="0.25"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</row>
    <row r="78" spans="4:27" x14ac:dyDescent="0.25"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</row>
    <row r="79" spans="4:27" x14ac:dyDescent="0.25"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</row>
    <row r="80" spans="4:27" x14ac:dyDescent="0.25"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</row>
    <row r="81" spans="4:27" x14ac:dyDescent="0.25"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</row>
    <row r="82" spans="4:27" x14ac:dyDescent="0.25"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</row>
    <row r="83" spans="4:27" x14ac:dyDescent="0.25"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</row>
    <row r="84" spans="4:27" x14ac:dyDescent="0.25"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</row>
    <row r="85" spans="4:27" x14ac:dyDescent="0.25"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</row>
    <row r="86" spans="4:27" x14ac:dyDescent="0.25"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</row>
    <row r="87" spans="4:27" x14ac:dyDescent="0.25"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</row>
    <row r="88" spans="4:27" x14ac:dyDescent="0.25"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</row>
    <row r="89" spans="4:27" x14ac:dyDescent="0.25"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</row>
    <row r="90" spans="4:27" x14ac:dyDescent="0.25"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</row>
    <row r="91" spans="4:27" x14ac:dyDescent="0.25"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</row>
    <row r="92" spans="4:27" x14ac:dyDescent="0.25"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</row>
    <row r="93" spans="4:27" x14ac:dyDescent="0.25"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</row>
    <row r="94" spans="4:27" x14ac:dyDescent="0.25"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</row>
    <row r="95" spans="4:27" x14ac:dyDescent="0.25"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</row>
    <row r="96" spans="4:27" x14ac:dyDescent="0.25"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</row>
    <row r="97" spans="4:27" x14ac:dyDescent="0.25"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</row>
    <row r="98" spans="4:27" x14ac:dyDescent="0.25"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</row>
    <row r="99" spans="4:27" x14ac:dyDescent="0.25"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</row>
    <row r="100" spans="4:27" x14ac:dyDescent="0.25"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</row>
    <row r="101" spans="4:27" x14ac:dyDescent="0.25"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</row>
    <row r="102" spans="4:27" x14ac:dyDescent="0.25"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</row>
    <row r="103" spans="4:27" x14ac:dyDescent="0.25"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</row>
    <row r="104" spans="4:27" x14ac:dyDescent="0.25"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</row>
    <row r="105" spans="4:27" x14ac:dyDescent="0.25"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</row>
    <row r="106" spans="4:27" x14ac:dyDescent="0.25"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</row>
    <row r="107" spans="4:27" x14ac:dyDescent="0.25"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</row>
    <row r="108" spans="4:27" x14ac:dyDescent="0.25"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</row>
    <row r="109" spans="4:27" x14ac:dyDescent="0.25"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</row>
    <row r="110" spans="4:27" x14ac:dyDescent="0.25"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</row>
    <row r="111" spans="4:27" x14ac:dyDescent="0.25"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</row>
    <row r="112" spans="4:27" x14ac:dyDescent="0.25"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</row>
    <row r="113" spans="4:27" x14ac:dyDescent="0.25"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</row>
    <row r="114" spans="4:27" x14ac:dyDescent="0.25"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</row>
    <row r="115" spans="4:27" x14ac:dyDescent="0.25"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</row>
    <row r="116" spans="4:27" x14ac:dyDescent="0.25"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</row>
    <row r="117" spans="4:27" x14ac:dyDescent="0.25"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</row>
    <row r="118" spans="4:27" x14ac:dyDescent="0.25"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</row>
    <row r="119" spans="4:27" x14ac:dyDescent="0.25"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</row>
    <row r="120" spans="4:27" x14ac:dyDescent="0.25"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</row>
    <row r="121" spans="4:27" x14ac:dyDescent="0.25"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</row>
    <row r="122" spans="4:27" x14ac:dyDescent="0.25"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</row>
    <row r="123" spans="4:27" x14ac:dyDescent="0.25"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</row>
    <row r="124" spans="4:27" x14ac:dyDescent="0.25"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</row>
    <row r="125" spans="4:27" x14ac:dyDescent="0.25"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</row>
    <row r="126" spans="4:27" x14ac:dyDescent="0.25"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</row>
    <row r="127" spans="4:27" x14ac:dyDescent="0.25"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</row>
    <row r="128" spans="4:27" x14ac:dyDescent="0.25"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</row>
    <row r="129" spans="4:27" x14ac:dyDescent="0.25"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</row>
    <row r="130" spans="4:27" x14ac:dyDescent="0.25"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</row>
    <row r="131" spans="4:27" x14ac:dyDescent="0.25"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</row>
    <row r="132" spans="4:27" x14ac:dyDescent="0.25"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</row>
    <row r="133" spans="4:27" x14ac:dyDescent="0.25"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</row>
    <row r="134" spans="4:27" x14ac:dyDescent="0.25"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</row>
    <row r="135" spans="4:27" x14ac:dyDescent="0.25"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</row>
    <row r="136" spans="4:27" x14ac:dyDescent="0.25"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</row>
    <row r="137" spans="4:27" x14ac:dyDescent="0.25"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</row>
    <row r="138" spans="4:27" x14ac:dyDescent="0.25"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</row>
    <row r="139" spans="4:27" x14ac:dyDescent="0.25"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</row>
    <row r="140" spans="4:27" x14ac:dyDescent="0.25"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</row>
    <row r="141" spans="4:27" x14ac:dyDescent="0.25"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</row>
    <row r="142" spans="4:27" x14ac:dyDescent="0.25"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</row>
    <row r="143" spans="4:27" x14ac:dyDescent="0.25"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</row>
    <row r="144" spans="4:27" x14ac:dyDescent="0.25"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</row>
    <row r="145" spans="4:27" x14ac:dyDescent="0.25"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</row>
    <row r="146" spans="4:27" x14ac:dyDescent="0.25"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</row>
    <row r="147" spans="4:27" x14ac:dyDescent="0.25"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</row>
    <row r="148" spans="4:27" x14ac:dyDescent="0.25"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</row>
    <row r="149" spans="4:27" x14ac:dyDescent="0.25"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</row>
    <row r="150" spans="4:27" x14ac:dyDescent="0.25"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</row>
    <row r="151" spans="4:27" x14ac:dyDescent="0.25"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</row>
    <row r="152" spans="4:27" x14ac:dyDescent="0.25"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</row>
    <row r="153" spans="4:27" x14ac:dyDescent="0.25"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</row>
    <row r="154" spans="4:27" x14ac:dyDescent="0.25"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</row>
    <row r="155" spans="4:27" x14ac:dyDescent="0.25"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</row>
    <row r="156" spans="4:27" x14ac:dyDescent="0.25"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</row>
    <row r="157" spans="4:27" x14ac:dyDescent="0.25"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</row>
    <row r="158" spans="4:27" x14ac:dyDescent="0.25"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</row>
    <row r="159" spans="4:27" x14ac:dyDescent="0.25"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</row>
    <row r="160" spans="4:27" x14ac:dyDescent="0.25"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</row>
    <row r="161" spans="4:27" x14ac:dyDescent="0.25"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</row>
    <row r="162" spans="4:27" x14ac:dyDescent="0.25"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</row>
    <row r="163" spans="4:27" x14ac:dyDescent="0.25"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</row>
    <row r="164" spans="4:27" x14ac:dyDescent="0.25"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</row>
    <row r="165" spans="4:27" x14ac:dyDescent="0.25"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</row>
    <row r="166" spans="4:27" x14ac:dyDescent="0.25"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</row>
    <row r="167" spans="4:27" x14ac:dyDescent="0.25"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</row>
    <row r="168" spans="4:27" x14ac:dyDescent="0.25"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</row>
    <row r="169" spans="4:27" x14ac:dyDescent="0.25"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</row>
    <row r="170" spans="4:27" x14ac:dyDescent="0.25"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</row>
    <row r="171" spans="4:27" x14ac:dyDescent="0.25"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</row>
    <row r="172" spans="4:27" x14ac:dyDescent="0.25"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</row>
    <row r="173" spans="4:27" x14ac:dyDescent="0.25"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</row>
    <row r="174" spans="4:27" x14ac:dyDescent="0.25"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</row>
    <row r="175" spans="4:27" x14ac:dyDescent="0.25"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</row>
    <row r="176" spans="4:27" x14ac:dyDescent="0.25"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</row>
    <row r="177" spans="4:27" x14ac:dyDescent="0.25"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</row>
    <row r="178" spans="4:27" x14ac:dyDescent="0.25"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</row>
    <row r="179" spans="4:27" x14ac:dyDescent="0.25"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</row>
    <row r="180" spans="4:27" x14ac:dyDescent="0.25"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</row>
    <row r="181" spans="4:27" x14ac:dyDescent="0.25"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</row>
    <row r="182" spans="4:27" x14ac:dyDescent="0.25"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</row>
    <row r="183" spans="4:27" x14ac:dyDescent="0.25"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</row>
    <row r="184" spans="4:27" x14ac:dyDescent="0.25"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</row>
    <row r="185" spans="4:27" x14ac:dyDescent="0.25"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</row>
    <row r="186" spans="4:27" x14ac:dyDescent="0.25"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</row>
    <row r="187" spans="4:27" x14ac:dyDescent="0.25"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</row>
    <row r="188" spans="4:27" x14ac:dyDescent="0.25"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</row>
    <row r="189" spans="4:27" x14ac:dyDescent="0.25"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</row>
    <row r="190" spans="4:27" x14ac:dyDescent="0.25"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</row>
    <row r="191" spans="4:27" x14ac:dyDescent="0.25"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</row>
    <row r="192" spans="4:27" x14ac:dyDescent="0.25"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</row>
    <row r="193" spans="4:27" x14ac:dyDescent="0.25"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</row>
    <row r="194" spans="4:27" x14ac:dyDescent="0.25"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</row>
    <row r="195" spans="4:27" x14ac:dyDescent="0.25"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</row>
    <row r="196" spans="4:27" x14ac:dyDescent="0.25"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</row>
    <row r="197" spans="4:27" x14ac:dyDescent="0.25"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</row>
    <row r="198" spans="4:27" x14ac:dyDescent="0.25"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</row>
    <row r="199" spans="4:27" x14ac:dyDescent="0.25"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</row>
    <row r="200" spans="4:27" x14ac:dyDescent="0.25"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</row>
    <row r="201" spans="4:27" x14ac:dyDescent="0.25"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</row>
    <row r="202" spans="4:27" x14ac:dyDescent="0.25"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</row>
    <row r="203" spans="4:27" x14ac:dyDescent="0.25"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</row>
    <row r="204" spans="4:27" x14ac:dyDescent="0.25"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</row>
    <row r="205" spans="4:27" x14ac:dyDescent="0.25"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</row>
    <row r="206" spans="4:27" x14ac:dyDescent="0.25"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</row>
    <row r="207" spans="4:27" x14ac:dyDescent="0.25"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</row>
    <row r="208" spans="4:27" x14ac:dyDescent="0.25"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</row>
    <row r="209" spans="4:27" x14ac:dyDescent="0.25"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</row>
    <row r="210" spans="4:27" x14ac:dyDescent="0.25"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</row>
    <row r="211" spans="4:27" x14ac:dyDescent="0.25"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</row>
    <row r="212" spans="4:27" x14ac:dyDescent="0.25"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</row>
    <row r="213" spans="4:27" x14ac:dyDescent="0.25"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</row>
    <row r="214" spans="4:27" x14ac:dyDescent="0.25"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</row>
    <row r="215" spans="4:27" x14ac:dyDescent="0.25"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</row>
    <row r="216" spans="4:27" x14ac:dyDescent="0.25"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</row>
    <row r="217" spans="4:27" x14ac:dyDescent="0.25"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</row>
    <row r="218" spans="4:27" x14ac:dyDescent="0.25"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</row>
    <row r="219" spans="4:27" x14ac:dyDescent="0.25"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</row>
    <row r="220" spans="4:27" x14ac:dyDescent="0.25"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</row>
    <row r="221" spans="4:27" x14ac:dyDescent="0.25"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</row>
    <row r="222" spans="4:27" x14ac:dyDescent="0.25"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</row>
    <row r="223" spans="4:27" x14ac:dyDescent="0.25"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</row>
    <row r="224" spans="4:27" x14ac:dyDescent="0.25"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</row>
    <row r="225" spans="4:27" x14ac:dyDescent="0.25"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</row>
    <row r="226" spans="4:27" x14ac:dyDescent="0.25"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</row>
    <row r="227" spans="4:27" x14ac:dyDescent="0.25"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</row>
    <row r="228" spans="4:27" x14ac:dyDescent="0.25"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</row>
    <row r="229" spans="4:27" x14ac:dyDescent="0.25"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</row>
    <row r="230" spans="4:27" x14ac:dyDescent="0.25"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</row>
    <row r="231" spans="4:27" x14ac:dyDescent="0.25"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</row>
    <row r="232" spans="4:27" x14ac:dyDescent="0.25"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</row>
    <row r="233" spans="4:27" x14ac:dyDescent="0.25"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</row>
    <row r="234" spans="4:27" x14ac:dyDescent="0.25"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</row>
    <row r="235" spans="4:27" x14ac:dyDescent="0.25"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</row>
    <row r="236" spans="4:27" x14ac:dyDescent="0.25"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</row>
    <row r="237" spans="4:27" x14ac:dyDescent="0.25"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</row>
    <row r="238" spans="4:27" x14ac:dyDescent="0.25"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</row>
    <row r="239" spans="4:27" x14ac:dyDescent="0.25"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</row>
    <row r="240" spans="4:27" x14ac:dyDescent="0.25"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</row>
    <row r="241" spans="4:27" x14ac:dyDescent="0.25"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</row>
    <row r="242" spans="4:27" x14ac:dyDescent="0.25"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</row>
    <row r="243" spans="4:27" x14ac:dyDescent="0.25"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</row>
    <row r="244" spans="4:27" x14ac:dyDescent="0.25"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</row>
    <row r="245" spans="4:27" x14ac:dyDescent="0.25"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</row>
    <row r="246" spans="4:27" x14ac:dyDescent="0.25"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</row>
    <row r="247" spans="4:27" x14ac:dyDescent="0.25"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</row>
    <row r="248" spans="4:27" x14ac:dyDescent="0.25"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</row>
    <row r="249" spans="4:27" x14ac:dyDescent="0.25"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</row>
    <row r="250" spans="4:27" x14ac:dyDescent="0.25"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</row>
    <row r="251" spans="4:27" x14ac:dyDescent="0.25"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</row>
    <row r="252" spans="4:27" x14ac:dyDescent="0.25"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</row>
    <row r="253" spans="4:27" x14ac:dyDescent="0.25"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</row>
    <row r="254" spans="4:27" x14ac:dyDescent="0.25"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</row>
    <row r="255" spans="4:27" x14ac:dyDescent="0.25"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</row>
    <row r="256" spans="4:27" x14ac:dyDescent="0.25"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</row>
    <row r="257" spans="4:27" x14ac:dyDescent="0.25"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</row>
    <row r="258" spans="4:27" x14ac:dyDescent="0.25"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</row>
    <row r="259" spans="4:27" x14ac:dyDescent="0.25"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</row>
    <row r="260" spans="4:27" x14ac:dyDescent="0.25"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</row>
    <row r="261" spans="4:27" x14ac:dyDescent="0.25"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</row>
    <row r="262" spans="4:27" x14ac:dyDescent="0.25"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</row>
    <row r="263" spans="4:27" x14ac:dyDescent="0.25"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</row>
    <row r="264" spans="4:27" x14ac:dyDescent="0.25"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</row>
    <row r="265" spans="4:27" x14ac:dyDescent="0.25"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</row>
    <row r="266" spans="4:27" x14ac:dyDescent="0.25"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</row>
    <row r="267" spans="4:27" x14ac:dyDescent="0.25"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</row>
    <row r="268" spans="4:27" x14ac:dyDescent="0.25"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</row>
    <row r="269" spans="4:27" x14ac:dyDescent="0.25"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</row>
    <row r="270" spans="4:27" x14ac:dyDescent="0.25"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</row>
    <row r="271" spans="4:27" x14ac:dyDescent="0.25"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</row>
    <row r="272" spans="4:27" x14ac:dyDescent="0.25"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</row>
    <row r="273" spans="4:27" x14ac:dyDescent="0.25"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</row>
    <row r="274" spans="4:27" x14ac:dyDescent="0.25"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</row>
    <row r="275" spans="4:27" x14ac:dyDescent="0.25"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</row>
    <row r="276" spans="4:27" x14ac:dyDescent="0.25"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</row>
    <row r="277" spans="4:27" x14ac:dyDescent="0.25"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</row>
    <row r="278" spans="4:27" x14ac:dyDescent="0.25"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</row>
    <row r="279" spans="4:27" x14ac:dyDescent="0.25"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</row>
    <row r="280" spans="4:27" x14ac:dyDescent="0.25"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</row>
    <row r="281" spans="4:27" x14ac:dyDescent="0.25"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</row>
    <row r="282" spans="4:27" x14ac:dyDescent="0.25"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</row>
    <row r="283" spans="4:27" x14ac:dyDescent="0.25"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</row>
    <row r="284" spans="4:27" x14ac:dyDescent="0.25"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</row>
    <row r="285" spans="4:27" x14ac:dyDescent="0.25"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</row>
    <row r="286" spans="4:27" x14ac:dyDescent="0.25"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</row>
    <row r="287" spans="4:27" x14ac:dyDescent="0.25"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</row>
    <row r="288" spans="4:27" x14ac:dyDescent="0.25"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</row>
    <row r="289" spans="4:27" x14ac:dyDescent="0.25"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</row>
    <row r="290" spans="4:27" x14ac:dyDescent="0.25"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</row>
    <row r="291" spans="4:27" x14ac:dyDescent="0.25"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</row>
    <row r="292" spans="4:27" x14ac:dyDescent="0.25"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</row>
    <row r="293" spans="4:27" x14ac:dyDescent="0.25"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</row>
    <row r="294" spans="4:27" x14ac:dyDescent="0.25"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</row>
    <row r="295" spans="4:27" x14ac:dyDescent="0.25"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</row>
    <row r="296" spans="4:27" x14ac:dyDescent="0.25"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</row>
    <row r="297" spans="4:27" x14ac:dyDescent="0.25"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</row>
    <row r="298" spans="4:27" x14ac:dyDescent="0.25"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</row>
    <row r="299" spans="4:27" x14ac:dyDescent="0.25"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</row>
    <row r="300" spans="4:27" x14ac:dyDescent="0.25"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</row>
    <row r="301" spans="4:27" x14ac:dyDescent="0.25"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</row>
    <row r="302" spans="4:27" x14ac:dyDescent="0.25"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</row>
    <row r="303" spans="4:27" x14ac:dyDescent="0.25"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</row>
    <row r="304" spans="4:27" x14ac:dyDescent="0.25"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</row>
    <row r="305" spans="4:27" x14ac:dyDescent="0.25"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</row>
    <row r="306" spans="4:27" x14ac:dyDescent="0.25"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</row>
    <row r="307" spans="4:27" x14ac:dyDescent="0.25"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</row>
    <row r="308" spans="4:27" x14ac:dyDescent="0.25"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</row>
    <row r="309" spans="4:27" x14ac:dyDescent="0.25"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</row>
    <row r="310" spans="4:27" x14ac:dyDescent="0.25"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</row>
    <row r="311" spans="4:27" x14ac:dyDescent="0.25"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</row>
    <row r="312" spans="4:27" x14ac:dyDescent="0.25"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</row>
    <row r="313" spans="4:27" x14ac:dyDescent="0.25"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</row>
    <row r="314" spans="4:27" x14ac:dyDescent="0.25"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</row>
    <row r="315" spans="4:27" x14ac:dyDescent="0.25"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</row>
    <row r="316" spans="4:27" x14ac:dyDescent="0.25"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</row>
    <row r="317" spans="4:27" x14ac:dyDescent="0.25"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</row>
    <row r="318" spans="4:27" x14ac:dyDescent="0.25"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</row>
    <row r="319" spans="4:27" x14ac:dyDescent="0.25"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</row>
    <row r="320" spans="4:27" x14ac:dyDescent="0.25"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</row>
    <row r="321" spans="4:27" x14ac:dyDescent="0.25"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</row>
    <row r="322" spans="4:27" x14ac:dyDescent="0.25"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</row>
    <row r="323" spans="4:27" x14ac:dyDescent="0.25"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</row>
    <row r="324" spans="4:27" x14ac:dyDescent="0.25"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</row>
    <row r="325" spans="4:27" x14ac:dyDescent="0.25"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</row>
    <row r="326" spans="4:27" x14ac:dyDescent="0.25"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</row>
    <row r="327" spans="4:27" x14ac:dyDescent="0.25"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</row>
    <row r="328" spans="4:27" x14ac:dyDescent="0.25"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</row>
    <row r="329" spans="4:27" x14ac:dyDescent="0.25"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</row>
    <row r="330" spans="4:27" x14ac:dyDescent="0.25"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</row>
    <row r="331" spans="4:27" x14ac:dyDescent="0.25"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</row>
    <row r="332" spans="4:27" x14ac:dyDescent="0.25"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</row>
    <row r="333" spans="4:27" x14ac:dyDescent="0.25"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</row>
    <row r="334" spans="4:27" x14ac:dyDescent="0.25"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</row>
    <row r="335" spans="4:27" x14ac:dyDescent="0.25"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</row>
    <row r="336" spans="4:27" x14ac:dyDescent="0.25"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</row>
    <row r="337" spans="4:27" x14ac:dyDescent="0.25"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</row>
    <row r="338" spans="4:27" x14ac:dyDescent="0.25"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</row>
    <row r="339" spans="4:27" x14ac:dyDescent="0.25"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</row>
    <row r="340" spans="4:27" x14ac:dyDescent="0.25"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</row>
    <row r="341" spans="4:27" x14ac:dyDescent="0.25"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</row>
    <row r="342" spans="4:27" x14ac:dyDescent="0.25"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</row>
    <row r="343" spans="4:27" x14ac:dyDescent="0.25"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</row>
    <row r="344" spans="4:27" x14ac:dyDescent="0.25"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</row>
    <row r="345" spans="4:27" x14ac:dyDescent="0.25"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</row>
    <row r="346" spans="4:27" x14ac:dyDescent="0.25"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</row>
    <row r="347" spans="4:27" x14ac:dyDescent="0.25"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</row>
    <row r="348" spans="4:27" x14ac:dyDescent="0.25"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</row>
    <row r="349" spans="4:27" x14ac:dyDescent="0.25"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</row>
    <row r="350" spans="4:27" x14ac:dyDescent="0.25"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</row>
    <row r="351" spans="4:27" x14ac:dyDescent="0.25"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</row>
    <row r="352" spans="4:27" x14ac:dyDescent="0.25"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</row>
    <row r="353" spans="4:27" x14ac:dyDescent="0.25"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</row>
    <row r="354" spans="4:27" x14ac:dyDescent="0.25"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</row>
    <row r="355" spans="4:27" x14ac:dyDescent="0.25"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</row>
    <row r="356" spans="4:27" x14ac:dyDescent="0.25"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</row>
    <row r="357" spans="4:27" x14ac:dyDescent="0.25"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</row>
    <row r="358" spans="4:27" x14ac:dyDescent="0.25"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</row>
    <row r="359" spans="4:27" x14ac:dyDescent="0.25"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</row>
    <row r="360" spans="4:27" x14ac:dyDescent="0.25"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</row>
    <row r="361" spans="4:27" x14ac:dyDescent="0.25"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</row>
    <row r="362" spans="4:27" x14ac:dyDescent="0.25"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</row>
    <row r="363" spans="4:27" x14ac:dyDescent="0.25"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</row>
    <row r="364" spans="4:27" x14ac:dyDescent="0.25"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</row>
    <row r="365" spans="4:27" x14ac:dyDescent="0.25"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</row>
    <row r="366" spans="4:27" x14ac:dyDescent="0.25"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</row>
    <row r="367" spans="4:27" x14ac:dyDescent="0.25"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</row>
    <row r="368" spans="4:27" x14ac:dyDescent="0.25"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</row>
    <row r="369" spans="4:27" x14ac:dyDescent="0.25"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</row>
  </sheetData>
  <sheetProtection formatCells="0" formatColumns="0" formatRows="0" insertHyperlinks="0" selectLockedCells="1" sort="0" autoFilter="0" pivotTables="0"/>
  <mergeCells count="6">
    <mergeCell ref="B24:E24"/>
    <mergeCell ref="H2:L3"/>
    <mergeCell ref="B2:F3"/>
    <mergeCell ref="N2:R3"/>
    <mergeCell ref="N13:N15"/>
    <mergeCell ref="O13:O15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ul">
                <anchor moveWithCells="1">
                  <from>
                    <xdr:col>1</xdr:col>
                    <xdr:colOff>1485900</xdr:colOff>
                    <xdr:row>12</xdr:row>
                    <xdr:rowOff>104775</xdr:rowOff>
                  </from>
                  <to>
                    <xdr:col>5</xdr:col>
                    <xdr:colOff>76200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lcul_dia">
                <anchor moveWithCells="1" sizeWithCells="1">
                  <from>
                    <xdr:col>7</xdr:col>
                    <xdr:colOff>1809750</xdr:colOff>
                    <xdr:row>14</xdr:row>
                    <xdr:rowOff>142875</xdr:rowOff>
                  </from>
                  <to>
                    <xdr:col>11</xdr:col>
                    <xdr:colOff>228600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ódulo4.calculangle">
                <anchor moveWithCells="1" sizeWithCells="1">
                  <from>
                    <xdr:col>13</xdr:col>
                    <xdr:colOff>1447800</xdr:colOff>
                    <xdr:row>15</xdr:row>
                    <xdr:rowOff>104775</xdr:rowOff>
                  </from>
                  <to>
                    <xdr:col>17</xdr:col>
                    <xdr:colOff>161925</xdr:colOff>
                    <xdr:row>19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AA369"/>
  <sheetViews>
    <sheetView zoomScaleNormal="100" workbookViewId="0">
      <selection activeCell="C1" sqref="C1:C1048576"/>
    </sheetView>
  </sheetViews>
  <sheetFormatPr defaultColWidth="11.42578125" defaultRowHeight="15" x14ac:dyDescent="0.25"/>
  <cols>
    <col min="1" max="1" width="3.42578125" style="60" customWidth="1"/>
    <col min="2" max="2" width="52.85546875" style="60" bestFit="1" customWidth="1"/>
    <col min="3" max="3" width="5" style="8" bestFit="1" customWidth="1"/>
    <col min="4" max="4" width="3.85546875" style="60" customWidth="1"/>
    <col min="5" max="5" width="53.85546875" style="60" bestFit="1" customWidth="1"/>
    <col min="6" max="6" width="5.85546875" style="60" bestFit="1" customWidth="1"/>
    <col min="7" max="7" width="11.85546875" style="60" bestFit="1" customWidth="1"/>
    <col min="8" max="9" width="11.42578125" style="60"/>
    <col min="10" max="10" width="4.85546875" style="60" customWidth="1"/>
    <col min="11" max="11" width="63.5703125" style="60" bestFit="1" customWidth="1"/>
    <col min="12" max="12" width="4.140625" style="60" bestFit="1" customWidth="1"/>
    <col min="13" max="16384" width="11.42578125" style="60"/>
  </cols>
  <sheetData>
    <row r="2" spans="2:27" x14ac:dyDescent="0.25">
      <c r="B2" s="59" t="s">
        <v>69</v>
      </c>
    </row>
    <row r="3" spans="2:27" x14ac:dyDescent="0.25">
      <c r="B3" s="61" t="s">
        <v>73</v>
      </c>
      <c r="C3" s="54">
        <f>Dades!D7*PI()/180</f>
        <v>0.715584993317675</v>
      </c>
      <c r="E3" s="60" t="s">
        <v>12</v>
      </c>
      <c r="F3" s="60" t="s">
        <v>13</v>
      </c>
      <c r="G3" s="62">
        <f>23.45*SIN(2*PI()*(C10+284)/365.25)</f>
        <v>-23.116711724417168</v>
      </c>
      <c r="H3" s="62">
        <f>G3*PI()/180</f>
        <v>-0.40346273182545567</v>
      </c>
      <c r="I3" s="60" t="s">
        <v>16</v>
      </c>
    </row>
    <row r="4" spans="2:27" x14ac:dyDescent="0.25">
      <c r="E4" s="60" t="s">
        <v>14</v>
      </c>
      <c r="F4" s="60" t="s">
        <v>15</v>
      </c>
      <c r="G4" s="60">
        <f>15*(C11-12)</f>
        <v>180</v>
      </c>
      <c r="H4" s="62">
        <f>G4*PI()/180</f>
        <v>3.1415926535897931</v>
      </c>
      <c r="I4" s="60" t="s">
        <v>16</v>
      </c>
    </row>
    <row r="5" spans="2:27" x14ac:dyDescent="0.25">
      <c r="B5" s="59" t="s">
        <v>70</v>
      </c>
      <c r="D5" s="63"/>
      <c r="E5" s="63" t="s">
        <v>10</v>
      </c>
      <c r="F5" s="64" t="s">
        <v>11</v>
      </c>
      <c r="G5" s="63">
        <f>H5*180/PI()</f>
        <v>162.11671172441717</v>
      </c>
      <c r="H5" s="63">
        <f>ACOS((SIN(H3)*SIN(C3)+COS(H3)*COS(C3)*COS(H4)))</f>
        <v>2.8294703920975737</v>
      </c>
      <c r="I5" s="63" t="s">
        <v>16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</row>
    <row r="6" spans="2:27" x14ac:dyDescent="0.25">
      <c r="B6" s="61" t="s">
        <v>74</v>
      </c>
      <c r="C6" s="54">
        <f>Dades!D10*PI()/180</f>
        <v>0.78539816339744828</v>
      </c>
      <c r="D6" s="63"/>
      <c r="E6" s="65" t="s">
        <v>8</v>
      </c>
      <c r="F6" s="65" t="s">
        <v>9</v>
      </c>
      <c r="G6" s="65" t="e">
        <f>1/(COS(H5)+0.15*(93.885-G5)^(-1.253))</f>
        <v>#NUM!</v>
      </c>
      <c r="H6" s="63">
        <f>(93.885-G5)</f>
        <v>-68.231711724417167</v>
      </c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</row>
    <row r="7" spans="2:27" x14ac:dyDescent="0.25">
      <c r="B7" s="61" t="s">
        <v>75</v>
      </c>
      <c r="C7" s="54">
        <f>Dades!D11*PI()/180</f>
        <v>0.89011791851710798</v>
      </c>
      <c r="D7" s="63"/>
      <c r="E7" s="63" t="s">
        <v>17</v>
      </c>
      <c r="F7" s="63" t="s">
        <v>18</v>
      </c>
      <c r="G7" s="63">
        <f>101325*EXP(-0.0001184*Dades!D6)</f>
        <v>97615.585924043771</v>
      </c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</row>
    <row r="8" spans="2:27" x14ac:dyDescent="0.25">
      <c r="D8" s="63"/>
      <c r="E8" s="63" t="s">
        <v>7</v>
      </c>
      <c r="F8" s="63" t="s">
        <v>6</v>
      </c>
      <c r="G8" s="63" t="e">
        <f>G7*G6/101325</f>
        <v>#NUM!</v>
      </c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</row>
    <row r="9" spans="2:27" x14ac:dyDescent="0.25">
      <c r="B9" s="59" t="s">
        <v>71</v>
      </c>
      <c r="D9" s="63"/>
      <c r="E9" s="63" t="s">
        <v>20</v>
      </c>
      <c r="F9" s="64" t="s">
        <v>21</v>
      </c>
      <c r="G9" s="63" t="e">
        <f>EXP(-0.0903*G8^0.84*(1+G8-G8^(1.01)))</f>
        <v>#NUM!</v>
      </c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</row>
    <row r="10" spans="2:27" x14ac:dyDescent="0.25">
      <c r="B10" s="61" t="s">
        <v>103</v>
      </c>
      <c r="C10" s="55">
        <v>365</v>
      </c>
      <c r="D10" s="63"/>
      <c r="E10" s="63" t="s">
        <v>22</v>
      </c>
      <c r="F10" s="64" t="s">
        <v>5</v>
      </c>
      <c r="G10" s="63" t="e">
        <f>0.12445*C17-0.0162+(1.003-0.125*C17)*EXP(-C18*Calculs!G8*(1.089*C17+0.5123))</f>
        <v>#NUM!</v>
      </c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</row>
    <row r="11" spans="2:27" x14ac:dyDescent="0.25">
      <c r="B11" s="61" t="s">
        <v>3</v>
      </c>
      <c r="C11" s="55">
        <v>24</v>
      </c>
      <c r="D11" s="63"/>
      <c r="E11" s="63" t="s">
        <v>28</v>
      </c>
      <c r="F11" s="63" t="s">
        <v>27</v>
      </c>
      <c r="G11" s="63">
        <v>0.33</v>
      </c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</row>
    <row r="12" spans="2:27" x14ac:dyDescent="0.25">
      <c r="B12" s="61" t="s">
        <v>4</v>
      </c>
      <c r="C12" s="55"/>
      <c r="D12" s="63"/>
      <c r="E12" s="63" t="s">
        <v>26</v>
      </c>
      <c r="F12" s="64" t="s">
        <v>25</v>
      </c>
      <c r="G12" s="63" t="e">
        <f>G11*G6</f>
        <v>#NUM!</v>
      </c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2:27" x14ac:dyDescent="0.25">
      <c r="B13" s="61" t="s">
        <v>37</v>
      </c>
      <c r="C13" s="55"/>
      <c r="D13" s="63"/>
      <c r="E13" s="63" t="s">
        <v>24</v>
      </c>
      <c r="F13" s="64" t="s">
        <v>23</v>
      </c>
      <c r="G13" s="63" t="e">
        <f>1-(0.1611*G12*(1+139.48*G12)^(-0.3035)+0.002715*G12/(1+0.044*G12+0.0003*G12^2))</f>
        <v>#NUM!</v>
      </c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2:27" x14ac:dyDescent="0.25">
      <c r="D14" s="63"/>
      <c r="E14" s="63" t="s">
        <v>29</v>
      </c>
      <c r="F14" s="64" t="s">
        <v>30</v>
      </c>
      <c r="G14" s="63" t="e">
        <f>EXP(-0.0127*G8^0.26)</f>
        <v>#NUM!</v>
      </c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2:27" x14ac:dyDescent="0.25">
      <c r="B15" s="60" t="s">
        <v>76</v>
      </c>
      <c r="C15" s="7">
        <v>1367</v>
      </c>
      <c r="D15" s="63"/>
      <c r="E15" s="63" t="s">
        <v>36</v>
      </c>
      <c r="F15" s="64" t="s">
        <v>35</v>
      </c>
      <c r="G15" s="63">
        <f>0.00493*C13*EXP(26.23-5416/(C12+273.15))/(C12+273.15)</f>
        <v>0</v>
      </c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2:27" x14ac:dyDescent="0.25">
      <c r="D16" s="63"/>
      <c r="E16" s="63" t="s">
        <v>34</v>
      </c>
      <c r="F16" s="64" t="s">
        <v>33</v>
      </c>
      <c r="G16" s="63" t="e">
        <f>G15*G6</f>
        <v>#NUM!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x14ac:dyDescent="0.25">
      <c r="B17" s="60" t="s">
        <v>104</v>
      </c>
      <c r="C17" s="52">
        <v>1.3</v>
      </c>
      <c r="E17" s="63" t="s">
        <v>32</v>
      </c>
      <c r="F17" s="64" t="s">
        <v>31</v>
      </c>
      <c r="G17" s="63" t="e">
        <f>1-2.4959*G16/((1+79.034*G16)^0.6828+6.385*G16)</f>
        <v>#NUM!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x14ac:dyDescent="0.25">
      <c r="B18" s="60" t="s">
        <v>105</v>
      </c>
      <c r="C18" s="52">
        <v>0.15</v>
      </c>
      <c r="E18" s="63" t="s">
        <v>39</v>
      </c>
      <c r="F18" s="63" t="s">
        <v>38</v>
      </c>
      <c r="G18" s="63">
        <f>1+0.33*COS(2*PI()*C10/365)</f>
        <v>1.33</v>
      </c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</row>
    <row r="19" spans="2:27" x14ac:dyDescent="0.25">
      <c r="D19" s="63"/>
      <c r="E19" s="65" t="s">
        <v>42</v>
      </c>
      <c r="F19" s="65" t="s">
        <v>41</v>
      </c>
      <c r="G19" s="65" t="e">
        <f>0.9751*G18*C15*G9*G13*G14*G17*G10</f>
        <v>#NUM!</v>
      </c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x14ac:dyDescent="0.25">
      <c r="B20" s="66"/>
      <c r="D20" s="63"/>
      <c r="E20" s="63" t="s">
        <v>43</v>
      </c>
      <c r="F20" s="63" t="s">
        <v>44</v>
      </c>
      <c r="G20" s="63">
        <f>SIN(C6)*SIN(C7)*COS(H3)*SIN(H4)+COS(C6)*SIN(C7)*COS(H3)*SIN(C3)*COS(H4)-COS(C6)*SIN(C7)*SIN(H3)*COS(C3)+COS(C7)*SIN(H3)*SIN(C3)+COS(C7)*COS(H3)*COS(C3)*COS(H4)</f>
        <v>-0.76766182364349556</v>
      </c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x14ac:dyDescent="0.25">
      <c r="B21" s="67"/>
      <c r="D21" s="63"/>
      <c r="E21" s="65" t="s">
        <v>47</v>
      </c>
      <c r="F21" s="65" t="s">
        <v>46</v>
      </c>
      <c r="G21" s="65">
        <f>ACOS(G20)*180/PI()</f>
        <v>140.14438445293692</v>
      </c>
      <c r="H21" s="63">
        <f>G21*PI()/180</f>
        <v>2.4459809368845016</v>
      </c>
      <c r="I21" s="63" t="s">
        <v>16</v>
      </c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x14ac:dyDescent="0.25">
      <c r="D22" s="63"/>
      <c r="E22" s="68" t="s">
        <v>40</v>
      </c>
      <c r="F22" s="68" t="s">
        <v>48</v>
      </c>
      <c r="G22" s="68" t="e">
        <f>G19*G20</f>
        <v>#NUM!</v>
      </c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x14ac:dyDescent="0.25">
      <c r="D23" s="63"/>
      <c r="E23" s="64" t="s">
        <v>67</v>
      </c>
      <c r="F23" s="64" t="s">
        <v>67</v>
      </c>
      <c r="G23" s="63">
        <v>0.9</v>
      </c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x14ac:dyDescent="0.25">
      <c r="B24" s="69"/>
      <c r="D24" s="63"/>
      <c r="E24" s="63" t="s">
        <v>54</v>
      </c>
      <c r="F24" s="63" t="s">
        <v>53</v>
      </c>
      <c r="G24" s="63" t="e">
        <f>1-(1-G23)*(1-G8+G8^1.06)*(1-G10)</f>
        <v>#NUM!</v>
      </c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x14ac:dyDescent="0.25">
      <c r="B25" s="69"/>
      <c r="D25" s="63"/>
      <c r="E25" s="63" t="s">
        <v>59</v>
      </c>
      <c r="F25" s="63" t="s">
        <v>58</v>
      </c>
      <c r="G25" s="63" t="e">
        <f>G10/G24</f>
        <v>#NUM!</v>
      </c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x14ac:dyDescent="0.25">
      <c r="D26" s="63"/>
      <c r="E26" s="63" t="s">
        <v>57</v>
      </c>
      <c r="F26" s="63" t="s">
        <v>57</v>
      </c>
      <c r="G26" s="63">
        <v>0.84</v>
      </c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</row>
    <row r="27" spans="2:27" x14ac:dyDescent="0.25">
      <c r="D27" s="63"/>
      <c r="E27" s="63" t="s">
        <v>64</v>
      </c>
      <c r="F27" s="63" t="s">
        <v>63</v>
      </c>
      <c r="G27" s="63" t="e">
        <f>0.0685+(1-G26)*(1-G25)</f>
        <v>#NUM!</v>
      </c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</row>
    <row r="28" spans="2:27" x14ac:dyDescent="0.25">
      <c r="B28" s="67"/>
      <c r="D28" s="63"/>
      <c r="E28" s="63" t="s">
        <v>68</v>
      </c>
      <c r="F28" s="63" t="s">
        <v>62</v>
      </c>
      <c r="G28" s="63">
        <v>0.1</v>
      </c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</row>
    <row r="29" spans="2:27" x14ac:dyDescent="0.25">
      <c r="B29" s="67"/>
      <c r="D29" s="63"/>
      <c r="E29" s="63" t="s">
        <v>50</v>
      </c>
      <c r="F29" s="63" t="s">
        <v>52</v>
      </c>
      <c r="G29" s="63" t="e">
        <f>0.79*C15*(1+0.033*COS(2*PI()*C10/365))*G13*G14*G17*G24*0.5*(1-G9)/(1-G8+G8^1.02)*COS(H5)</f>
        <v>#NUM!</v>
      </c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</row>
    <row r="30" spans="2:27" x14ac:dyDescent="0.25">
      <c r="D30" s="63"/>
      <c r="E30" s="63" t="s">
        <v>56</v>
      </c>
      <c r="F30" s="63" t="s">
        <v>55</v>
      </c>
      <c r="G30" s="63" t="e">
        <f>0.79*C15*(1+0.033*COS(2*PI()*C10/365))*G13*G14*G17*G24*G26*(1-G25)/(1-G8+G8^1.02)*COS(H5)</f>
        <v>#NUM!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</row>
    <row r="31" spans="2:27" x14ac:dyDescent="0.25">
      <c r="D31" s="63"/>
      <c r="E31" s="63" t="s">
        <v>61</v>
      </c>
      <c r="F31" s="63" t="s">
        <v>60</v>
      </c>
      <c r="G31" s="63" t="e">
        <f>(G19*COS(H5)+G29+G30)*G28*G27/(1-G28*G27)</f>
        <v>#NUM!</v>
      </c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</row>
    <row r="32" spans="2:27" x14ac:dyDescent="0.25">
      <c r="D32" s="63"/>
      <c r="E32" s="68" t="s">
        <v>49</v>
      </c>
      <c r="F32" s="68" t="s">
        <v>51</v>
      </c>
      <c r="G32" s="68" t="e">
        <f>G29+G30+G31</f>
        <v>#NUM!</v>
      </c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</row>
    <row r="33" spans="4:27" x14ac:dyDescent="0.25">
      <c r="D33" s="63"/>
      <c r="E33" s="68" t="s">
        <v>66</v>
      </c>
      <c r="F33" s="68" t="s">
        <v>65</v>
      </c>
      <c r="G33" s="68" t="e">
        <f>(1-COS(C7))/2*G28*(G19*COS(H5)+G32)</f>
        <v>#NUM!</v>
      </c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</row>
    <row r="34" spans="4:27" x14ac:dyDescent="0.25">
      <c r="D34" s="63"/>
      <c r="E34" s="70" t="s">
        <v>72</v>
      </c>
      <c r="F34" s="70"/>
      <c r="G34" s="70" t="e">
        <f>G22+G32+G33</f>
        <v>#NUM!</v>
      </c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</row>
    <row r="35" spans="4:27" x14ac:dyDescent="0.25"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</row>
    <row r="36" spans="4:27" x14ac:dyDescent="0.25"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</row>
    <row r="37" spans="4:27" x14ac:dyDescent="0.25"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</row>
    <row r="38" spans="4:27" x14ac:dyDescent="0.25"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</row>
    <row r="39" spans="4:27" x14ac:dyDescent="0.25"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</row>
    <row r="40" spans="4:27" x14ac:dyDescent="0.25"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</row>
    <row r="41" spans="4:27" x14ac:dyDescent="0.25"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</row>
    <row r="42" spans="4:27" x14ac:dyDescent="0.25"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</row>
    <row r="43" spans="4:27" x14ac:dyDescent="0.25"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</row>
    <row r="44" spans="4:27" x14ac:dyDescent="0.25"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</row>
    <row r="45" spans="4:27" x14ac:dyDescent="0.25"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</row>
    <row r="46" spans="4:27" x14ac:dyDescent="0.25"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</row>
    <row r="47" spans="4:27" x14ac:dyDescent="0.25"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</row>
    <row r="48" spans="4:27" x14ac:dyDescent="0.25"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</row>
    <row r="49" spans="4:27" x14ac:dyDescent="0.25"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</row>
    <row r="50" spans="4:27" x14ac:dyDescent="0.25"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</row>
    <row r="51" spans="4:27" x14ac:dyDescent="0.25"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</row>
    <row r="52" spans="4:27" x14ac:dyDescent="0.25"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</row>
    <row r="53" spans="4:27" x14ac:dyDescent="0.25"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</row>
    <row r="54" spans="4:27" x14ac:dyDescent="0.25"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</row>
    <row r="55" spans="4:27" x14ac:dyDescent="0.25"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</row>
    <row r="56" spans="4:27" x14ac:dyDescent="0.25"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</row>
    <row r="57" spans="4:27" x14ac:dyDescent="0.25"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</row>
    <row r="58" spans="4:27" x14ac:dyDescent="0.25"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</row>
    <row r="59" spans="4:27" x14ac:dyDescent="0.25"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</row>
    <row r="60" spans="4:27" x14ac:dyDescent="0.25"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</row>
    <row r="61" spans="4:27" x14ac:dyDescent="0.25"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</row>
    <row r="62" spans="4:27" x14ac:dyDescent="0.25"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</row>
    <row r="63" spans="4:27" x14ac:dyDescent="0.25"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</row>
    <row r="64" spans="4:27" x14ac:dyDescent="0.25"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</row>
    <row r="65" spans="4:27" x14ac:dyDescent="0.25"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</row>
    <row r="66" spans="4:27" x14ac:dyDescent="0.25"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</row>
    <row r="67" spans="4:27" x14ac:dyDescent="0.25"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</row>
    <row r="68" spans="4:27" x14ac:dyDescent="0.25"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</row>
    <row r="69" spans="4:27" x14ac:dyDescent="0.25"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</row>
    <row r="70" spans="4:27" x14ac:dyDescent="0.25"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</row>
    <row r="71" spans="4:27" x14ac:dyDescent="0.25"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</row>
    <row r="72" spans="4:27" x14ac:dyDescent="0.25"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</row>
    <row r="73" spans="4:27" x14ac:dyDescent="0.25"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</row>
    <row r="74" spans="4:27" x14ac:dyDescent="0.25"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</row>
    <row r="75" spans="4:27" x14ac:dyDescent="0.25"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</row>
    <row r="76" spans="4:27" x14ac:dyDescent="0.25"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</row>
    <row r="77" spans="4:27" x14ac:dyDescent="0.25"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</row>
    <row r="78" spans="4:27" x14ac:dyDescent="0.25"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</row>
    <row r="79" spans="4:27" x14ac:dyDescent="0.25"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</row>
    <row r="80" spans="4:27" x14ac:dyDescent="0.25"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</row>
    <row r="81" spans="4:27" x14ac:dyDescent="0.25"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</row>
    <row r="82" spans="4:27" x14ac:dyDescent="0.25"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</row>
    <row r="83" spans="4:27" x14ac:dyDescent="0.25"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</row>
    <row r="84" spans="4:27" x14ac:dyDescent="0.25"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</row>
    <row r="85" spans="4:27" x14ac:dyDescent="0.25"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</row>
    <row r="86" spans="4:27" x14ac:dyDescent="0.25"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</row>
    <row r="87" spans="4:27" x14ac:dyDescent="0.25"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</row>
    <row r="88" spans="4:27" x14ac:dyDescent="0.25"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</row>
    <row r="89" spans="4:27" x14ac:dyDescent="0.25"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</row>
    <row r="90" spans="4:27" x14ac:dyDescent="0.25"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</row>
    <row r="91" spans="4:27" x14ac:dyDescent="0.25"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</row>
    <row r="92" spans="4:27" x14ac:dyDescent="0.25"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</row>
    <row r="93" spans="4:27" x14ac:dyDescent="0.25"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</row>
    <row r="94" spans="4:27" x14ac:dyDescent="0.25"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</row>
    <row r="95" spans="4:27" x14ac:dyDescent="0.25"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</row>
    <row r="96" spans="4:27" x14ac:dyDescent="0.25"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</row>
    <row r="97" spans="4:27" x14ac:dyDescent="0.25"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</row>
    <row r="98" spans="4:27" x14ac:dyDescent="0.25"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</row>
    <row r="99" spans="4:27" x14ac:dyDescent="0.25"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</row>
    <row r="100" spans="4:27" x14ac:dyDescent="0.25"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</row>
    <row r="101" spans="4:27" x14ac:dyDescent="0.25"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</row>
    <row r="102" spans="4:27" x14ac:dyDescent="0.25"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</row>
    <row r="103" spans="4:27" x14ac:dyDescent="0.25"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</row>
    <row r="104" spans="4:27" x14ac:dyDescent="0.25"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</row>
    <row r="105" spans="4:27" x14ac:dyDescent="0.25"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</row>
    <row r="106" spans="4:27" x14ac:dyDescent="0.25"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</row>
    <row r="107" spans="4:27" x14ac:dyDescent="0.25"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</row>
    <row r="108" spans="4:27" x14ac:dyDescent="0.25"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</row>
    <row r="109" spans="4:27" x14ac:dyDescent="0.25"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</row>
    <row r="110" spans="4:27" x14ac:dyDescent="0.25"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</row>
    <row r="111" spans="4:27" x14ac:dyDescent="0.25"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</row>
    <row r="112" spans="4:27" x14ac:dyDescent="0.25"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</row>
    <row r="113" spans="4:27" x14ac:dyDescent="0.25"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</row>
    <row r="114" spans="4:27" x14ac:dyDescent="0.25"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</row>
    <row r="115" spans="4:27" x14ac:dyDescent="0.25"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</row>
    <row r="116" spans="4:27" x14ac:dyDescent="0.25"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</row>
    <row r="117" spans="4:27" x14ac:dyDescent="0.25"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</row>
    <row r="118" spans="4:27" x14ac:dyDescent="0.25"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</row>
    <row r="119" spans="4:27" x14ac:dyDescent="0.25"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</row>
    <row r="120" spans="4:27" x14ac:dyDescent="0.25"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</row>
    <row r="121" spans="4:27" x14ac:dyDescent="0.25"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</row>
    <row r="122" spans="4:27" x14ac:dyDescent="0.25"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</row>
    <row r="123" spans="4:27" x14ac:dyDescent="0.25"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</row>
    <row r="124" spans="4:27" x14ac:dyDescent="0.25"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</row>
    <row r="125" spans="4:27" x14ac:dyDescent="0.25"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</row>
    <row r="126" spans="4:27" x14ac:dyDescent="0.25"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</row>
    <row r="127" spans="4:27" x14ac:dyDescent="0.25"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</row>
    <row r="128" spans="4:27" x14ac:dyDescent="0.25"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</row>
    <row r="129" spans="4:27" x14ac:dyDescent="0.25"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</row>
    <row r="130" spans="4:27" x14ac:dyDescent="0.25"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</row>
    <row r="131" spans="4:27" x14ac:dyDescent="0.25"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</row>
    <row r="132" spans="4:27" x14ac:dyDescent="0.25"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</row>
    <row r="133" spans="4:27" x14ac:dyDescent="0.25"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</row>
    <row r="134" spans="4:27" x14ac:dyDescent="0.25"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</row>
    <row r="135" spans="4:27" x14ac:dyDescent="0.25"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</row>
    <row r="136" spans="4:27" x14ac:dyDescent="0.25"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</row>
    <row r="137" spans="4:27" x14ac:dyDescent="0.25"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</row>
    <row r="138" spans="4:27" x14ac:dyDescent="0.25"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</row>
    <row r="139" spans="4:27" x14ac:dyDescent="0.25"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</row>
    <row r="140" spans="4:27" x14ac:dyDescent="0.25"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</row>
    <row r="141" spans="4:27" x14ac:dyDescent="0.25"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</row>
    <row r="142" spans="4:27" x14ac:dyDescent="0.25"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</row>
    <row r="143" spans="4:27" x14ac:dyDescent="0.25"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</row>
    <row r="144" spans="4:27" x14ac:dyDescent="0.25"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</row>
    <row r="145" spans="4:27" x14ac:dyDescent="0.25"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</row>
    <row r="146" spans="4:27" x14ac:dyDescent="0.25"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</row>
    <row r="147" spans="4:27" x14ac:dyDescent="0.25"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</row>
    <row r="148" spans="4:27" x14ac:dyDescent="0.25"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</row>
    <row r="149" spans="4:27" x14ac:dyDescent="0.25"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</row>
    <row r="150" spans="4:27" x14ac:dyDescent="0.25"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</row>
    <row r="151" spans="4:27" x14ac:dyDescent="0.25"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</row>
    <row r="152" spans="4:27" x14ac:dyDescent="0.25"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</row>
    <row r="153" spans="4:27" x14ac:dyDescent="0.25"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</row>
    <row r="154" spans="4:27" x14ac:dyDescent="0.25"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</row>
    <row r="155" spans="4:27" x14ac:dyDescent="0.25"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</row>
    <row r="156" spans="4:27" x14ac:dyDescent="0.25"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</row>
    <row r="157" spans="4:27" x14ac:dyDescent="0.25"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</row>
    <row r="158" spans="4:27" x14ac:dyDescent="0.25"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</row>
    <row r="159" spans="4:27" x14ac:dyDescent="0.25"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</row>
    <row r="160" spans="4:27" x14ac:dyDescent="0.25"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</row>
    <row r="161" spans="4:27" x14ac:dyDescent="0.25"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</row>
    <row r="162" spans="4:27" x14ac:dyDescent="0.25"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</row>
    <row r="163" spans="4:27" x14ac:dyDescent="0.25"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</row>
    <row r="164" spans="4:27" x14ac:dyDescent="0.25"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</row>
    <row r="165" spans="4:27" x14ac:dyDescent="0.25"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</row>
    <row r="166" spans="4:27" x14ac:dyDescent="0.25"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</row>
    <row r="167" spans="4:27" x14ac:dyDescent="0.25"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</row>
    <row r="168" spans="4:27" x14ac:dyDescent="0.25"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</row>
    <row r="169" spans="4:27" x14ac:dyDescent="0.25"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</row>
    <row r="170" spans="4:27" x14ac:dyDescent="0.25"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</row>
    <row r="171" spans="4:27" x14ac:dyDescent="0.25"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</row>
    <row r="172" spans="4:27" x14ac:dyDescent="0.25"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</row>
    <row r="173" spans="4:27" x14ac:dyDescent="0.25"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</row>
    <row r="174" spans="4:27" x14ac:dyDescent="0.25"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</row>
    <row r="175" spans="4:27" x14ac:dyDescent="0.25"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</row>
    <row r="176" spans="4:27" x14ac:dyDescent="0.25"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</row>
    <row r="177" spans="4:27" x14ac:dyDescent="0.25"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</row>
    <row r="178" spans="4:27" x14ac:dyDescent="0.25"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</row>
    <row r="179" spans="4:27" x14ac:dyDescent="0.25"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</row>
    <row r="180" spans="4:27" x14ac:dyDescent="0.25"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</row>
    <row r="181" spans="4:27" x14ac:dyDescent="0.25"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</row>
    <row r="182" spans="4:27" x14ac:dyDescent="0.25"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</row>
    <row r="183" spans="4:27" x14ac:dyDescent="0.25"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</row>
    <row r="184" spans="4:27" x14ac:dyDescent="0.25"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</row>
    <row r="185" spans="4:27" x14ac:dyDescent="0.25"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</row>
    <row r="186" spans="4:27" x14ac:dyDescent="0.25"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</row>
    <row r="187" spans="4:27" x14ac:dyDescent="0.25"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</row>
    <row r="188" spans="4:27" x14ac:dyDescent="0.25"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</row>
    <row r="189" spans="4:27" x14ac:dyDescent="0.25"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</row>
    <row r="190" spans="4:27" x14ac:dyDescent="0.25"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</row>
    <row r="191" spans="4:27" x14ac:dyDescent="0.25"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</row>
    <row r="192" spans="4:27" x14ac:dyDescent="0.25"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</row>
    <row r="193" spans="4:27" x14ac:dyDescent="0.25"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</row>
    <row r="194" spans="4:27" x14ac:dyDescent="0.25"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</row>
    <row r="195" spans="4:27" x14ac:dyDescent="0.25"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</row>
    <row r="196" spans="4:27" x14ac:dyDescent="0.25"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</row>
    <row r="197" spans="4:27" x14ac:dyDescent="0.25"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</row>
    <row r="198" spans="4:27" x14ac:dyDescent="0.25"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</row>
    <row r="199" spans="4:27" x14ac:dyDescent="0.25"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</row>
    <row r="200" spans="4:27" x14ac:dyDescent="0.25"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</row>
    <row r="201" spans="4:27" x14ac:dyDescent="0.25"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</row>
    <row r="202" spans="4:27" x14ac:dyDescent="0.25"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</row>
    <row r="203" spans="4:27" x14ac:dyDescent="0.25"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</row>
    <row r="204" spans="4:27" x14ac:dyDescent="0.25"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</row>
    <row r="205" spans="4:27" x14ac:dyDescent="0.25"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</row>
    <row r="206" spans="4:27" x14ac:dyDescent="0.25"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</row>
    <row r="207" spans="4:27" x14ac:dyDescent="0.25"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</row>
    <row r="208" spans="4:27" x14ac:dyDescent="0.25"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</row>
    <row r="209" spans="4:27" x14ac:dyDescent="0.25"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</row>
    <row r="210" spans="4:27" x14ac:dyDescent="0.25"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</row>
    <row r="211" spans="4:27" x14ac:dyDescent="0.25"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</row>
    <row r="212" spans="4:27" x14ac:dyDescent="0.25"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</row>
    <row r="213" spans="4:27" x14ac:dyDescent="0.25"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</row>
    <row r="214" spans="4:27" x14ac:dyDescent="0.25"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</row>
    <row r="215" spans="4:27" x14ac:dyDescent="0.25"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</row>
    <row r="216" spans="4:27" x14ac:dyDescent="0.25"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</row>
    <row r="217" spans="4:27" x14ac:dyDescent="0.25"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</row>
    <row r="218" spans="4:27" x14ac:dyDescent="0.25"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</row>
    <row r="219" spans="4:27" x14ac:dyDescent="0.25"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</row>
    <row r="220" spans="4:27" x14ac:dyDescent="0.25"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</row>
    <row r="221" spans="4:27" x14ac:dyDescent="0.25"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</row>
    <row r="222" spans="4:27" x14ac:dyDescent="0.25"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</row>
    <row r="223" spans="4:27" x14ac:dyDescent="0.25"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</row>
    <row r="224" spans="4:27" x14ac:dyDescent="0.25"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</row>
    <row r="225" spans="4:27" x14ac:dyDescent="0.25"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</row>
    <row r="226" spans="4:27" x14ac:dyDescent="0.25"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</row>
    <row r="227" spans="4:27" x14ac:dyDescent="0.25"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</row>
    <row r="228" spans="4:27" x14ac:dyDescent="0.25"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</row>
    <row r="229" spans="4:27" x14ac:dyDescent="0.25"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</row>
    <row r="230" spans="4:27" x14ac:dyDescent="0.25"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</row>
    <row r="231" spans="4:27" x14ac:dyDescent="0.25"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</row>
    <row r="232" spans="4:27" x14ac:dyDescent="0.25"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</row>
    <row r="233" spans="4:27" x14ac:dyDescent="0.25"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</row>
    <row r="234" spans="4:27" x14ac:dyDescent="0.25"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</row>
    <row r="235" spans="4:27" x14ac:dyDescent="0.25"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</row>
    <row r="236" spans="4:27" x14ac:dyDescent="0.25"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</row>
    <row r="237" spans="4:27" x14ac:dyDescent="0.25"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</row>
    <row r="238" spans="4:27" x14ac:dyDescent="0.25"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</row>
    <row r="239" spans="4:27" x14ac:dyDescent="0.25"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</row>
    <row r="240" spans="4:27" x14ac:dyDescent="0.25"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</row>
    <row r="241" spans="4:27" x14ac:dyDescent="0.25"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</row>
    <row r="242" spans="4:27" x14ac:dyDescent="0.25"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</row>
    <row r="243" spans="4:27" x14ac:dyDescent="0.25"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</row>
    <row r="244" spans="4:27" x14ac:dyDescent="0.25"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</row>
    <row r="245" spans="4:27" x14ac:dyDescent="0.25"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</row>
    <row r="246" spans="4:27" x14ac:dyDescent="0.25"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</row>
    <row r="247" spans="4:27" x14ac:dyDescent="0.25"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</row>
    <row r="248" spans="4:27" x14ac:dyDescent="0.25"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</row>
    <row r="249" spans="4:27" x14ac:dyDescent="0.25"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</row>
    <row r="250" spans="4:27" x14ac:dyDescent="0.25"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</row>
    <row r="251" spans="4:27" x14ac:dyDescent="0.25"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</row>
    <row r="252" spans="4:27" x14ac:dyDescent="0.25"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</row>
    <row r="253" spans="4:27" x14ac:dyDescent="0.25"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</row>
    <row r="254" spans="4:27" x14ac:dyDescent="0.25"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</row>
    <row r="255" spans="4:27" x14ac:dyDescent="0.25"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</row>
    <row r="256" spans="4:27" x14ac:dyDescent="0.25"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</row>
    <row r="257" spans="4:27" x14ac:dyDescent="0.25"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</row>
    <row r="258" spans="4:27" x14ac:dyDescent="0.25"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</row>
    <row r="259" spans="4:27" x14ac:dyDescent="0.25"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</row>
    <row r="260" spans="4:27" x14ac:dyDescent="0.25"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</row>
    <row r="261" spans="4:27" x14ac:dyDescent="0.25"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</row>
    <row r="262" spans="4:27" x14ac:dyDescent="0.25"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</row>
    <row r="263" spans="4:27" x14ac:dyDescent="0.25"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</row>
    <row r="264" spans="4:27" x14ac:dyDescent="0.25"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</row>
    <row r="265" spans="4:27" x14ac:dyDescent="0.25"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</row>
    <row r="266" spans="4:27" x14ac:dyDescent="0.25"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</row>
    <row r="267" spans="4:27" x14ac:dyDescent="0.25"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</row>
    <row r="268" spans="4:27" x14ac:dyDescent="0.25"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</row>
    <row r="269" spans="4:27" x14ac:dyDescent="0.25"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</row>
    <row r="270" spans="4:27" x14ac:dyDescent="0.25"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</row>
    <row r="271" spans="4:27" x14ac:dyDescent="0.25"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</row>
    <row r="272" spans="4:27" x14ac:dyDescent="0.25"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</row>
    <row r="273" spans="4:27" x14ac:dyDescent="0.25"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</row>
    <row r="274" spans="4:27" x14ac:dyDescent="0.25"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</row>
    <row r="275" spans="4:27" x14ac:dyDescent="0.25"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</row>
    <row r="276" spans="4:27" x14ac:dyDescent="0.25"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</row>
    <row r="277" spans="4:27" x14ac:dyDescent="0.25"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</row>
    <row r="278" spans="4:27" x14ac:dyDescent="0.25"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</row>
    <row r="279" spans="4:27" x14ac:dyDescent="0.25"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</row>
    <row r="280" spans="4:27" x14ac:dyDescent="0.25"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</row>
    <row r="281" spans="4:27" x14ac:dyDescent="0.25"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</row>
    <row r="282" spans="4:27" x14ac:dyDescent="0.25"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</row>
    <row r="283" spans="4:27" x14ac:dyDescent="0.25"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</row>
    <row r="284" spans="4:27" x14ac:dyDescent="0.25"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</row>
    <row r="285" spans="4:27" x14ac:dyDescent="0.25"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</row>
    <row r="286" spans="4:27" x14ac:dyDescent="0.25"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</row>
    <row r="287" spans="4:27" x14ac:dyDescent="0.25"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</row>
    <row r="288" spans="4:27" x14ac:dyDescent="0.25"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</row>
    <row r="289" spans="4:27" x14ac:dyDescent="0.25"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</row>
    <row r="290" spans="4:27" x14ac:dyDescent="0.25"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</row>
    <row r="291" spans="4:27" x14ac:dyDescent="0.25"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</row>
    <row r="292" spans="4:27" x14ac:dyDescent="0.25"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</row>
    <row r="293" spans="4:27" x14ac:dyDescent="0.25"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</row>
    <row r="294" spans="4:27" x14ac:dyDescent="0.25"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</row>
    <row r="295" spans="4:27" x14ac:dyDescent="0.25"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</row>
    <row r="296" spans="4:27" x14ac:dyDescent="0.25"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</row>
    <row r="297" spans="4:27" x14ac:dyDescent="0.25"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</row>
    <row r="298" spans="4:27" x14ac:dyDescent="0.25"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</row>
    <row r="299" spans="4:27" x14ac:dyDescent="0.25"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</row>
    <row r="300" spans="4:27" x14ac:dyDescent="0.25"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</row>
    <row r="301" spans="4:27" x14ac:dyDescent="0.25"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</row>
    <row r="302" spans="4:27" x14ac:dyDescent="0.25"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</row>
    <row r="303" spans="4:27" x14ac:dyDescent="0.25"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</row>
    <row r="304" spans="4:27" x14ac:dyDescent="0.25"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</row>
    <row r="305" spans="4:27" x14ac:dyDescent="0.25"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</row>
    <row r="306" spans="4:27" x14ac:dyDescent="0.25"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</row>
    <row r="307" spans="4:27" x14ac:dyDescent="0.25"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</row>
    <row r="308" spans="4:27" x14ac:dyDescent="0.25"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</row>
    <row r="309" spans="4:27" x14ac:dyDescent="0.25"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</row>
    <row r="310" spans="4:27" x14ac:dyDescent="0.25"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</row>
    <row r="311" spans="4:27" x14ac:dyDescent="0.25"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</row>
    <row r="312" spans="4:27" x14ac:dyDescent="0.25"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</row>
    <row r="313" spans="4:27" x14ac:dyDescent="0.25"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</row>
    <row r="314" spans="4:27" x14ac:dyDescent="0.25"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</row>
    <row r="315" spans="4:27" x14ac:dyDescent="0.25"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</row>
    <row r="316" spans="4:27" x14ac:dyDescent="0.25"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</row>
    <row r="317" spans="4:27" x14ac:dyDescent="0.25"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</row>
    <row r="318" spans="4:27" x14ac:dyDescent="0.25"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</row>
    <row r="319" spans="4:27" x14ac:dyDescent="0.25"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</row>
    <row r="320" spans="4:27" x14ac:dyDescent="0.25"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</row>
    <row r="321" spans="4:27" x14ac:dyDescent="0.25"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</row>
    <row r="322" spans="4:27" x14ac:dyDescent="0.25"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</row>
    <row r="323" spans="4:27" x14ac:dyDescent="0.25"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</row>
    <row r="324" spans="4:27" x14ac:dyDescent="0.25"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</row>
    <row r="325" spans="4:27" x14ac:dyDescent="0.25"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</row>
    <row r="326" spans="4:27" x14ac:dyDescent="0.25"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</row>
    <row r="327" spans="4:27" x14ac:dyDescent="0.25"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</row>
    <row r="328" spans="4:27" x14ac:dyDescent="0.25"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</row>
    <row r="329" spans="4:27" x14ac:dyDescent="0.25"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</row>
    <row r="330" spans="4:27" x14ac:dyDescent="0.25"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</row>
    <row r="331" spans="4:27" x14ac:dyDescent="0.25"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</row>
    <row r="332" spans="4:27" x14ac:dyDescent="0.25"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</row>
    <row r="333" spans="4:27" x14ac:dyDescent="0.25"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</row>
    <row r="334" spans="4:27" x14ac:dyDescent="0.25"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</row>
    <row r="335" spans="4:27" x14ac:dyDescent="0.25"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</row>
    <row r="336" spans="4:27" x14ac:dyDescent="0.25"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</row>
    <row r="337" spans="4:27" x14ac:dyDescent="0.25"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</row>
    <row r="338" spans="4:27" x14ac:dyDescent="0.25"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</row>
    <row r="339" spans="4:27" x14ac:dyDescent="0.25"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</row>
    <row r="340" spans="4:27" x14ac:dyDescent="0.25"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</row>
    <row r="341" spans="4:27" x14ac:dyDescent="0.25"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</row>
    <row r="342" spans="4:27" x14ac:dyDescent="0.25"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</row>
    <row r="343" spans="4:27" x14ac:dyDescent="0.25"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</row>
    <row r="344" spans="4:27" x14ac:dyDescent="0.25"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</row>
    <row r="345" spans="4:27" x14ac:dyDescent="0.25"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</row>
    <row r="346" spans="4:27" x14ac:dyDescent="0.25"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</row>
    <row r="347" spans="4:27" x14ac:dyDescent="0.25"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</row>
    <row r="348" spans="4:27" x14ac:dyDescent="0.25"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</row>
    <row r="349" spans="4:27" x14ac:dyDescent="0.25"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</row>
    <row r="350" spans="4:27" x14ac:dyDescent="0.25"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</row>
    <row r="351" spans="4:27" x14ac:dyDescent="0.25"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</row>
    <row r="352" spans="4:27" x14ac:dyDescent="0.25"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</row>
    <row r="353" spans="4:27" x14ac:dyDescent="0.25"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</row>
    <row r="354" spans="4:27" x14ac:dyDescent="0.25"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</row>
    <row r="355" spans="4:27" x14ac:dyDescent="0.25"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</row>
    <row r="356" spans="4:27" x14ac:dyDescent="0.25"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</row>
    <row r="357" spans="4:27" x14ac:dyDescent="0.25"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</row>
    <row r="358" spans="4:27" x14ac:dyDescent="0.25"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</row>
    <row r="359" spans="4:27" x14ac:dyDescent="0.25"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</row>
    <row r="360" spans="4:27" x14ac:dyDescent="0.25"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</row>
    <row r="361" spans="4:27" x14ac:dyDescent="0.25"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</row>
    <row r="362" spans="4:27" x14ac:dyDescent="0.25"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</row>
    <row r="363" spans="4:27" x14ac:dyDescent="0.25"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</row>
    <row r="364" spans="4:27" x14ac:dyDescent="0.25"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</row>
    <row r="365" spans="4:27" x14ac:dyDescent="0.25"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</row>
    <row r="366" spans="4:27" x14ac:dyDescent="0.25"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</row>
    <row r="367" spans="4:27" x14ac:dyDescent="0.25"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</row>
    <row r="368" spans="4:27" x14ac:dyDescent="0.25"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</row>
    <row r="369" spans="4:27" x14ac:dyDescent="0.25"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</row>
  </sheetData>
  <sheetProtection sheet="1" objects="1" scenarios="1" selectLockedCells="1" selectUnlockedCells="1"/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AL370"/>
  <sheetViews>
    <sheetView zoomScale="85" zoomScaleNormal="85" workbookViewId="0">
      <selection activeCell="I19" sqref="I19"/>
    </sheetView>
  </sheetViews>
  <sheetFormatPr defaultColWidth="11.42578125" defaultRowHeight="15" x14ac:dyDescent="0.25"/>
  <cols>
    <col min="1" max="1" width="3.85546875" style="73" customWidth="1"/>
    <col min="2" max="2" width="10.85546875" style="73" bestFit="1" customWidth="1"/>
    <col min="3" max="3" width="8.7109375" style="72" customWidth="1"/>
    <col min="4" max="27" width="8.7109375" style="73" customWidth="1"/>
    <col min="28" max="28" width="11.42578125" style="73"/>
    <col min="29" max="29" width="15.7109375" style="73" bestFit="1" customWidth="1"/>
    <col min="30" max="30" width="10.5703125" style="73" bestFit="1" customWidth="1"/>
    <col min="31" max="32" width="10.85546875" style="73" bestFit="1" customWidth="1"/>
    <col min="33" max="33" width="4.7109375" style="73" bestFit="1" customWidth="1"/>
    <col min="34" max="34" width="12.7109375" style="73" bestFit="1" customWidth="1"/>
    <col min="35" max="36" width="11.42578125" style="73"/>
    <col min="37" max="38" width="11.42578125" style="7"/>
    <col min="39" max="531" width="11.42578125" style="73"/>
    <col min="532" max="538" width="2.140625" style="73" bestFit="1" customWidth="1"/>
    <col min="539" max="547" width="12.28515625" style="73" bestFit="1" customWidth="1"/>
    <col min="548" max="562" width="2.140625" style="73" bestFit="1" customWidth="1"/>
    <col min="563" max="571" width="12.28515625" style="73" bestFit="1" customWidth="1"/>
    <col min="572" max="586" width="2.140625" style="73" bestFit="1" customWidth="1"/>
    <col min="587" max="588" width="11.28515625" style="73" bestFit="1" customWidth="1"/>
    <col min="589" max="593" width="12.28515625" style="73" bestFit="1" customWidth="1"/>
    <col min="594" max="595" width="11.28515625" style="73" bestFit="1" customWidth="1"/>
    <col min="596" max="610" width="2.140625" style="73" bestFit="1" customWidth="1"/>
    <col min="611" max="611" width="10.28515625" style="73" bestFit="1" customWidth="1"/>
    <col min="612" max="614" width="12.28515625" style="73" bestFit="1" customWidth="1"/>
    <col min="615" max="615" width="10.28515625" style="73" bestFit="1" customWidth="1"/>
    <col min="616" max="618" width="12.28515625" style="73" bestFit="1" customWidth="1"/>
    <col min="619" max="619" width="10.28515625" style="73" bestFit="1" customWidth="1"/>
    <col min="620" max="634" width="2.140625" style="73" bestFit="1" customWidth="1"/>
    <col min="635" max="636" width="12.28515625" style="73" bestFit="1" customWidth="1"/>
    <col min="637" max="637" width="11.28515625" style="73" bestFit="1" customWidth="1"/>
    <col min="638" max="640" width="12.28515625" style="73" bestFit="1" customWidth="1"/>
    <col min="641" max="641" width="11.28515625" style="73" bestFit="1" customWidth="1"/>
    <col min="642" max="643" width="12.28515625" style="73" bestFit="1" customWidth="1"/>
    <col min="644" max="658" width="2.140625" style="73" bestFit="1" customWidth="1"/>
    <col min="659" max="667" width="12.28515625" style="73" bestFit="1" customWidth="1"/>
    <col min="668" max="682" width="2.140625" style="73" bestFit="1" customWidth="1"/>
    <col min="683" max="683" width="12.28515625" style="73" bestFit="1" customWidth="1"/>
    <col min="684" max="684" width="11.28515625" style="73" bestFit="1" customWidth="1"/>
    <col min="685" max="689" width="12.28515625" style="73" bestFit="1" customWidth="1"/>
    <col min="690" max="690" width="11.28515625" style="73" bestFit="1" customWidth="1"/>
    <col min="691" max="691" width="12.28515625" style="73" bestFit="1" customWidth="1"/>
    <col min="692" max="706" width="2.140625" style="73" bestFit="1" customWidth="1"/>
    <col min="707" max="715" width="12.28515625" style="73" bestFit="1" customWidth="1"/>
    <col min="716" max="730" width="2.140625" style="73" bestFit="1" customWidth="1"/>
    <col min="731" max="731" width="12.28515625" style="73" bestFit="1" customWidth="1"/>
    <col min="732" max="732" width="9.28515625" style="73" bestFit="1" customWidth="1"/>
    <col min="733" max="737" width="12.28515625" style="73" bestFit="1" customWidth="1"/>
    <col min="738" max="738" width="9.28515625" style="73" bestFit="1" customWidth="1"/>
    <col min="739" max="739" width="12.28515625" style="73" bestFit="1" customWidth="1"/>
    <col min="740" max="754" width="2.140625" style="73" bestFit="1" customWidth="1"/>
    <col min="755" max="763" width="12.28515625" style="73" bestFit="1" customWidth="1"/>
    <col min="764" max="778" width="2.140625" style="73" bestFit="1" customWidth="1"/>
    <col min="779" max="779" width="12.28515625" style="73" bestFit="1" customWidth="1"/>
    <col min="780" max="780" width="11.28515625" style="73" bestFit="1" customWidth="1"/>
    <col min="781" max="785" width="12.28515625" style="73" bestFit="1" customWidth="1"/>
    <col min="786" max="786" width="11.28515625" style="73" bestFit="1" customWidth="1"/>
    <col min="787" max="787" width="12.28515625" style="73" bestFit="1" customWidth="1"/>
    <col min="788" max="801" width="2.140625" style="73" bestFit="1" customWidth="1"/>
    <col min="802" max="803" width="12.28515625" style="73" bestFit="1" customWidth="1"/>
    <col min="804" max="805" width="11.28515625" style="73" bestFit="1" customWidth="1"/>
    <col min="806" max="808" width="12.28515625" style="73" bestFit="1" customWidth="1"/>
    <col min="809" max="810" width="11.28515625" style="73" bestFit="1" customWidth="1"/>
    <col min="811" max="812" width="12.28515625" style="73" bestFit="1" customWidth="1"/>
    <col min="813" max="825" width="2.140625" style="73" bestFit="1" customWidth="1"/>
    <col min="826" max="827" width="12.28515625" style="73" bestFit="1" customWidth="1"/>
    <col min="828" max="828" width="11.28515625" style="73" bestFit="1" customWidth="1"/>
    <col min="829" max="833" width="12.28515625" style="73" bestFit="1" customWidth="1"/>
    <col min="834" max="834" width="11.28515625" style="73" bestFit="1" customWidth="1"/>
    <col min="835" max="836" width="12.28515625" style="73" bestFit="1" customWidth="1"/>
    <col min="837" max="849" width="2.140625" style="73" bestFit="1" customWidth="1"/>
    <col min="850" max="860" width="12.28515625" style="73" bestFit="1" customWidth="1"/>
    <col min="861" max="873" width="2.140625" style="73" bestFit="1" customWidth="1"/>
    <col min="874" max="884" width="12.28515625" style="73" bestFit="1" customWidth="1"/>
    <col min="885" max="897" width="2.140625" style="73" bestFit="1" customWidth="1"/>
    <col min="898" max="902" width="12.28515625" style="73" bestFit="1" customWidth="1"/>
    <col min="903" max="903" width="11.28515625" style="73" bestFit="1" customWidth="1"/>
    <col min="904" max="908" width="12.28515625" style="73" bestFit="1" customWidth="1"/>
    <col min="909" max="921" width="2.140625" style="73" bestFit="1" customWidth="1"/>
    <col min="922" max="925" width="12.28515625" style="73" bestFit="1" customWidth="1"/>
    <col min="926" max="926" width="11.28515625" style="73" bestFit="1" customWidth="1"/>
    <col min="927" max="927" width="12.28515625" style="73" bestFit="1" customWidth="1"/>
    <col min="928" max="928" width="11.28515625" style="73" bestFit="1" customWidth="1"/>
    <col min="929" max="932" width="12.28515625" style="73" bestFit="1" customWidth="1"/>
    <col min="933" max="945" width="2.140625" style="73" bestFit="1" customWidth="1"/>
    <col min="946" max="946" width="12.28515625" style="73" bestFit="1" customWidth="1"/>
    <col min="947" max="947" width="11.28515625" style="73" bestFit="1" customWidth="1"/>
    <col min="948" max="954" width="12.28515625" style="73" bestFit="1" customWidth="1"/>
    <col min="955" max="955" width="11.28515625" style="73" bestFit="1" customWidth="1"/>
    <col min="956" max="956" width="12.28515625" style="73" bestFit="1" customWidth="1"/>
    <col min="957" max="969" width="2.140625" style="73" bestFit="1" customWidth="1"/>
    <col min="970" max="980" width="12.28515625" style="73" bestFit="1" customWidth="1"/>
    <col min="981" max="993" width="2.140625" style="73" bestFit="1" customWidth="1"/>
    <col min="994" max="994" width="12.28515625" style="73" bestFit="1" customWidth="1"/>
    <col min="995" max="995" width="11.28515625" style="73" bestFit="1" customWidth="1"/>
    <col min="996" max="1002" width="12.28515625" style="73" bestFit="1" customWidth="1"/>
    <col min="1003" max="1003" width="11.28515625" style="73" bestFit="1" customWidth="1"/>
    <col min="1004" max="1004" width="12.28515625" style="73" bestFit="1" customWidth="1"/>
    <col min="1005" max="1017" width="2.140625" style="73" bestFit="1" customWidth="1"/>
    <col min="1018" max="1028" width="12.28515625" style="73" bestFit="1" customWidth="1"/>
    <col min="1029" max="1041" width="2.140625" style="73" bestFit="1" customWidth="1"/>
    <col min="1042" max="1052" width="12.28515625" style="73" bestFit="1" customWidth="1"/>
    <col min="1053" max="1065" width="2.140625" style="73" bestFit="1" customWidth="1"/>
    <col min="1066" max="1066" width="11.28515625" style="73" bestFit="1" customWidth="1"/>
    <col min="1067" max="1075" width="12.28515625" style="73" bestFit="1" customWidth="1"/>
    <col min="1076" max="1076" width="11.28515625" style="73" bestFit="1" customWidth="1"/>
    <col min="1077" max="1089" width="2.140625" style="73" bestFit="1" customWidth="1"/>
    <col min="1090" max="1094" width="12.28515625" style="73" bestFit="1" customWidth="1"/>
    <col min="1095" max="1095" width="11.28515625" style="73" bestFit="1" customWidth="1"/>
    <col min="1096" max="1100" width="12.28515625" style="73" bestFit="1" customWidth="1"/>
    <col min="1101" max="1113" width="2.140625" style="73" bestFit="1" customWidth="1"/>
    <col min="1114" max="1114" width="11.28515625" style="73" bestFit="1" customWidth="1"/>
    <col min="1115" max="1123" width="12.28515625" style="73" bestFit="1" customWidth="1"/>
    <col min="1124" max="1124" width="11.28515625" style="73" bestFit="1" customWidth="1"/>
    <col min="1125" max="1137" width="2.140625" style="73" bestFit="1" customWidth="1"/>
    <col min="1138" max="1148" width="12.28515625" style="73" bestFit="1" customWidth="1"/>
    <col min="1149" max="1161" width="2.140625" style="73" bestFit="1" customWidth="1"/>
    <col min="1162" max="1163" width="12.28515625" style="73" bestFit="1" customWidth="1"/>
    <col min="1164" max="1164" width="11.28515625" style="73" bestFit="1" customWidth="1"/>
    <col min="1165" max="1169" width="12.28515625" style="73" bestFit="1" customWidth="1"/>
    <col min="1170" max="1170" width="11.28515625" style="73" bestFit="1" customWidth="1"/>
    <col min="1171" max="1172" width="12.28515625" style="73" bestFit="1" customWidth="1"/>
    <col min="1173" max="1185" width="2.140625" style="73" bestFit="1" customWidth="1"/>
    <col min="1186" max="1187" width="12.28515625" style="73" bestFit="1" customWidth="1"/>
    <col min="1188" max="1188" width="11.28515625" style="73" bestFit="1" customWidth="1"/>
    <col min="1189" max="1193" width="12.28515625" style="73" bestFit="1" customWidth="1"/>
    <col min="1194" max="1194" width="11.28515625" style="73" bestFit="1" customWidth="1"/>
    <col min="1195" max="1196" width="12.28515625" style="73" bestFit="1" customWidth="1"/>
    <col min="1197" max="1209" width="2.140625" style="73" bestFit="1" customWidth="1"/>
    <col min="1210" max="1210" width="11.28515625" style="73" bestFit="1" customWidth="1"/>
    <col min="1211" max="1212" width="12.28515625" style="73" bestFit="1" customWidth="1"/>
    <col min="1213" max="1213" width="11.28515625" style="73" bestFit="1" customWidth="1"/>
    <col min="1214" max="1216" width="12.28515625" style="73" bestFit="1" customWidth="1"/>
    <col min="1217" max="1217" width="11.28515625" style="73" bestFit="1" customWidth="1"/>
    <col min="1218" max="1219" width="12.28515625" style="73" bestFit="1" customWidth="1"/>
    <col min="1220" max="1220" width="11.28515625" style="73" bestFit="1" customWidth="1"/>
    <col min="1221" max="1233" width="2.140625" style="73" bestFit="1" customWidth="1"/>
    <col min="1234" max="1236" width="12.28515625" style="73" bestFit="1" customWidth="1"/>
    <col min="1237" max="1237" width="11.28515625" style="73" bestFit="1" customWidth="1"/>
    <col min="1238" max="1240" width="12.28515625" style="73" bestFit="1" customWidth="1"/>
    <col min="1241" max="1241" width="11.28515625" style="73" bestFit="1" customWidth="1"/>
    <col min="1242" max="1244" width="12.28515625" style="73" bestFit="1" customWidth="1"/>
    <col min="1245" max="1257" width="2.140625" style="73" bestFit="1" customWidth="1"/>
    <col min="1258" max="1258" width="11.28515625" style="73" bestFit="1" customWidth="1"/>
    <col min="1259" max="1267" width="12.28515625" style="73" bestFit="1" customWidth="1"/>
    <col min="1268" max="1268" width="11.28515625" style="73" bestFit="1" customWidth="1"/>
    <col min="1269" max="1281" width="2.140625" style="73" bestFit="1" customWidth="1"/>
    <col min="1282" max="1292" width="12.28515625" style="73" bestFit="1" customWidth="1"/>
    <col min="1293" max="1305" width="2.140625" style="73" bestFit="1" customWidth="1"/>
    <col min="1306" max="1316" width="12.28515625" style="73" bestFit="1" customWidth="1"/>
    <col min="1317" max="1329" width="2.140625" style="73" bestFit="1" customWidth="1"/>
    <col min="1330" max="1331" width="12.28515625" style="73" bestFit="1" customWidth="1"/>
    <col min="1332" max="1332" width="10.28515625" style="73" bestFit="1" customWidth="1"/>
    <col min="1333" max="1337" width="12.28515625" style="73" bestFit="1" customWidth="1"/>
    <col min="1338" max="1338" width="10.28515625" style="73" bestFit="1" customWidth="1"/>
    <col min="1339" max="1340" width="12.28515625" style="73" bestFit="1" customWidth="1"/>
    <col min="1341" max="1353" width="2.140625" style="73" bestFit="1" customWidth="1"/>
    <col min="1354" max="1364" width="12.28515625" style="73" bestFit="1" customWidth="1"/>
    <col min="1365" max="1377" width="2.140625" style="73" bestFit="1" customWidth="1"/>
    <col min="1378" max="1388" width="12.28515625" style="73" bestFit="1" customWidth="1"/>
    <col min="1389" max="1401" width="2.140625" style="73" bestFit="1" customWidth="1"/>
    <col min="1402" max="1412" width="12.28515625" style="73" bestFit="1" customWidth="1"/>
    <col min="1413" max="1425" width="2.140625" style="73" bestFit="1" customWidth="1"/>
    <col min="1426" max="1436" width="12.28515625" style="73" bestFit="1" customWidth="1"/>
    <col min="1437" max="1449" width="2.140625" style="73" bestFit="1" customWidth="1"/>
    <col min="1450" max="1460" width="12.28515625" style="73" bestFit="1" customWidth="1"/>
    <col min="1461" max="1473" width="2.140625" style="73" bestFit="1" customWidth="1"/>
    <col min="1474" max="1484" width="12.28515625" style="73" bestFit="1" customWidth="1"/>
    <col min="1485" max="1497" width="2.140625" style="73" bestFit="1" customWidth="1"/>
    <col min="1498" max="1508" width="12.28515625" style="73" bestFit="1" customWidth="1"/>
    <col min="1509" max="1521" width="2.140625" style="73" bestFit="1" customWidth="1"/>
    <col min="1522" max="1532" width="12.28515625" style="73" bestFit="1" customWidth="1"/>
    <col min="1533" max="1545" width="2.140625" style="73" bestFit="1" customWidth="1"/>
    <col min="1546" max="1546" width="12.28515625" style="73" bestFit="1" customWidth="1"/>
    <col min="1547" max="1547" width="11.28515625" style="73" bestFit="1" customWidth="1"/>
    <col min="1548" max="1554" width="12.28515625" style="73" bestFit="1" customWidth="1"/>
    <col min="1555" max="1555" width="11.28515625" style="73" bestFit="1" customWidth="1"/>
    <col min="1556" max="1556" width="12.28515625" style="73" bestFit="1" customWidth="1"/>
    <col min="1557" max="1569" width="2.140625" style="73" bestFit="1" customWidth="1"/>
    <col min="1570" max="1580" width="12.28515625" style="73" bestFit="1" customWidth="1"/>
    <col min="1581" max="1593" width="2.140625" style="73" bestFit="1" customWidth="1"/>
    <col min="1594" max="1604" width="12.28515625" style="73" bestFit="1" customWidth="1"/>
    <col min="1605" max="1617" width="2.140625" style="73" bestFit="1" customWidth="1"/>
    <col min="1618" max="1628" width="12.28515625" style="73" bestFit="1" customWidth="1"/>
    <col min="1629" max="1641" width="2.140625" style="73" bestFit="1" customWidth="1"/>
    <col min="1642" max="1644" width="12.28515625" style="73" bestFit="1" customWidth="1"/>
    <col min="1645" max="1645" width="11.28515625" style="73" bestFit="1" customWidth="1"/>
    <col min="1646" max="1648" width="12.28515625" style="73" bestFit="1" customWidth="1"/>
    <col min="1649" max="1649" width="11.28515625" style="73" bestFit="1" customWidth="1"/>
    <col min="1650" max="1652" width="12.28515625" style="73" bestFit="1" customWidth="1"/>
    <col min="1653" max="1665" width="2.140625" style="73" bestFit="1" customWidth="1"/>
    <col min="1666" max="1676" width="12.28515625" style="73" bestFit="1" customWidth="1"/>
    <col min="1677" max="1689" width="2.140625" style="73" bestFit="1" customWidth="1"/>
    <col min="1690" max="1692" width="12.28515625" style="73" bestFit="1" customWidth="1"/>
    <col min="1693" max="1693" width="10.28515625" style="73" bestFit="1" customWidth="1"/>
    <col min="1694" max="1696" width="12.28515625" style="73" bestFit="1" customWidth="1"/>
    <col min="1697" max="1697" width="10.28515625" style="73" bestFit="1" customWidth="1"/>
    <col min="1698" max="1700" width="12.28515625" style="73" bestFit="1" customWidth="1"/>
    <col min="1701" max="1713" width="2.140625" style="73" bestFit="1" customWidth="1"/>
    <col min="1714" max="1714" width="11.28515625" style="73" bestFit="1" customWidth="1"/>
    <col min="1715" max="1723" width="12.28515625" style="73" bestFit="1" customWidth="1"/>
    <col min="1724" max="1724" width="11.28515625" style="73" bestFit="1" customWidth="1"/>
    <col min="1725" max="1737" width="2.140625" style="73" bestFit="1" customWidth="1"/>
    <col min="1738" max="1748" width="12.28515625" style="73" bestFit="1" customWidth="1"/>
    <col min="1749" max="1761" width="2.140625" style="73" bestFit="1" customWidth="1"/>
    <col min="1762" max="1765" width="12.28515625" style="73" bestFit="1" customWidth="1"/>
    <col min="1766" max="1766" width="11.28515625" style="73" bestFit="1" customWidth="1"/>
    <col min="1767" max="1767" width="12.28515625" style="73" bestFit="1" customWidth="1"/>
    <col min="1768" max="1768" width="11.28515625" style="73" bestFit="1" customWidth="1"/>
    <col min="1769" max="1772" width="12.28515625" style="73" bestFit="1" customWidth="1"/>
    <col min="1773" max="1785" width="2.140625" style="73" bestFit="1" customWidth="1"/>
    <col min="1786" max="1796" width="12.28515625" style="73" bestFit="1" customWidth="1"/>
    <col min="1797" max="1809" width="2.140625" style="73" bestFit="1" customWidth="1"/>
    <col min="1810" max="1820" width="12.28515625" style="73" bestFit="1" customWidth="1"/>
    <col min="1821" max="1833" width="2.140625" style="73" bestFit="1" customWidth="1"/>
    <col min="1834" max="1844" width="12.28515625" style="73" bestFit="1" customWidth="1"/>
    <col min="1845" max="1857" width="2.140625" style="73" bestFit="1" customWidth="1"/>
    <col min="1858" max="1858" width="12.28515625" style="73" bestFit="1" customWidth="1"/>
    <col min="1859" max="1859" width="11.28515625" style="73" bestFit="1" customWidth="1"/>
    <col min="1860" max="1866" width="12.28515625" style="73" bestFit="1" customWidth="1"/>
    <col min="1867" max="1867" width="11.28515625" style="73" bestFit="1" customWidth="1"/>
    <col min="1868" max="1868" width="12.28515625" style="73" bestFit="1" customWidth="1"/>
    <col min="1869" max="1881" width="2.140625" style="73" bestFit="1" customWidth="1"/>
    <col min="1882" max="1892" width="12.28515625" style="73" bestFit="1" customWidth="1"/>
    <col min="1893" max="1905" width="2.140625" style="73" bestFit="1" customWidth="1"/>
    <col min="1906" max="1916" width="12.28515625" style="73" bestFit="1" customWidth="1"/>
    <col min="1917" max="1929" width="2.140625" style="73" bestFit="1" customWidth="1"/>
    <col min="1930" max="1940" width="12.28515625" style="73" bestFit="1" customWidth="1"/>
    <col min="1941" max="1952" width="2.140625" style="73" bestFit="1" customWidth="1"/>
    <col min="1953" max="1965" width="12.28515625" style="73" bestFit="1" customWidth="1"/>
    <col min="1966" max="1976" width="2.140625" style="73" bestFit="1" customWidth="1"/>
    <col min="1977" max="1989" width="12.28515625" style="73" bestFit="1" customWidth="1"/>
    <col min="1990" max="2000" width="2.140625" style="73" bestFit="1" customWidth="1"/>
    <col min="2001" max="2005" width="12.28515625" style="73" bestFit="1" customWidth="1"/>
    <col min="2006" max="2006" width="11.28515625" style="73" bestFit="1" customWidth="1"/>
    <col min="2007" max="2007" width="12.28515625" style="73" bestFit="1" customWidth="1"/>
    <col min="2008" max="2008" width="11.28515625" style="73" bestFit="1" customWidth="1"/>
    <col min="2009" max="2013" width="12.28515625" style="73" bestFit="1" customWidth="1"/>
    <col min="2014" max="2024" width="2.140625" style="73" bestFit="1" customWidth="1"/>
    <col min="2025" max="2037" width="12.28515625" style="73" bestFit="1" customWidth="1"/>
    <col min="2038" max="2048" width="2.140625" style="73" bestFit="1" customWidth="1"/>
    <col min="2049" max="2061" width="12.28515625" style="73" bestFit="1" customWidth="1"/>
    <col min="2062" max="2072" width="2.140625" style="73" bestFit="1" customWidth="1"/>
    <col min="2073" max="2075" width="12.28515625" style="73" bestFit="1" customWidth="1"/>
    <col min="2076" max="2076" width="10.28515625" style="73" bestFit="1" customWidth="1"/>
    <col min="2077" max="2077" width="12.28515625" style="73" bestFit="1" customWidth="1"/>
    <col min="2078" max="2078" width="11.28515625" style="73" bestFit="1" customWidth="1"/>
    <col min="2079" max="2079" width="12.28515625" style="73" bestFit="1" customWidth="1"/>
    <col min="2080" max="2080" width="11.28515625" style="73" bestFit="1" customWidth="1"/>
    <col min="2081" max="2081" width="12.28515625" style="73" bestFit="1" customWidth="1"/>
    <col min="2082" max="2082" width="10.28515625" style="73" bestFit="1" customWidth="1"/>
    <col min="2083" max="2085" width="12.28515625" style="73" bestFit="1" customWidth="1"/>
    <col min="2086" max="2096" width="2.140625" style="73" bestFit="1" customWidth="1"/>
    <col min="2097" max="2097" width="11.28515625" style="73" bestFit="1" customWidth="1"/>
    <col min="2098" max="2108" width="12.28515625" style="73" bestFit="1" customWidth="1"/>
    <col min="2109" max="2109" width="11.28515625" style="73" bestFit="1" customWidth="1"/>
    <col min="2110" max="2120" width="2.140625" style="73" bestFit="1" customWidth="1"/>
    <col min="2121" max="2122" width="12.28515625" style="73" bestFit="1" customWidth="1"/>
    <col min="2123" max="2123" width="11.28515625" style="73" bestFit="1" customWidth="1"/>
    <col min="2124" max="2130" width="12.28515625" style="73" bestFit="1" customWidth="1"/>
    <col min="2131" max="2131" width="11.28515625" style="73" bestFit="1" customWidth="1"/>
    <col min="2132" max="2133" width="12.28515625" style="73" bestFit="1" customWidth="1"/>
    <col min="2134" max="2144" width="2.140625" style="73" bestFit="1" customWidth="1"/>
    <col min="2145" max="2146" width="12.28515625" style="73" bestFit="1" customWidth="1"/>
    <col min="2147" max="2147" width="11.28515625" style="73" bestFit="1" customWidth="1"/>
    <col min="2148" max="2154" width="12.28515625" style="73" bestFit="1" customWidth="1"/>
    <col min="2155" max="2155" width="11.28515625" style="73" bestFit="1" customWidth="1"/>
    <col min="2156" max="2157" width="12.28515625" style="73" bestFit="1" customWidth="1"/>
    <col min="2158" max="2168" width="2.140625" style="73" bestFit="1" customWidth="1"/>
    <col min="2169" max="2169" width="12.28515625" style="73" bestFit="1" customWidth="1"/>
    <col min="2170" max="2170" width="11.28515625" style="73" bestFit="1" customWidth="1"/>
    <col min="2171" max="2171" width="10.28515625" style="73" bestFit="1" customWidth="1"/>
    <col min="2172" max="2178" width="12.28515625" style="73" bestFit="1" customWidth="1"/>
    <col min="2179" max="2179" width="10.28515625" style="73" bestFit="1" customWidth="1"/>
    <col min="2180" max="2180" width="11.28515625" style="73" bestFit="1" customWidth="1"/>
    <col min="2181" max="2181" width="12.28515625" style="73" bestFit="1" customWidth="1"/>
    <col min="2182" max="2192" width="2.140625" style="73" bestFit="1" customWidth="1"/>
    <col min="2193" max="2193" width="12.28515625" style="73" bestFit="1" customWidth="1"/>
    <col min="2194" max="2195" width="11.28515625" style="73" bestFit="1" customWidth="1"/>
    <col min="2196" max="2196" width="10.28515625" style="73" bestFit="1" customWidth="1"/>
    <col min="2197" max="2197" width="12.28515625" style="73" bestFit="1" customWidth="1"/>
    <col min="2198" max="2198" width="11.28515625" style="73" bestFit="1" customWidth="1"/>
    <col min="2199" max="2199" width="12.28515625" style="73" bestFit="1" customWidth="1"/>
    <col min="2200" max="2200" width="11.28515625" style="73" bestFit="1" customWidth="1"/>
    <col min="2201" max="2201" width="12.28515625" style="73" bestFit="1" customWidth="1"/>
    <col min="2202" max="2202" width="10.28515625" style="73" bestFit="1" customWidth="1"/>
    <col min="2203" max="2204" width="11.28515625" style="73" bestFit="1" customWidth="1"/>
    <col min="2205" max="2205" width="12.28515625" style="73" bestFit="1" customWidth="1"/>
    <col min="2206" max="2216" width="2.140625" style="73" bestFit="1" customWidth="1"/>
    <col min="2217" max="2221" width="12.28515625" style="73" bestFit="1" customWidth="1"/>
    <col min="2222" max="2222" width="11.28515625" style="73" bestFit="1" customWidth="1"/>
    <col min="2223" max="2223" width="12.28515625" style="73" bestFit="1" customWidth="1"/>
    <col min="2224" max="2224" width="11.28515625" style="73" bestFit="1" customWidth="1"/>
    <col min="2225" max="2229" width="12.28515625" style="73" bestFit="1" customWidth="1"/>
    <col min="2230" max="2240" width="2.140625" style="73" bestFit="1" customWidth="1"/>
    <col min="2241" max="2242" width="12.28515625" style="73" bestFit="1" customWidth="1"/>
    <col min="2243" max="2243" width="11.28515625" style="73" bestFit="1" customWidth="1"/>
    <col min="2244" max="2250" width="12.28515625" style="73" bestFit="1" customWidth="1"/>
    <col min="2251" max="2251" width="11.28515625" style="73" bestFit="1" customWidth="1"/>
    <col min="2252" max="2253" width="12.28515625" style="73" bestFit="1" customWidth="1"/>
    <col min="2254" max="2264" width="2.140625" style="73" bestFit="1" customWidth="1"/>
    <col min="2265" max="2277" width="12.28515625" style="73" bestFit="1" customWidth="1"/>
    <col min="2278" max="2288" width="2.140625" style="73" bestFit="1" customWidth="1"/>
    <col min="2289" max="2301" width="12.28515625" style="73" bestFit="1" customWidth="1"/>
    <col min="2302" max="2312" width="2.140625" style="73" bestFit="1" customWidth="1"/>
    <col min="2313" max="2313" width="12.28515625" style="73" bestFit="1" customWidth="1"/>
    <col min="2314" max="2314" width="11.28515625" style="73" bestFit="1" customWidth="1"/>
    <col min="2315" max="2323" width="12.28515625" style="73" bestFit="1" customWidth="1"/>
    <col min="2324" max="2324" width="11.28515625" style="73" bestFit="1" customWidth="1"/>
    <col min="2325" max="2325" width="12.28515625" style="73" bestFit="1" customWidth="1"/>
    <col min="2326" max="2336" width="2.140625" style="73" bestFit="1" customWidth="1"/>
    <col min="2337" max="2338" width="12.28515625" style="73" bestFit="1" customWidth="1"/>
    <col min="2339" max="2339" width="11.28515625" style="73" bestFit="1" customWidth="1"/>
    <col min="2340" max="2346" width="12.28515625" style="73" bestFit="1" customWidth="1"/>
    <col min="2347" max="2347" width="11.28515625" style="73" bestFit="1" customWidth="1"/>
    <col min="2348" max="2349" width="12.28515625" style="73" bestFit="1" customWidth="1"/>
    <col min="2350" max="2360" width="2.140625" style="73" bestFit="1" customWidth="1"/>
    <col min="2361" max="2361" width="11.28515625" style="73" bestFit="1" customWidth="1"/>
    <col min="2362" max="2372" width="12.28515625" style="73" bestFit="1" customWidth="1"/>
    <col min="2373" max="2373" width="11.28515625" style="73" bestFit="1" customWidth="1"/>
    <col min="2374" max="2384" width="2.140625" style="73" bestFit="1" customWidth="1"/>
    <col min="2385" max="2397" width="12.28515625" style="73" bestFit="1" customWidth="1"/>
    <col min="2398" max="2408" width="2.140625" style="73" bestFit="1" customWidth="1"/>
    <col min="2409" max="2410" width="12.28515625" style="73" bestFit="1" customWidth="1"/>
    <col min="2411" max="2411" width="11.28515625" style="73" bestFit="1" customWidth="1"/>
    <col min="2412" max="2418" width="12.28515625" style="73" bestFit="1" customWidth="1"/>
    <col min="2419" max="2419" width="11.28515625" style="73" bestFit="1" customWidth="1"/>
    <col min="2420" max="2421" width="12.28515625" style="73" bestFit="1" customWidth="1"/>
    <col min="2422" max="2432" width="2.140625" style="73" bestFit="1" customWidth="1"/>
    <col min="2433" max="2445" width="12.28515625" style="73" bestFit="1" customWidth="1"/>
    <col min="2446" max="2456" width="2.140625" style="73" bestFit="1" customWidth="1"/>
    <col min="2457" max="2469" width="12.28515625" style="73" bestFit="1" customWidth="1"/>
    <col min="2470" max="2480" width="2.140625" style="73" bestFit="1" customWidth="1"/>
    <col min="2481" max="2493" width="12.28515625" style="73" bestFit="1" customWidth="1"/>
    <col min="2494" max="2504" width="2.140625" style="73" bestFit="1" customWidth="1"/>
    <col min="2505" max="2517" width="12.28515625" style="73" bestFit="1" customWidth="1"/>
    <col min="2518" max="2528" width="2.140625" style="73" bestFit="1" customWidth="1"/>
    <col min="2529" max="2541" width="12.28515625" style="73" bestFit="1" customWidth="1"/>
    <col min="2542" max="2552" width="2.140625" style="73" bestFit="1" customWidth="1"/>
    <col min="2553" max="2553" width="12.28515625" style="73" bestFit="1" customWidth="1"/>
    <col min="2554" max="2554" width="10.28515625" style="73" bestFit="1" customWidth="1"/>
    <col min="2555" max="2556" width="12.28515625" style="73" bestFit="1" customWidth="1"/>
    <col min="2557" max="2557" width="11.28515625" style="73" bestFit="1" customWidth="1"/>
    <col min="2558" max="2560" width="12.28515625" style="73" bestFit="1" customWidth="1"/>
    <col min="2561" max="2561" width="11.28515625" style="73" bestFit="1" customWidth="1"/>
    <col min="2562" max="2563" width="12.28515625" style="73" bestFit="1" customWidth="1"/>
    <col min="2564" max="2564" width="10.28515625" style="73" bestFit="1" customWidth="1"/>
    <col min="2565" max="2565" width="12.28515625" style="73" bestFit="1" customWidth="1"/>
    <col min="2566" max="2576" width="2.140625" style="73" bestFit="1" customWidth="1"/>
    <col min="2577" max="2589" width="12.28515625" style="73" bestFit="1" customWidth="1"/>
    <col min="2590" max="2600" width="2.140625" style="73" bestFit="1" customWidth="1"/>
    <col min="2601" max="2613" width="12.28515625" style="73" bestFit="1" customWidth="1"/>
    <col min="2614" max="2624" width="2.140625" style="73" bestFit="1" customWidth="1"/>
    <col min="2625" max="2637" width="12.28515625" style="73" bestFit="1" customWidth="1"/>
    <col min="2638" max="2648" width="2.140625" style="73" bestFit="1" customWidth="1"/>
    <col min="2649" max="2651" width="12.28515625" style="73" bestFit="1" customWidth="1"/>
    <col min="2652" max="2652" width="11.28515625" style="73" bestFit="1" customWidth="1"/>
    <col min="2653" max="2657" width="12.28515625" style="73" bestFit="1" customWidth="1"/>
    <col min="2658" max="2658" width="11.28515625" style="73" bestFit="1" customWidth="1"/>
    <col min="2659" max="2661" width="12.28515625" style="73" bestFit="1" customWidth="1"/>
    <col min="2662" max="2672" width="2.140625" style="73" bestFit="1" customWidth="1"/>
    <col min="2673" max="2673" width="11.28515625" style="73" bestFit="1" customWidth="1"/>
    <col min="2674" max="2684" width="12.28515625" style="73" bestFit="1" customWidth="1"/>
    <col min="2685" max="2685" width="11.28515625" style="73" bestFit="1" customWidth="1"/>
    <col min="2686" max="2696" width="2.140625" style="73" bestFit="1" customWidth="1"/>
    <col min="2697" max="2700" width="12.28515625" style="73" bestFit="1" customWidth="1"/>
    <col min="2701" max="2701" width="11.28515625" style="73" bestFit="1" customWidth="1"/>
    <col min="2702" max="2704" width="12.28515625" style="73" bestFit="1" customWidth="1"/>
    <col min="2705" max="2705" width="11.28515625" style="73" bestFit="1" customWidth="1"/>
    <col min="2706" max="2709" width="12.28515625" style="73" bestFit="1" customWidth="1"/>
    <col min="2710" max="2720" width="2.140625" style="73" bestFit="1" customWidth="1"/>
    <col min="2721" max="2724" width="12.28515625" style="73" bestFit="1" customWidth="1"/>
    <col min="2725" max="2725" width="11.28515625" style="73" bestFit="1" customWidth="1"/>
    <col min="2726" max="2728" width="12.28515625" style="73" bestFit="1" customWidth="1"/>
    <col min="2729" max="2729" width="11.28515625" style="73" bestFit="1" customWidth="1"/>
    <col min="2730" max="2733" width="12.28515625" style="73" bestFit="1" customWidth="1"/>
    <col min="2734" max="2744" width="2.140625" style="73" bestFit="1" customWidth="1"/>
    <col min="2745" max="2757" width="12.28515625" style="73" bestFit="1" customWidth="1"/>
    <col min="2758" max="2768" width="2.140625" style="73" bestFit="1" customWidth="1"/>
    <col min="2769" max="2781" width="12.28515625" style="73" bestFit="1" customWidth="1"/>
    <col min="2782" max="2792" width="2.140625" style="73" bestFit="1" customWidth="1"/>
    <col min="2793" max="2795" width="12.28515625" style="73" bestFit="1" customWidth="1"/>
    <col min="2796" max="2796" width="10.28515625" style="73" bestFit="1" customWidth="1"/>
    <col min="2797" max="2801" width="12.28515625" style="73" bestFit="1" customWidth="1"/>
    <col min="2802" max="2802" width="10.28515625" style="73" bestFit="1" customWidth="1"/>
    <col min="2803" max="2805" width="12.28515625" style="73" bestFit="1" customWidth="1"/>
    <col min="2806" max="2816" width="2.140625" style="73" bestFit="1" customWidth="1"/>
    <col min="2817" max="2818" width="12.28515625" style="73" bestFit="1" customWidth="1"/>
    <col min="2819" max="2819" width="11.28515625" style="73" bestFit="1" customWidth="1"/>
    <col min="2820" max="2821" width="12.28515625" style="73" bestFit="1" customWidth="1"/>
    <col min="2822" max="2822" width="11.28515625" style="73" bestFit="1" customWidth="1"/>
    <col min="2823" max="2823" width="12.28515625" style="73" bestFit="1" customWidth="1"/>
    <col min="2824" max="2824" width="11.28515625" style="73" bestFit="1" customWidth="1"/>
    <col min="2825" max="2826" width="12.28515625" style="73" bestFit="1" customWidth="1"/>
    <col min="2827" max="2827" width="11.28515625" style="73" bestFit="1" customWidth="1"/>
    <col min="2828" max="2829" width="12.28515625" style="73" bestFit="1" customWidth="1"/>
    <col min="2830" max="2840" width="2.140625" style="73" bestFit="1" customWidth="1"/>
    <col min="2841" max="2841" width="12.28515625" style="73" bestFit="1" customWidth="1"/>
    <col min="2842" max="2842" width="11.28515625" style="73" bestFit="1" customWidth="1"/>
    <col min="2843" max="2851" width="12.28515625" style="73" bestFit="1" customWidth="1"/>
    <col min="2852" max="2852" width="11.28515625" style="73" bestFit="1" customWidth="1"/>
    <col min="2853" max="2853" width="12.28515625" style="73" bestFit="1" customWidth="1"/>
    <col min="2854" max="2864" width="2.140625" style="73" bestFit="1" customWidth="1"/>
    <col min="2865" max="2877" width="12.28515625" style="73" bestFit="1" customWidth="1"/>
    <col min="2878" max="2888" width="2.140625" style="73" bestFit="1" customWidth="1"/>
    <col min="2889" max="2901" width="12.28515625" style="73" bestFit="1" customWidth="1"/>
    <col min="2902" max="2912" width="2.140625" style="73" bestFit="1" customWidth="1"/>
    <col min="2913" max="2915" width="12.28515625" style="73" bestFit="1" customWidth="1"/>
    <col min="2916" max="2916" width="11.28515625" style="73" bestFit="1" customWidth="1"/>
    <col min="2917" max="2921" width="12.28515625" style="73" bestFit="1" customWidth="1"/>
    <col min="2922" max="2922" width="11.28515625" style="73" bestFit="1" customWidth="1"/>
    <col min="2923" max="2925" width="12.28515625" style="73" bestFit="1" customWidth="1"/>
    <col min="2926" max="2936" width="2.140625" style="73" bestFit="1" customWidth="1"/>
    <col min="2937" max="2937" width="11.28515625" style="73" bestFit="1" customWidth="1"/>
    <col min="2938" max="2948" width="12.28515625" style="73" bestFit="1" customWidth="1"/>
    <col min="2949" max="2949" width="11.28515625" style="73" bestFit="1" customWidth="1"/>
    <col min="2950" max="2960" width="2.140625" style="73" bestFit="1" customWidth="1"/>
    <col min="2961" max="2962" width="12.28515625" style="73" bestFit="1" customWidth="1"/>
    <col min="2963" max="2963" width="11.28515625" style="73" bestFit="1" customWidth="1"/>
    <col min="2964" max="2966" width="12.28515625" style="73" bestFit="1" customWidth="1"/>
    <col min="2967" max="2967" width="11.28515625" style="73" bestFit="1" customWidth="1"/>
    <col min="2968" max="2970" width="12.28515625" style="73" bestFit="1" customWidth="1"/>
    <col min="2971" max="2971" width="11.28515625" style="73" bestFit="1" customWidth="1"/>
    <col min="2972" max="2973" width="12.28515625" style="73" bestFit="1" customWidth="1"/>
    <col min="2974" max="2984" width="2.140625" style="73" bestFit="1" customWidth="1"/>
    <col min="2985" max="2985" width="12.28515625" style="73" bestFit="1" customWidth="1"/>
    <col min="2986" max="2987" width="11.28515625" style="73" bestFit="1" customWidth="1"/>
    <col min="2988" max="2994" width="12.28515625" style="73" bestFit="1" customWidth="1"/>
    <col min="2995" max="2996" width="11.28515625" style="73" bestFit="1" customWidth="1"/>
    <col min="2997" max="2997" width="12.28515625" style="73" bestFit="1" customWidth="1"/>
    <col min="2998" max="3007" width="2.140625" style="73" bestFit="1" customWidth="1"/>
    <col min="3008" max="3022" width="12.28515625" style="73" bestFit="1" customWidth="1"/>
    <col min="3023" max="3032" width="2.140625" style="73" bestFit="1" customWidth="1"/>
    <col min="3033" max="3035" width="12.28515625" style="73" bestFit="1" customWidth="1"/>
    <col min="3036" max="3037" width="11.28515625" style="73" bestFit="1" customWidth="1"/>
    <col min="3038" max="3040" width="12.28515625" style="73" bestFit="1" customWidth="1"/>
    <col min="3041" max="3042" width="11.28515625" style="73" bestFit="1" customWidth="1"/>
    <col min="3043" max="3045" width="12.28515625" style="73" bestFit="1" customWidth="1"/>
    <col min="3046" max="3056" width="2.140625" style="73" bestFit="1" customWidth="1"/>
    <col min="3057" max="3069" width="12.28515625" style="73" bestFit="1" customWidth="1"/>
    <col min="3070" max="3079" width="2.140625" style="73" bestFit="1" customWidth="1"/>
    <col min="3080" max="3081" width="12.28515625" style="73" bestFit="1" customWidth="1"/>
    <col min="3082" max="3082" width="11.28515625" style="73" bestFit="1" customWidth="1"/>
    <col min="3083" max="3091" width="12.28515625" style="73" bestFit="1" customWidth="1"/>
    <col min="3092" max="3092" width="11.28515625" style="73" bestFit="1" customWidth="1"/>
    <col min="3093" max="3094" width="12.28515625" style="73" bestFit="1" customWidth="1"/>
    <col min="3095" max="3103" width="2.140625" style="73" bestFit="1" customWidth="1"/>
    <col min="3104" max="3104" width="11.28515625" style="73" bestFit="1" customWidth="1"/>
    <col min="3105" max="3109" width="12.28515625" style="73" bestFit="1" customWidth="1"/>
    <col min="3110" max="3112" width="11.28515625" style="73" bestFit="1" customWidth="1"/>
    <col min="3113" max="3117" width="12.28515625" style="73" bestFit="1" customWidth="1"/>
    <col min="3118" max="3118" width="11.28515625" style="73" bestFit="1" customWidth="1"/>
    <col min="3119" max="3127" width="2.140625" style="73" bestFit="1" customWidth="1"/>
    <col min="3128" max="3130" width="12.28515625" style="73" bestFit="1" customWidth="1"/>
    <col min="3131" max="3131" width="11.28515625" style="73" bestFit="1" customWidth="1"/>
    <col min="3132" max="3138" width="12.28515625" style="73" bestFit="1" customWidth="1"/>
    <col min="3139" max="3139" width="11.28515625" style="73" bestFit="1" customWidth="1"/>
    <col min="3140" max="3142" width="12.28515625" style="73" bestFit="1" customWidth="1"/>
    <col min="3143" max="3151" width="2.140625" style="73" bestFit="1" customWidth="1"/>
    <col min="3152" max="3152" width="11.28515625" style="73" bestFit="1" customWidth="1"/>
    <col min="3153" max="3157" width="12.28515625" style="73" bestFit="1" customWidth="1"/>
    <col min="3158" max="3158" width="11.28515625" style="73" bestFit="1" customWidth="1"/>
    <col min="3159" max="3159" width="12.28515625" style="73" bestFit="1" customWidth="1"/>
    <col min="3160" max="3160" width="11.28515625" style="73" bestFit="1" customWidth="1"/>
    <col min="3161" max="3165" width="12.28515625" style="73" bestFit="1" customWidth="1"/>
    <col min="3166" max="3166" width="11.28515625" style="73" bestFit="1" customWidth="1"/>
    <col min="3167" max="3175" width="2.140625" style="73" bestFit="1" customWidth="1"/>
    <col min="3176" max="3190" width="12.28515625" style="73" bestFit="1" customWidth="1"/>
    <col min="3191" max="3199" width="2.140625" style="73" bestFit="1" customWidth="1"/>
    <col min="3200" max="3214" width="12.28515625" style="73" bestFit="1" customWidth="1"/>
    <col min="3215" max="3223" width="2.140625" style="73" bestFit="1" customWidth="1"/>
    <col min="3224" max="3228" width="12.28515625" style="73" bestFit="1" customWidth="1"/>
    <col min="3229" max="3229" width="11.28515625" style="73" bestFit="1" customWidth="1"/>
    <col min="3230" max="3232" width="12.28515625" style="73" bestFit="1" customWidth="1"/>
    <col min="3233" max="3233" width="11.28515625" style="73" bestFit="1" customWidth="1"/>
    <col min="3234" max="3238" width="12.28515625" style="73" bestFit="1" customWidth="1"/>
    <col min="3239" max="3247" width="2.140625" style="73" bestFit="1" customWidth="1"/>
    <col min="3248" max="3248" width="12.28515625" style="73" bestFit="1" customWidth="1"/>
    <col min="3249" max="3249" width="11.28515625" style="73" bestFit="1" customWidth="1"/>
    <col min="3250" max="3254" width="12.28515625" style="73" bestFit="1" customWidth="1"/>
    <col min="3255" max="3255" width="11.28515625" style="73" bestFit="1" customWidth="1"/>
    <col min="3256" max="3260" width="12.28515625" style="73" bestFit="1" customWidth="1"/>
    <col min="3261" max="3261" width="11.28515625" style="73" bestFit="1" customWidth="1"/>
    <col min="3262" max="3262" width="12.28515625" style="73" bestFit="1" customWidth="1"/>
    <col min="3263" max="3271" width="2.140625" style="73" bestFit="1" customWidth="1"/>
    <col min="3272" max="3286" width="12.28515625" style="73" bestFit="1" customWidth="1"/>
    <col min="3287" max="3295" width="2.140625" style="73" bestFit="1" customWidth="1"/>
    <col min="3296" max="3310" width="12.28515625" style="73" bestFit="1" customWidth="1"/>
    <col min="3311" max="3319" width="2.140625" style="73" bestFit="1" customWidth="1"/>
    <col min="3320" max="3322" width="12.28515625" style="73" bestFit="1" customWidth="1"/>
    <col min="3323" max="3323" width="10.28515625" style="73" bestFit="1" customWidth="1"/>
    <col min="3324" max="3330" width="12.28515625" style="73" bestFit="1" customWidth="1"/>
    <col min="3331" max="3331" width="10.28515625" style="73" bestFit="1" customWidth="1"/>
    <col min="3332" max="3334" width="12.28515625" style="73" bestFit="1" customWidth="1"/>
    <col min="3335" max="3343" width="2.140625" style="73" bestFit="1" customWidth="1"/>
    <col min="3344" max="3358" width="12.28515625" style="73" bestFit="1" customWidth="1"/>
    <col min="3359" max="3367" width="2.140625" style="73" bestFit="1" customWidth="1"/>
    <col min="3368" max="3382" width="12.28515625" style="73" bestFit="1" customWidth="1"/>
    <col min="3383" max="3391" width="2.140625" style="73" bestFit="1" customWidth="1"/>
    <col min="3392" max="3406" width="12.28515625" style="73" bestFit="1" customWidth="1"/>
    <col min="3407" max="3415" width="2.140625" style="73" bestFit="1" customWidth="1"/>
    <col min="3416" max="3416" width="12.28515625" style="73" bestFit="1" customWidth="1"/>
    <col min="3417" max="3417" width="11.28515625" style="73" bestFit="1" customWidth="1"/>
    <col min="3418" max="3428" width="12.28515625" style="73" bestFit="1" customWidth="1"/>
    <col min="3429" max="3429" width="11.28515625" style="73" bestFit="1" customWidth="1"/>
    <col min="3430" max="3430" width="12.28515625" style="73" bestFit="1" customWidth="1"/>
    <col min="3431" max="3439" width="2.140625" style="73" bestFit="1" customWidth="1"/>
    <col min="3440" max="3440" width="12.28515625" style="73" bestFit="1" customWidth="1"/>
    <col min="3441" max="3441" width="11.28515625" style="73" bestFit="1" customWidth="1"/>
    <col min="3442" max="3452" width="12.28515625" style="73" bestFit="1" customWidth="1"/>
    <col min="3453" max="3453" width="11.28515625" style="73" bestFit="1" customWidth="1"/>
    <col min="3454" max="3454" width="12.28515625" style="73" bestFit="1" customWidth="1"/>
    <col min="3455" max="3463" width="2.140625" style="73" bestFit="1" customWidth="1"/>
    <col min="3464" max="3470" width="12.28515625" style="73" bestFit="1" customWidth="1"/>
    <col min="3471" max="3471" width="11.28515625" style="73" bestFit="1" customWidth="1"/>
    <col min="3472" max="3478" width="12.28515625" style="73" bestFit="1" customWidth="1"/>
    <col min="3479" max="3487" width="2.140625" style="73" bestFit="1" customWidth="1"/>
    <col min="3488" max="3502" width="12.28515625" style="73" bestFit="1" customWidth="1"/>
    <col min="3503" max="3511" width="2.140625" style="73" bestFit="1" customWidth="1"/>
    <col min="3512" max="3526" width="12.28515625" style="73" bestFit="1" customWidth="1"/>
    <col min="3527" max="3535" width="2.140625" style="73" bestFit="1" customWidth="1"/>
    <col min="3536" max="3539" width="12.28515625" style="73" bestFit="1" customWidth="1"/>
    <col min="3540" max="3540" width="11.28515625" style="73" bestFit="1" customWidth="1"/>
    <col min="3541" max="3545" width="12.28515625" style="73" bestFit="1" customWidth="1"/>
    <col min="3546" max="3546" width="11.28515625" style="73" bestFit="1" customWidth="1"/>
    <col min="3547" max="3550" width="12.28515625" style="73" bestFit="1" customWidth="1"/>
    <col min="3551" max="3559" width="2.140625" style="73" bestFit="1" customWidth="1"/>
    <col min="3560" max="3560" width="11.28515625" style="73" bestFit="1" customWidth="1"/>
    <col min="3561" max="3573" width="12.28515625" style="73" bestFit="1" customWidth="1"/>
    <col min="3574" max="3574" width="11.28515625" style="73" bestFit="1" customWidth="1"/>
    <col min="3575" max="3583" width="2.140625" style="73" bestFit="1" customWidth="1"/>
    <col min="3584" max="3584" width="10.28515625" style="73" bestFit="1" customWidth="1"/>
    <col min="3585" max="3586" width="12.28515625" style="73" bestFit="1" customWidth="1"/>
    <col min="3587" max="3587" width="11.28515625" style="73" bestFit="1" customWidth="1"/>
    <col min="3588" max="3594" width="12.28515625" style="73" bestFit="1" customWidth="1"/>
    <col min="3595" max="3595" width="11.28515625" style="73" bestFit="1" customWidth="1"/>
    <col min="3596" max="3597" width="12.28515625" style="73" bestFit="1" customWidth="1"/>
    <col min="3598" max="3598" width="10.28515625" style="73" bestFit="1" customWidth="1"/>
    <col min="3599" max="3607" width="2.140625" style="73" bestFit="1" customWidth="1"/>
    <col min="3608" max="3622" width="12.28515625" style="73" bestFit="1" customWidth="1"/>
    <col min="3623" max="3631" width="2.140625" style="73" bestFit="1" customWidth="1"/>
    <col min="3632" max="3635" width="12.28515625" style="73" bestFit="1" customWidth="1"/>
    <col min="3636" max="3637" width="11.28515625" style="73" bestFit="1" customWidth="1"/>
    <col min="3638" max="3640" width="12.28515625" style="73" bestFit="1" customWidth="1"/>
    <col min="3641" max="3642" width="11.28515625" style="73" bestFit="1" customWidth="1"/>
    <col min="3643" max="3646" width="12.28515625" style="73" bestFit="1" customWidth="1"/>
    <col min="3647" max="3655" width="2.140625" style="73" bestFit="1" customWidth="1"/>
    <col min="3656" max="3660" width="12.28515625" style="73" bestFit="1" customWidth="1"/>
    <col min="3661" max="3661" width="11.28515625" style="73" bestFit="1" customWidth="1"/>
    <col min="3662" max="3664" width="12.28515625" style="73" bestFit="1" customWidth="1"/>
    <col min="3665" max="3665" width="11.28515625" style="73" bestFit="1" customWidth="1"/>
    <col min="3666" max="3670" width="12.28515625" style="73" bestFit="1" customWidth="1"/>
    <col min="3671" max="3679" width="2.140625" style="73" bestFit="1" customWidth="1"/>
    <col min="3680" max="3683" width="12.28515625" style="73" bestFit="1" customWidth="1"/>
    <col min="3684" max="3684" width="11.28515625" style="73" bestFit="1" customWidth="1"/>
    <col min="3685" max="3689" width="12.28515625" style="73" bestFit="1" customWidth="1"/>
    <col min="3690" max="3690" width="11.28515625" style="73" bestFit="1" customWidth="1"/>
    <col min="3691" max="3694" width="12.28515625" style="73" bestFit="1" customWidth="1"/>
    <col min="3695" max="3703" width="2.140625" style="73" bestFit="1" customWidth="1"/>
    <col min="3704" max="3709" width="12.28515625" style="73" bestFit="1" customWidth="1"/>
    <col min="3710" max="3712" width="11.28515625" style="73" bestFit="1" customWidth="1"/>
    <col min="3713" max="3718" width="12.28515625" style="73" bestFit="1" customWidth="1"/>
    <col min="3719" max="3727" width="2.140625" style="73" bestFit="1" customWidth="1"/>
    <col min="3728" max="3729" width="12.28515625" style="73" bestFit="1" customWidth="1"/>
    <col min="3730" max="3730" width="11.28515625" style="73" bestFit="1" customWidth="1"/>
    <col min="3731" max="3733" width="12.28515625" style="73" bestFit="1" customWidth="1"/>
    <col min="3734" max="3734" width="11.28515625" style="73" bestFit="1" customWidth="1"/>
    <col min="3735" max="3735" width="12.28515625" style="73" bestFit="1" customWidth="1"/>
    <col min="3736" max="3736" width="11.28515625" style="73" bestFit="1" customWidth="1"/>
    <col min="3737" max="3739" width="12.28515625" style="73" bestFit="1" customWidth="1"/>
    <col min="3740" max="3740" width="11.28515625" style="73" bestFit="1" customWidth="1"/>
    <col min="3741" max="3742" width="12.28515625" style="73" bestFit="1" customWidth="1"/>
    <col min="3743" max="3751" width="2.140625" style="73" bestFit="1" customWidth="1"/>
    <col min="3752" max="3766" width="12.28515625" style="73" bestFit="1" customWidth="1"/>
    <col min="3767" max="3775" width="2.140625" style="73" bestFit="1" customWidth="1"/>
    <col min="3776" max="3776" width="11.28515625" style="73" bestFit="1" customWidth="1"/>
    <col min="3777" max="3789" width="12.28515625" style="73" bestFit="1" customWidth="1"/>
    <col min="3790" max="3790" width="11.28515625" style="73" bestFit="1" customWidth="1"/>
    <col min="3791" max="3799" width="2.140625" style="73" bestFit="1" customWidth="1"/>
    <col min="3800" max="3814" width="12.28515625" style="73" bestFit="1" customWidth="1"/>
    <col min="3815" max="3823" width="2.140625" style="73" bestFit="1" customWidth="1"/>
    <col min="3824" max="3827" width="12.28515625" style="73" bestFit="1" customWidth="1"/>
    <col min="3828" max="3828" width="11.28515625" style="73" bestFit="1" customWidth="1"/>
    <col min="3829" max="3829" width="12.28515625" style="73" bestFit="1" customWidth="1"/>
    <col min="3830" max="3830" width="11.28515625" style="73" bestFit="1" customWidth="1"/>
    <col min="3831" max="3831" width="12.28515625" style="73" bestFit="1" customWidth="1"/>
    <col min="3832" max="3832" width="11.28515625" style="73" bestFit="1" customWidth="1"/>
    <col min="3833" max="3833" width="12.28515625" style="73" bestFit="1" customWidth="1"/>
    <col min="3834" max="3834" width="11.28515625" style="73" bestFit="1" customWidth="1"/>
    <col min="3835" max="3838" width="12.28515625" style="73" bestFit="1" customWidth="1"/>
    <col min="3839" max="3847" width="2.140625" style="73" bestFit="1" customWidth="1"/>
    <col min="3848" max="3854" width="12.28515625" style="73" bestFit="1" customWidth="1"/>
    <col min="3855" max="3855" width="11.28515625" style="73" bestFit="1" customWidth="1"/>
    <col min="3856" max="3862" width="12.28515625" style="73" bestFit="1" customWidth="1"/>
    <col min="3863" max="3871" width="2.140625" style="73" bestFit="1" customWidth="1"/>
    <col min="3872" max="3886" width="12.28515625" style="73" bestFit="1" customWidth="1"/>
    <col min="3887" max="3895" width="2.140625" style="73" bestFit="1" customWidth="1"/>
    <col min="3896" max="3910" width="12.28515625" style="73" bestFit="1" customWidth="1"/>
    <col min="3911" max="3919" width="2.140625" style="73" bestFit="1" customWidth="1"/>
    <col min="3920" max="3934" width="12.28515625" style="73" bestFit="1" customWidth="1"/>
    <col min="3935" max="3943" width="2.140625" style="73" bestFit="1" customWidth="1"/>
    <col min="3944" max="3958" width="12.28515625" style="73" bestFit="1" customWidth="1"/>
    <col min="3959" max="3967" width="2.140625" style="73" bestFit="1" customWidth="1"/>
    <col min="3968" max="3968" width="10.28515625" style="73" bestFit="1" customWidth="1"/>
    <col min="3969" max="3981" width="12.28515625" style="73" bestFit="1" customWidth="1"/>
    <col min="3982" max="3982" width="10.28515625" style="73" bestFit="1" customWidth="1"/>
    <col min="3983" max="3991" width="2.140625" style="73" bestFit="1" customWidth="1"/>
    <col min="3992" max="4006" width="12.28515625" style="73" bestFit="1" customWidth="1"/>
    <col min="4007" max="4015" width="2.140625" style="73" bestFit="1" customWidth="1"/>
    <col min="4016" max="4030" width="12.28515625" style="73" bestFit="1" customWidth="1"/>
    <col min="4031" max="4039" width="2.140625" style="73" bestFit="1" customWidth="1"/>
    <col min="4040" max="4040" width="11.28515625" style="73" bestFit="1" customWidth="1"/>
    <col min="4041" max="4042" width="12.28515625" style="73" bestFit="1" customWidth="1"/>
    <col min="4043" max="4043" width="11.28515625" style="73" bestFit="1" customWidth="1"/>
    <col min="4044" max="4045" width="12.28515625" style="73" bestFit="1" customWidth="1"/>
    <col min="4046" max="4046" width="11.28515625" style="73" bestFit="1" customWidth="1"/>
    <col min="4047" max="4047" width="12.28515625" style="73" bestFit="1" customWidth="1"/>
    <col min="4048" max="4048" width="11.28515625" style="73" bestFit="1" customWidth="1"/>
    <col min="4049" max="4050" width="12.28515625" style="73" bestFit="1" customWidth="1"/>
    <col min="4051" max="4051" width="11.28515625" style="73" bestFit="1" customWidth="1"/>
    <col min="4052" max="4053" width="12.28515625" style="73" bestFit="1" customWidth="1"/>
    <col min="4054" max="4054" width="11.28515625" style="73" bestFit="1" customWidth="1"/>
    <col min="4055" max="4063" width="2.140625" style="73" bestFit="1" customWidth="1"/>
    <col min="4064" max="4078" width="12.28515625" style="73" bestFit="1" customWidth="1"/>
    <col min="4079" max="4087" width="2.140625" style="73" bestFit="1" customWidth="1"/>
    <col min="4088" max="4091" width="12.28515625" style="73" bestFit="1" customWidth="1"/>
    <col min="4092" max="4092" width="11.28515625" style="73" bestFit="1" customWidth="1"/>
    <col min="4093" max="4097" width="12.28515625" style="73" bestFit="1" customWidth="1"/>
    <col min="4098" max="4098" width="11.28515625" style="73" bestFit="1" customWidth="1"/>
    <col min="4099" max="4102" width="12.28515625" style="73" bestFit="1" customWidth="1"/>
    <col min="4103" max="4111" width="2.140625" style="73" bestFit="1" customWidth="1"/>
    <col min="4112" max="4112" width="12.28515625" style="73" bestFit="1" customWidth="1"/>
    <col min="4113" max="4113" width="11.28515625" style="73" bestFit="1" customWidth="1"/>
    <col min="4114" max="4124" width="12.28515625" style="73" bestFit="1" customWidth="1"/>
    <col min="4125" max="4125" width="11.28515625" style="73" bestFit="1" customWidth="1"/>
    <col min="4126" max="4126" width="12.28515625" style="73" bestFit="1" customWidth="1"/>
    <col min="4127" max="4135" width="2.140625" style="73" bestFit="1" customWidth="1"/>
    <col min="4136" max="4139" width="12.28515625" style="73" bestFit="1" customWidth="1"/>
    <col min="4140" max="4140" width="11.28515625" style="73" bestFit="1" customWidth="1"/>
    <col min="4141" max="4145" width="12.28515625" style="73" bestFit="1" customWidth="1"/>
    <col min="4146" max="4146" width="11.28515625" style="73" bestFit="1" customWidth="1"/>
    <col min="4147" max="4150" width="12.28515625" style="73" bestFit="1" customWidth="1"/>
    <col min="4151" max="4159" width="2.140625" style="73" bestFit="1" customWidth="1"/>
    <col min="4160" max="4166" width="12.28515625" style="73" bestFit="1" customWidth="1"/>
    <col min="4167" max="4167" width="11.28515625" style="73" bestFit="1" customWidth="1"/>
    <col min="4168" max="4174" width="12.28515625" style="73" bestFit="1" customWidth="1"/>
    <col min="4175" max="4183" width="2.140625" style="73" bestFit="1" customWidth="1"/>
    <col min="4184" max="4184" width="11.28515625" style="73" bestFit="1" customWidth="1"/>
    <col min="4185" max="4197" width="12.28515625" style="73" bestFit="1" customWidth="1"/>
    <col min="4198" max="4198" width="11.28515625" style="73" bestFit="1" customWidth="1"/>
    <col min="4199" max="4207" width="2.140625" style="73" bestFit="1" customWidth="1"/>
    <col min="4208" max="4222" width="12.28515625" style="73" bestFit="1" customWidth="1"/>
    <col min="4223" max="4231" width="2.140625" style="73" bestFit="1" customWidth="1"/>
    <col min="4232" max="4232" width="11.28515625" style="73" bestFit="1" customWidth="1"/>
    <col min="4233" max="4238" width="12.28515625" style="73" bestFit="1" customWidth="1"/>
    <col min="4239" max="4239" width="10.28515625" style="73" bestFit="1" customWidth="1"/>
    <col min="4240" max="4245" width="12.28515625" style="73" bestFit="1" customWidth="1"/>
    <col min="4246" max="4246" width="11.28515625" style="73" bestFit="1" customWidth="1"/>
    <col min="4247" max="4255" width="2.140625" style="73" bestFit="1" customWidth="1"/>
    <col min="4256" max="4262" width="12.28515625" style="73" bestFit="1" customWidth="1"/>
    <col min="4263" max="4263" width="10.28515625" style="73" bestFit="1" customWidth="1"/>
    <col min="4264" max="4270" width="12.28515625" style="73" bestFit="1" customWidth="1"/>
    <col min="4271" max="4279" width="2.140625" style="73" bestFit="1" customWidth="1"/>
    <col min="4280" max="4294" width="12.28515625" style="73" bestFit="1" customWidth="1"/>
    <col min="4295" max="4303" width="2.140625" style="73" bestFit="1" customWidth="1"/>
    <col min="4304" max="4309" width="12.28515625" style="73" bestFit="1" customWidth="1"/>
    <col min="4310" max="4310" width="11.28515625" style="73" bestFit="1" customWidth="1"/>
    <col min="4311" max="4311" width="12.28515625" style="73" bestFit="1" customWidth="1"/>
    <col min="4312" max="4312" width="11.28515625" style="73" bestFit="1" customWidth="1"/>
    <col min="4313" max="4318" width="12.28515625" style="73" bestFit="1" customWidth="1"/>
    <col min="4319" max="4327" width="2.140625" style="73" bestFit="1" customWidth="1"/>
    <col min="4328" max="4328" width="10.28515625" style="73" bestFit="1" customWidth="1"/>
    <col min="4329" max="4330" width="12.28515625" style="73" bestFit="1" customWidth="1"/>
    <col min="4331" max="4331" width="11.28515625" style="73" bestFit="1" customWidth="1"/>
    <col min="4332" max="4332" width="12.28515625" style="73" bestFit="1" customWidth="1"/>
    <col min="4333" max="4333" width="11.28515625" style="73" bestFit="1" customWidth="1"/>
    <col min="4334" max="4336" width="12.28515625" style="73" bestFit="1" customWidth="1"/>
    <col min="4337" max="4337" width="11.28515625" style="73" bestFit="1" customWidth="1"/>
    <col min="4338" max="4338" width="12.28515625" style="73" bestFit="1" customWidth="1"/>
    <col min="4339" max="4339" width="11.28515625" style="73" bestFit="1" customWidth="1"/>
    <col min="4340" max="4341" width="12.28515625" style="73" bestFit="1" customWidth="1"/>
    <col min="4342" max="4342" width="10.28515625" style="73" bestFit="1" customWidth="1"/>
    <col min="4343" max="4351" width="2.140625" style="73" bestFit="1" customWidth="1"/>
    <col min="4352" max="4352" width="12.28515625" style="73" bestFit="1" customWidth="1"/>
    <col min="4353" max="4353" width="9.28515625" style="73" bestFit="1" customWidth="1"/>
    <col min="4354" max="4354" width="12.28515625" style="73" bestFit="1" customWidth="1"/>
    <col min="4355" max="4355" width="11.28515625" style="73" bestFit="1" customWidth="1"/>
    <col min="4356" max="4358" width="12.28515625" style="73" bestFit="1" customWidth="1"/>
    <col min="4359" max="4359" width="10.28515625" style="73" bestFit="1" customWidth="1"/>
    <col min="4360" max="4362" width="12.28515625" style="73" bestFit="1" customWidth="1"/>
    <col min="4363" max="4363" width="11.28515625" style="73" bestFit="1" customWidth="1"/>
    <col min="4364" max="4364" width="12.28515625" style="73" bestFit="1" customWidth="1"/>
    <col min="4365" max="4365" width="9.28515625" style="73" bestFit="1" customWidth="1"/>
    <col min="4366" max="4366" width="12.28515625" style="73" bestFit="1" customWidth="1"/>
    <col min="4367" max="4375" width="2.140625" style="73" bestFit="1" customWidth="1"/>
    <col min="4376" max="4378" width="12.28515625" style="73" bestFit="1" customWidth="1"/>
    <col min="4379" max="4381" width="11.28515625" style="73" bestFit="1" customWidth="1"/>
    <col min="4382" max="4384" width="12.28515625" style="73" bestFit="1" customWidth="1"/>
    <col min="4385" max="4387" width="11.28515625" style="73" bestFit="1" customWidth="1"/>
    <col min="4388" max="4390" width="12.28515625" style="73" bestFit="1" customWidth="1"/>
    <col min="4391" max="4399" width="2.140625" style="73" bestFit="1" customWidth="1"/>
    <col min="4400" max="4414" width="12.28515625" style="73" bestFit="1" customWidth="1"/>
    <col min="4415" max="4423" width="2.140625" style="73" bestFit="1" customWidth="1"/>
    <col min="4424" max="4425" width="12.28515625" style="73" bestFit="1" customWidth="1"/>
    <col min="4426" max="4426" width="11.28515625" style="73" bestFit="1" customWidth="1"/>
    <col min="4427" max="4435" width="12.28515625" style="73" bestFit="1" customWidth="1"/>
    <col min="4436" max="4436" width="11.28515625" style="73" bestFit="1" customWidth="1"/>
    <col min="4437" max="4438" width="12.28515625" style="73" bestFit="1" customWidth="1"/>
    <col min="4439" max="4447" width="2.140625" style="73" bestFit="1" customWidth="1"/>
    <col min="4448" max="4448" width="12.28515625" style="73" bestFit="1" customWidth="1"/>
    <col min="4449" max="4449" width="11.28515625" style="73" bestFit="1" customWidth="1"/>
    <col min="4450" max="4460" width="12.28515625" style="73" bestFit="1" customWidth="1"/>
    <col min="4461" max="4461" width="11.28515625" style="73" bestFit="1" customWidth="1"/>
    <col min="4462" max="4462" width="12.28515625" style="73" bestFit="1" customWidth="1"/>
    <col min="4463" max="4471" width="2.140625" style="73" bestFit="1" customWidth="1"/>
    <col min="4472" max="4473" width="12.28515625" style="73" bestFit="1" customWidth="1"/>
    <col min="4474" max="4474" width="11.28515625" style="73" bestFit="1" customWidth="1"/>
    <col min="4475" max="4483" width="12.28515625" style="73" bestFit="1" customWidth="1"/>
    <col min="4484" max="4484" width="11.28515625" style="73" bestFit="1" customWidth="1"/>
    <col min="4485" max="4486" width="12.28515625" style="73" bestFit="1" customWidth="1"/>
    <col min="4487" max="4495" width="2.140625" style="73" bestFit="1" customWidth="1"/>
    <col min="4496" max="4499" width="12.28515625" style="73" bestFit="1" customWidth="1"/>
    <col min="4500" max="4500" width="11.28515625" style="73" bestFit="1" customWidth="1"/>
    <col min="4501" max="4505" width="12.28515625" style="73" bestFit="1" customWidth="1"/>
    <col min="4506" max="4506" width="11.28515625" style="73" bestFit="1" customWidth="1"/>
    <col min="4507" max="4510" width="12.28515625" style="73" bestFit="1" customWidth="1"/>
    <col min="4511" max="4519" width="2.140625" style="73" bestFit="1" customWidth="1"/>
    <col min="4520" max="4534" width="12.28515625" style="73" bestFit="1" customWidth="1"/>
    <col min="4535" max="4543" width="2.140625" style="73" bestFit="1" customWidth="1"/>
    <col min="4544" max="4550" width="12.28515625" style="73" bestFit="1" customWidth="1"/>
    <col min="4551" max="4551" width="10.28515625" style="73" bestFit="1" customWidth="1"/>
    <col min="4552" max="4558" width="12.28515625" style="73" bestFit="1" customWidth="1"/>
    <col min="4559" max="4567" width="2.140625" style="73" bestFit="1" customWidth="1"/>
    <col min="4568" max="4582" width="12.28515625" style="73" bestFit="1" customWidth="1"/>
    <col min="4583" max="4591" width="2.140625" style="73" bestFit="1" customWidth="1"/>
    <col min="4592" max="4592" width="12.28515625" style="73" bestFit="1" customWidth="1"/>
    <col min="4593" max="4593" width="11.28515625" style="73" bestFit="1" customWidth="1"/>
    <col min="4594" max="4604" width="12.28515625" style="73" bestFit="1" customWidth="1"/>
    <col min="4605" max="4605" width="11.28515625" style="73" bestFit="1" customWidth="1"/>
    <col min="4606" max="4606" width="12.28515625" style="73" bestFit="1" customWidth="1"/>
    <col min="4607" max="4615" width="2.140625" style="73" bestFit="1" customWidth="1"/>
    <col min="4616" max="4616" width="10.28515625" style="73" bestFit="1" customWidth="1"/>
    <col min="4617" max="4621" width="12.28515625" style="73" bestFit="1" customWidth="1"/>
    <col min="4622" max="4622" width="11.28515625" style="73" bestFit="1" customWidth="1"/>
    <col min="4623" max="4623" width="12.28515625" style="73" bestFit="1" customWidth="1"/>
    <col min="4624" max="4624" width="11.28515625" style="73" bestFit="1" customWidth="1"/>
    <col min="4625" max="4629" width="12.28515625" style="73" bestFit="1" customWidth="1"/>
    <col min="4630" max="4630" width="10.28515625" style="73" bestFit="1" customWidth="1"/>
    <col min="4631" max="4639" width="2.140625" style="73" bestFit="1" customWidth="1"/>
    <col min="4640" max="4654" width="12.28515625" style="73" bestFit="1" customWidth="1"/>
    <col min="4655" max="4663" width="2.140625" style="73" bestFit="1" customWidth="1"/>
    <col min="4664" max="4667" width="12.28515625" style="73" bestFit="1" customWidth="1"/>
    <col min="4668" max="4668" width="11.28515625" style="73" bestFit="1" customWidth="1"/>
    <col min="4669" max="4669" width="12.28515625" style="73" bestFit="1" customWidth="1"/>
    <col min="4670" max="4672" width="11.28515625" style="73" bestFit="1" customWidth="1"/>
    <col min="4673" max="4673" width="12.28515625" style="73" bestFit="1" customWidth="1"/>
    <col min="4674" max="4674" width="11.28515625" style="73" bestFit="1" customWidth="1"/>
    <col min="4675" max="4678" width="12.28515625" style="73" bestFit="1" customWidth="1"/>
    <col min="4679" max="4687" width="2.140625" style="73" bestFit="1" customWidth="1"/>
    <col min="4688" max="4694" width="12.28515625" style="73" bestFit="1" customWidth="1"/>
    <col min="4695" max="4695" width="11.28515625" style="73" bestFit="1" customWidth="1"/>
    <col min="4696" max="4702" width="12.28515625" style="73" bestFit="1" customWidth="1"/>
    <col min="4703" max="4711" width="2.140625" style="73" bestFit="1" customWidth="1"/>
    <col min="4712" max="4716" width="12.28515625" style="73" bestFit="1" customWidth="1"/>
    <col min="4717" max="4717" width="11.28515625" style="73" bestFit="1" customWidth="1"/>
    <col min="4718" max="4720" width="12.28515625" style="73" bestFit="1" customWidth="1"/>
    <col min="4721" max="4721" width="11.28515625" style="73" bestFit="1" customWidth="1"/>
    <col min="4722" max="4726" width="12.28515625" style="73" bestFit="1" customWidth="1"/>
    <col min="4727" max="4735" width="2.140625" style="73" bestFit="1" customWidth="1"/>
    <col min="4736" max="4750" width="12.28515625" style="73" bestFit="1" customWidth="1"/>
    <col min="4751" max="4759" width="2.140625" style="73" bestFit="1" customWidth="1"/>
    <col min="4760" max="4764" width="12.28515625" style="73" bestFit="1" customWidth="1"/>
    <col min="4765" max="4766" width="11.28515625" style="73" bestFit="1" customWidth="1"/>
    <col min="4767" max="4767" width="12.28515625" style="73" bestFit="1" customWidth="1"/>
    <col min="4768" max="4769" width="11.28515625" style="73" bestFit="1" customWidth="1"/>
    <col min="4770" max="4774" width="12.28515625" style="73" bestFit="1" customWidth="1"/>
    <col min="4775" max="4783" width="2.140625" style="73" bestFit="1" customWidth="1"/>
    <col min="4784" max="4798" width="12.28515625" style="73" bestFit="1" customWidth="1"/>
    <col min="4799" max="4807" width="2.140625" style="73" bestFit="1" customWidth="1"/>
    <col min="4808" max="4822" width="12.28515625" style="73" bestFit="1" customWidth="1"/>
    <col min="4823" max="4831" width="2.140625" style="73" bestFit="1" customWidth="1"/>
    <col min="4832" max="4832" width="12.28515625" style="73" bestFit="1" customWidth="1"/>
    <col min="4833" max="4833" width="11.28515625" style="73" bestFit="1" customWidth="1"/>
    <col min="4834" max="4844" width="12.28515625" style="73" bestFit="1" customWidth="1"/>
    <col min="4845" max="4845" width="11.28515625" style="73" bestFit="1" customWidth="1"/>
    <col min="4846" max="4846" width="12.28515625" style="73" bestFit="1" customWidth="1"/>
    <col min="4847" max="4855" width="2.140625" style="73" bestFit="1" customWidth="1"/>
    <col min="4856" max="4870" width="12.28515625" style="73" bestFit="1" customWidth="1"/>
    <col min="4871" max="4879" width="2.140625" style="73" bestFit="1" customWidth="1"/>
    <col min="4880" max="4884" width="12.28515625" style="73" bestFit="1" customWidth="1"/>
    <col min="4885" max="4885" width="11.28515625" style="73" bestFit="1" customWidth="1"/>
    <col min="4886" max="4888" width="12.28515625" style="73" bestFit="1" customWidth="1"/>
    <col min="4889" max="4889" width="11.28515625" style="73" bestFit="1" customWidth="1"/>
    <col min="4890" max="4894" width="12.28515625" style="73" bestFit="1" customWidth="1"/>
    <col min="4895" max="4903" width="2.140625" style="73" bestFit="1" customWidth="1"/>
    <col min="4904" max="4904" width="12.28515625" style="73" bestFit="1" customWidth="1"/>
    <col min="4905" max="4905" width="9.28515625" style="73" bestFit="1" customWidth="1"/>
    <col min="4906" max="4908" width="12.28515625" style="73" bestFit="1" customWidth="1"/>
    <col min="4909" max="4909" width="11.28515625" style="73" bestFit="1" customWidth="1"/>
    <col min="4910" max="4912" width="12.28515625" style="73" bestFit="1" customWidth="1"/>
    <col min="4913" max="4913" width="11.28515625" style="73" bestFit="1" customWidth="1"/>
    <col min="4914" max="4916" width="12.28515625" style="73" bestFit="1" customWidth="1"/>
    <col min="4917" max="4917" width="9.28515625" style="73" bestFit="1" customWidth="1"/>
    <col min="4918" max="4918" width="12.28515625" style="73" bestFit="1" customWidth="1"/>
    <col min="4919" max="4927" width="2.140625" style="73" bestFit="1" customWidth="1"/>
    <col min="4928" max="4942" width="12.28515625" style="73" bestFit="1" customWidth="1"/>
    <col min="4943" max="4951" width="2.140625" style="73" bestFit="1" customWidth="1"/>
    <col min="4952" max="4952" width="12.28515625" style="73" bestFit="1" customWidth="1"/>
    <col min="4953" max="4953" width="11.28515625" style="73" bestFit="1" customWidth="1"/>
    <col min="4954" max="4964" width="12.28515625" style="73" bestFit="1" customWidth="1"/>
    <col min="4965" max="4965" width="11.28515625" style="73" bestFit="1" customWidth="1"/>
    <col min="4966" max="4966" width="12.28515625" style="73" bestFit="1" customWidth="1"/>
    <col min="4967" max="4975" width="2.140625" style="73" bestFit="1" customWidth="1"/>
    <col min="4976" max="4981" width="12.28515625" style="73" bestFit="1" customWidth="1"/>
    <col min="4982" max="4982" width="11.28515625" style="73" bestFit="1" customWidth="1"/>
    <col min="4983" max="4983" width="12.28515625" style="73" bestFit="1" customWidth="1"/>
    <col min="4984" max="4984" width="11.28515625" style="73" bestFit="1" customWidth="1"/>
    <col min="4985" max="4990" width="12.28515625" style="73" bestFit="1" customWidth="1"/>
    <col min="4991" max="4999" width="2.140625" style="73" bestFit="1" customWidth="1"/>
    <col min="5000" max="5004" width="12.28515625" style="73" bestFit="1" customWidth="1"/>
    <col min="5005" max="5005" width="11.28515625" style="73" bestFit="1" customWidth="1"/>
    <col min="5006" max="5008" width="12.28515625" style="73" bestFit="1" customWidth="1"/>
    <col min="5009" max="5009" width="11.28515625" style="73" bestFit="1" customWidth="1"/>
    <col min="5010" max="5014" width="12.28515625" style="73" bestFit="1" customWidth="1"/>
    <col min="5015" max="5023" width="2.140625" style="73" bestFit="1" customWidth="1"/>
    <col min="5024" max="5024" width="12.28515625" style="73" bestFit="1" customWidth="1"/>
    <col min="5025" max="5025" width="10.28515625" style="73" bestFit="1" customWidth="1"/>
    <col min="5026" max="5028" width="12.28515625" style="73" bestFit="1" customWidth="1"/>
    <col min="5029" max="5029" width="11.28515625" style="73" bestFit="1" customWidth="1"/>
    <col min="5030" max="5032" width="12.28515625" style="73" bestFit="1" customWidth="1"/>
    <col min="5033" max="5033" width="11.28515625" style="73" bestFit="1" customWidth="1"/>
    <col min="5034" max="5036" width="12.28515625" style="73" bestFit="1" customWidth="1"/>
    <col min="5037" max="5037" width="10.28515625" style="73" bestFit="1" customWidth="1"/>
    <col min="5038" max="5038" width="12.28515625" style="73" bestFit="1" customWidth="1"/>
    <col min="5039" max="5047" width="2.140625" style="73" bestFit="1" customWidth="1"/>
    <col min="5048" max="5049" width="12.28515625" style="73" bestFit="1" customWidth="1"/>
    <col min="5050" max="5050" width="11.28515625" style="73" bestFit="1" customWidth="1"/>
    <col min="5051" max="5059" width="12.28515625" style="73" bestFit="1" customWidth="1"/>
    <col min="5060" max="5060" width="11.28515625" style="73" bestFit="1" customWidth="1"/>
    <col min="5061" max="5062" width="12.28515625" style="73" bestFit="1" customWidth="1"/>
    <col min="5063" max="5071" width="2.140625" style="73" bestFit="1" customWidth="1"/>
    <col min="5072" max="5072" width="12.28515625" style="73" bestFit="1" customWidth="1"/>
    <col min="5073" max="5073" width="11.28515625" style="73" bestFit="1" customWidth="1"/>
    <col min="5074" max="5076" width="12.28515625" style="73" bestFit="1" customWidth="1"/>
    <col min="5077" max="5077" width="11.28515625" style="73" bestFit="1" customWidth="1"/>
    <col min="5078" max="5080" width="12.28515625" style="73" bestFit="1" customWidth="1"/>
    <col min="5081" max="5081" width="11.28515625" style="73" bestFit="1" customWidth="1"/>
    <col min="5082" max="5084" width="12.28515625" style="73" bestFit="1" customWidth="1"/>
    <col min="5085" max="5085" width="11.28515625" style="73" bestFit="1" customWidth="1"/>
    <col min="5086" max="5086" width="12.28515625" style="73" bestFit="1" customWidth="1"/>
    <col min="5087" max="5095" width="2.140625" style="73" bestFit="1" customWidth="1"/>
    <col min="5096" max="5110" width="12.28515625" style="73" bestFit="1" customWidth="1"/>
    <col min="5111" max="5119" width="2.140625" style="73" bestFit="1" customWidth="1"/>
    <col min="5120" max="5122" width="12.28515625" style="73" bestFit="1" customWidth="1"/>
    <col min="5123" max="5123" width="11.28515625" style="73" bestFit="1" customWidth="1"/>
    <col min="5124" max="5130" width="12.28515625" style="73" bestFit="1" customWidth="1"/>
    <col min="5131" max="5131" width="11.28515625" style="73" bestFit="1" customWidth="1"/>
    <col min="5132" max="5134" width="12.28515625" style="73" bestFit="1" customWidth="1"/>
    <col min="5135" max="5143" width="2.140625" style="73" bestFit="1" customWidth="1"/>
    <col min="5144" max="5144" width="11.28515625" style="73" bestFit="1" customWidth="1"/>
    <col min="5145" max="5157" width="12.28515625" style="73" bestFit="1" customWidth="1"/>
    <col min="5158" max="5158" width="11.28515625" style="73" bestFit="1" customWidth="1"/>
    <col min="5159" max="5167" width="2.140625" style="73" bestFit="1" customWidth="1"/>
    <col min="5168" max="5182" width="12.28515625" style="73" bestFit="1" customWidth="1"/>
    <col min="5183" max="5192" width="2.140625" style="73" bestFit="1" customWidth="1"/>
    <col min="5193" max="5196" width="12.28515625" style="73" bestFit="1" customWidth="1"/>
    <col min="5197" max="5197" width="11.28515625" style="73" bestFit="1" customWidth="1"/>
    <col min="5198" max="5200" width="12.28515625" style="73" bestFit="1" customWidth="1"/>
    <col min="5201" max="5201" width="11.28515625" style="73" bestFit="1" customWidth="1"/>
    <col min="5202" max="5205" width="12.28515625" style="73" bestFit="1" customWidth="1"/>
    <col min="5206" max="5216" width="2.140625" style="73" bestFit="1" customWidth="1"/>
    <col min="5217" max="5219" width="11.28515625" style="73" bestFit="1" customWidth="1"/>
    <col min="5220" max="5226" width="12.28515625" style="73" bestFit="1" customWidth="1"/>
    <col min="5227" max="5229" width="11.28515625" style="73" bestFit="1" customWidth="1"/>
    <col min="5230" max="5240" width="2.140625" style="73" bestFit="1" customWidth="1"/>
    <col min="5241" max="5241" width="11.28515625" style="73" bestFit="1" customWidth="1"/>
    <col min="5242" max="5252" width="12.28515625" style="73" bestFit="1" customWidth="1"/>
    <col min="5253" max="5253" width="11.28515625" style="73" bestFit="1" customWidth="1"/>
    <col min="5254" max="5264" width="2.140625" style="73" bestFit="1" customWidth="1"/>
    <col min="5265" max="5265" width="11.28515625" style="73" bestFit="1" customWidth="1"/>
    <col min="5266" max="5276" width="12.28515625" style="73" bestFit="1" customWidth="1"/>
    <col min="5277" max="5277" width="11.28515625" style="73" bestFit="1" customWidth="1"/>
    <col min="5278" max="5288" width="2.140625" style="73" bestFit="1" customWidth="1"/>
    <col min="5289" max="5289" width="12.28515625" style="73" bestFit="1" customWidth="1"/>
    <col min="5290" max="5290" width="10.28515625" style="73" bestFit="1" customWidth="1"/>
    <col min="5291" max="5294" width="12.28515625" style="73" bestFit="1" customWidth="1"/>
    <col min="5295" max="5295" width="11.28515625" style="73" bestFit="1" customWidth="1"/>
    <col min="5296" max="5299" width="12.28515625" style="73" bestFit="1" customWidth="1"/>
    <col min="5300" max="5300" width="10.28515625" style="73" bestFit="1" customWidth="1"/>
    <col min="5301" max="5301" width="12.28515625" style="73" bestFit="1" customWidth="1"/>
    <col min="5302" max="5312" width="2.140625" style="73" bestFit="1" customWidth="1"/>
    <col min="5313" max="5313" width="12.28515625" style="73" bestFit="1" customWidth="1"/>
    <col min="5314" max="5314" width="11.28515625" style="73" bestFit="1" customWidth="1"/>
    <col min="5315" max="5323" width="12.28515625" style="73" bestFit="1" customWidth="1"/>
    <col min="5324" max="5324" width="11.28515625" style="73" bestFit="1" customWidth="1"/>
    <col min="5325" max="5325" width="12.28515625" style="73" bestFit="1" customWidth="1"/>
    <col min="5326" max="5336" width="2.140625" style="73" bestFit="1" customWidth="1"/>
    <col min="5337" max="5349" width="12.28515625" style="73" bestFit="1" customWidth="1"/>
    <col min="5350" max="5360" width="2.140625" style="73" bestFit="1" customWidth="1"/>
    <col min="5361" max="5373" width="12.28515625" style="73" bestFit="1" customWidth="1"/>
    <col min="5374" max="5384" width="2.140625" style="73" bestFit="1" customWidth="1"/>
    <col min="5385" max="5386" width="12.28515625" style="73" bestFit="1" customWidth="1"/>
    <col min="5387" max="5387" width="11.28515625" style="73" bestFit="1" customWidth="1"/>
    <col min="5388" max="5394" width="12.28515625" style="73" bestFit="1" customWidth="1"/>
    <col min="5395" max="5395" width="11.28515625" style="73" bestFit="1" customWidth="1"/>
    <col min="5396" max="5397" width="12.28515625" style="73" bestFit="1" customWidth="1"/>
    <col min="5398" max="5408" width="2.140625" style="73" bestFit="1" customWidth="1"/>
    <col min="5409" max="5421" width="12.28515625" style="73" bestFit="1" customWidth="1"/>
    <col min="5422" max="5432" width="2.140625" style="73" bestFit="1" customWidth="1"/>
    <col min="5433" max="5436" width="12.28515625" style="73" bestFit="1" customWidth="1"/>
    <col min="5437" max="5437" width="11.28515625" style="73" bestFit="1" customWidth="1"/>
    <col min="5438" max="5440" width="12.28515625" style="73" bestFit="1" customWidth="1"/>
    <col min="5441" max="5441" width="11.28515625" style="73" bestFit="1" customWidth="1"/>
    <col min="5442" max="5445" width="12.28515625" style="73" bestFit="1" customWidth="1"/>
    <col min="5446" max="5456" width="2.140625" style="73" bestFit="1" customWidth="1"/>
    <col min="5457" max="5458" width="12.28515625" style="73" bestFit="1" customWidth="1"/>
    <col min="5459" max="5459" width="11.28515625" style="73" bestFit="1" customWidth="1"/>
    <col min="5460" max="5466" width="12.28515625" style="73" bestFit="1" customWidth="1"/>
    <col min="5467" max="5467" width="11.28515625" style="73" bestFit="1" customWidth="1"/>
    <col min="5468" max="5469" width="12.28515625" style="73" bestFit="1" customWidth="1"/>
    <col min="5470" max="5480" width="2.140625" style="73" bestFit="1" customWidth="1"/>
    <col min="5481" max="5484" width="12.28515625" style="73" bestFit="1" customWidth="1"/>
    <col min="5485" max="5485" width="10.28515625" style="73" bestFit="1" customWidth="1"/>
    <col min="5486" max="5488" width="12.28515625" style="73" bestFit="1" customWidth="1"/>
    <col min="5489" max="5489" width="10.28515625" style="73" bestFit="1" customWidth="1"/>
    <col min="5490" max="5493" width="12.28515625" style="73" bestFit="1" customWidth="1"/>
    <col min="5494" max="5504" width="2.140625" style="73" bestFit="1" customWidth="1"/>
    <col min="5505" max="5517" width="12.28515625" style="73" bestFit="1" customWidth="1"/>
    <col min="5518" max="5528" width="2.140625" style="73" bestFit="1" customWidth="1"/>
    <col min="5529" max="5541" width="12.28515625" style="73" bestFit="1" customWidth="1"/>
    <col min="5542" max="5552" width="2.140625" style="73" bestFit="1" customWidth="1"/>
    <col min="5553" max="5565" width="12.28515625" style="73" bestFit="1" customWidth="1"/>
    <col min="5566" max="5576" width="2.140625" style="73" bestFit="1" customWidth="1"/>
    <col min="5577" max="5581" width="12.28515625" style="73" bestFit="1" customWidth="1"/>
    <col min="5582" max="5582" width="11.28515625" style="73" bestFit="1" customWidth="1"/>
    <col min="5583" max="5583" width="12.28515625" style="73" bestFit="1" customWidth="1"/>
    <col min="5584" max="5584" width="11.28515625" style="73" bestFit="1" customWidth="1"/>
    <col min="5585" max="5589" width="12.28515625" style="73" bestFit="1" customWidth="1"/>
    <col min="5590" max="5600" width="2.140625" style="73" bestFit="1" customWidth="1"/>
    <col min="5601" max="5602" width="12.28515625" style="73" bestFit="1" customWidth="1"/>
    <col min="5603" max="5603" width="10.28515625" style="73" bestFit="1" customWidth="1"/>
    <col min="5604" max="5610" width="12.28515625" style="73" bestFit="1" customWidth="1"/>
    <col min="5611" max="5611" width="10.28515625" style="73" bestFit="1" customWidth="1"/>
    <col min="5612" max="5613" width="12.28515625" style="73" bestFit="1" customWidth="1"/>
    <col min="5614" max="5624" width="2.140625" style="73" bestFit="1" customWidth="1"/>
    <col min="5625" max="5637" width="12.28515625" style="73" bestFit="1" customWidth="1"/>
    <col min="5638" max="5648" width="2.140625" style="73" bestFit="1" customWidth="1"/>
    <col min="5649" max="5661" width="12.28515625" style="73" bestFit="1" customWidth="1"/>
    <col min="5662" max="5672" width="2.140625" style="73" bestFit="1" customWidth="1"/>
    <col min="5673" max="5685" width="12.28515625" style="73" bestFit="1" customWidth="1"/>
    <col min="5686" max="5696" width="2.140625" style="73" bestFit="1" customWidth="1"/>
    <col min="5697" max="5698" width="12.28515625" style="73" bestFit="1" customWidth="1"/>
    <col min="5699" max="5699" width="11.28515625" style="73" bestFit="1" customWidth="1"/>
    <col min="5700" max="5706" width="12.28515625" style="73" bestFit="1" customWidth="1"/>
    <col min="5707" max="5707" width="11.28515625" style="73" bestFit="1" customWidth="1"/>
    <col min="5708" max="5709" width="12.28515625" style="73" bestFit="1" customWidth="1"/>
    <col min="5710" max="5720" width="2.140625" style="73" bestFit="1" customWidth="1"/>
    <col min="5721" max="5733" width="12.28515625" style="73" bestFit="1" customWidth="1"/>
    <col min="5734" max="5744" width="2.140625" style="73" bestFit="1" customWidth="1"/>
    <col min="5745" max="5757" width="12.28515625" style="73" bestFit="1" customWidth="1"/>
    <col min="5758" max="5768" width="2.140625" style="73" bestFit="1" customWidth="1"/>
    <col min="5769" max="5781" width="12.28515625" style="73" bestFit="1" customWidth="1"/>
    <col min="5782" max="5792" width="2.140625" style="73" bestFit="1" customWidth="1"/>
    <col min="5793" max="5805" width="12.28515625" style="73" bestFit="1" customWidth="1"/>
    <col min="5806" max="5816" width="2.140625" style="73" bestFit="1" customWidth="1"/>
    <col min="5817" max="5817" width="11.28515625" style="73" bestFit="1" customWidth="1"/>
    <col min="5818" max="5818" width="12.28515625" style="73" bestFit="1" customWidth="1"/>
    <col min="5819" max="5820" width="11.28515625" style="73" bestFit="1" customWidth="1"/>
    <col min="5821" max="5825" width="12.28515625" style="73" bestFit="1" customWidth="1"/>
    <col min="5826" max="5827" width="11.28515625" style="73" bestFit="1" customWidth="1"/>
    <col min="5828" max="5828" width="12.28515625" style="73" bestFit="1" customWidth="1"/>
    <col min="5829" max="5829" width="11.28515625" style="73" bestFit="1" customWidth="1"/>
    <col min="5830" max="5840" width="2.140625" style="73" bestFit="1" customWidth="1"/>
    <col min="5841" max="5853" width="12.28515625" style="73" bestFit="1" customWidth="1"/>
    <col min="5854" max="5864" width="2.140625" style="73" bestFit="1" customWidth="1"/>
    <col min="5865" max="5877" width="12.28515625" style="73" bestFit="1" customWidth="1"/>
    <col min="5878" max="5888" width="2.140625" style="73" bestFit="1" customWidth="1"/>
    <col min="5889" max="5889" width="11.28515625" style="73" bestFit="1" customWidth="1"/>
    <col min="5890" max="5900" width="12.28515625" style="73" bestFit="1" customWidth="1"/>
    <col min="5901" max="5901" width="11.28515625" style="73" bestFit="1" customWidth="1"/>
    <col min="5902" max="5912" width="2.140625" style="73" bestFit="1" customWidth="1"/>
    <col min="5913" max="5913" width="10.28515625" style="73" bestFit="1" customWidth="1"/>
    <col min="5914" max="5917" width="12.28515625" style="73" bestFit="1" customWidth="1"/>
    <col min="5918" max="5920" width="11.28515625" style="73" bestFit="1" customWidth="1"/>
    <col min="5921" max="5924" width="12.28515625" style="73" bestFit="1" customWidth="1"/>
    <col min="5925" max="5925" width="10.28515625" style="73" bestFit="1" customWidth="1"/>
    <col min="5926" max="5936" width="2.140625" style="73" bestFit="1" customWidth="1"/>
    <col min="5937" max="5938" width="12.28515625" style="73" bestFit="1" customWidth="1"/>
    <col min="5939" max="5939" width="10.28515625" style="73" bestFit="1" customWidth="1"/>
    <col min="5940" max="5946" width="12.28515625" style="73" bestFit="1" customWidth="1"/>
    <col min="5947" max="5947" width="10.28515625" style="73" bestFit="1" customWidth="1"/>
    <col min="5948" max="5949" width="12.28515625" style="73" bestFit="1" customWidth="1"/>
    <col min="5950" max="5960" width="2.140625" style="73" bestFit="1" customWidth="1"/>
    <col min="5961" max="5966" width="12.28515625" style="73" bestFit="1" customWidth="1"/>
    <col min="5967" max="5967" width="11.28515625" style="73" bestFit="1" customWidth="1"/>
    <col min="5968" max="5973" width="12.28515625" style="73" bestFit="1" customWidth="1"/>
    <col min="5974" max="5984" width="2.140625" style="73" bestFit="1" customWidth="1"/>
    <col min="5985" max="5990" width="12.28515625" style="73" bestFit="1" customWidth="1"/>
    <col min="5991" max="5991" width="11.28515625" style="73" bestFit="1" customWidth="1"/>
    <col min="5992" max="5997" width="12.28515625" style="73" bestFit="1" customWidth="1"/>
    <col min="5998" max="6008" width="2.140625" style="73" bestFit="1" customWidth="1"/>
    <col min="6009" max="6021" width="12.28515625" style="73" bestFit="1" customWidth="1"/>
    <col min="6022" max="6032" width="2.140625" style="73" bestFit="1" customWidth="1"/>
    <col min="6033" max="6045" width="12.28515625" style="73" bestFit="1" customWidth="1"/>
    <col min="6046" max="6056" width="2.140625" style="73" bestFit="1" customWidth="1"/>
    <col min="6057" max="6058" width="12.28515625" style="73" bestFit="1" customWidth="1"/>
    <col min="6059" max="6059" width="11.28515625" style="73" bestFit="1" customWidth="1"/>
    <col min="6060" max="6066" width="12.28515625" style="73" bestFit="1" customWidth="1"/>
    <col min="6067" max="6067" width="11.28515625" style="73" bestFit="1" customWidth="1"/>
    <col min="6068" max="6069" width="12.28515625" style="73" bestFit="1" customWidth="1"/>
    <col min="6070" max="6080" width="2.140625" style="73" bestFit="1" customWidth="1"/>
    <col min="6081" max="6093" width="12.28515625" style="73" bestFit="1" customWidth="1"/>
    <col min="6094" max="6104" width="2.140625" style="73" bestFit="1" customWidth="1"/>
    <col min="6105" max="6117" width="12.28515625" style="73" bestFit="1" customWidth="1"/>
    <col min="6118" max="6128" width="2.140625" style="73" bestFit="1" customWidth="1"/>
    <col min="6129" max="6141" width="12.28515625" style="73" bestFit="1" customWidth="1"/>
    <col min="6142" max="6152" width="2.140625" style="73" bestFit="1" customWidth="1"/>
    <col min="6153" max="6165" width="12.28515625" style="73" bestFit="1" customWidth="1"/>
    <col min="6166" max="6176" width="2.140625" style="73" bestFit="1" customWidth="1"/>
    <col min="6177" max="6189" width="12.28515625" style="73" bestFit="1" customWidth="1"/>
    <col min="6190" max="6200" width="2.140625" style="73" bestFit="1" customWidth="1"/>
    <col min="6201" max="6201" width="12.28515625" style="73" bestFit="1" customWidth="1"/>
    <col min="6202" max="6202" width="11.28515625" style="73" bestFit="1" customWidth="1"/>
    <col min="6203" max="6211" width="12.28515625" style="73" bestFit="1" customWidth="1"/>
    <col min="6212" max="6212" width="11.28515625" style="73" bestFit="1" customWidth="1"/>
    <col min="6213" max="6213" width="12.28515625" style="73" bestFit="1" customWidth="1"/>
    <col min="6214" max="6224" width="2.140625" style="73" bestFit="1" customWidth="1"/>
    <col min="6225" max="6237" width="12.28515625" style="73" bestFit="1" customWidth="1"/>
    <col min="6238" max="6248" width="2.140625" style="73" bestFit="1" customWidth="1"/>
    <col min="6249" max="6261" width="12.28515625" style="73" bestFit="1" customWidth="1"/>
    <col min="6262" max="6272" width="2.140625" style="73" bestFit="1" customWidth="1"/>
    <col min="6273" max="6277" width="12.28515625" style="73" bestFit="1" customWidth="1"/>
    <col min="6278" max="6278" width="10.28515625" style="73" bestFit="1" customWidth="1"/>
    <col min="6279" max="6279" width="12.28515625" style="73" bestFit="1" customWidth="1"/>
    <col min="6280" max="6280" width="10.28515625" style="73" bestFit="1" customWidth="1"/>
    <col min="6281" max="6285" width="12.28515625" style="73" bestFit="1" customWidth="1"/>
    <col min="6286" max="6296" width="2.140625" style="73" bestFit="1" customWidth="1"/>
    <col min="6297" max="6309" width="12.28515625" style="73" bestFit="1" customWidth="1"/>
    <col min="6310" max="6321" width="2.140625" style="73" bestFit="1" customWidth="1"/>
    <col min="6322" max="6325" width="12.28515625" style="73" bestFit="1" customWidth="1"/>
    <col min="6326" max="6326" width="11.28515625" style="73" bestFit="1" customWidth="1"/>
    <col min="6327" max="6327" width="12.28515625" style="73" bestFit="1" customWidth="1"/>
    <col min="6328" max="6328" width="11.28515625" style="73" bestFit="1" customWidth="1"/>
    <col min="6329" max="6332" width="12.28515625" style="73" bestFit="1" customWidth="1"/>
    <col min="6333" max="6345" width="2.140625" style="73" bestFit="1" customWidth="1"/>
    <col min="6346" max="6356" width="12.28515625" style="73" bestFit="1" customWidth="1"/>
    <col min="6357" max="6368" width="2.140625" style="73" bestFit="1" customWidth="1"/>
    <col min="6369" max="6372" width="12.28515625" style="73" bestFit="1" customWidth="1"/>
    <col min="6373" max="6373" width="11.28515625" style="73" bestFit="1" customWidth="1"/>
    <col min="6374" max="6376" width="12.28515625" style="73" bestFit="1" customWidth="1"/>
    <col min="6377" max="6377" width="11.28515625" style="73" bestFit="1" customWidth="1"/>
    <col min="6378" max="6381" width="12.28515625" style="73" bestFit="1" customWidth="1"/>
    <col min="6382" max="6393" width="2.140625" style="73" bestFit="1" customWidth="1"/>
    <col min="6394" max="6397" width="12.28515625" style="73" bestFit="1" customWidth="1"/>
    <col min="6398" max="6398" width="11.28515625" style="73" bestFit="1" customWidth="1"/>
    <col min="6399" max="6399" width="12.28515625" style="73" bestFit="1" customWidth="1"/>
    <col min="6400" max="6400" width="11.28515625" style="73" bestFit="1" customWidth="1"/>
    <col min="6401" max="6404" width="12.28515625" style="73" bestFit="1" customWidth="1"/>
    <col min="6405" max="6417" width="2.140625" style="73" bestFit="1" customWidth="1"/>
    <col min="6418" max="6421" width="12.28515625" style="73" bestFit="1" customWidth="1"/>
    <col min="6422" max="6422" width="11.28515625" style="73" bestFit="1" customWidth="1"/>
    <col min="6423" max="6423" width="12.28515625" style="73" bestFit="1" customWidth="1"/>
    <col min="6424" max="6424" width="11.28515625" style="73" bestFit="1" customWidth="1"/>
    <col min="6425" max="6428" width="12.28515625" style="73" bestFit="1" customWidth="1"/>
    <col min="6429" max="6441" width="2.140625" style="73" bestFit="1" customWidth="1"/>
    <col min="6442" max="6452" width="12.28515625" style="73" bestFit="1" customWidth="1"/>
    <col min="6453" max="6465" width="2.140625" style="73" bestFit="1" customWidth="1"/>
    <col min="6466" max="6476" width="12.28515625" style="73" bestFit="1" customWidth="1"/>
    <col min="6477" max="6489" width="2.140625" style="73" bestFit="1" customWidth="1"/>
    <col min="6490" max="6500" width="12.28515625" style="73" bestFit="1" customWidth="1"/>
    <col min="6501" max="6513" width="2.140625" style="73" bestFit="1" customWidth="1"/>
    <col min="6514" max="6524" width="12.28515625" style="73" bestFit="1" customWidth="1"/>
    <col min="6525" max="6537" width="2.140625" style="73" bestFit="1" customWidth="1"/>
    <col min="6538" max="6539" width="12.28515625" style="73" bestFit="1" customWidth="1"/>
    <col min="6540" max="6540" width="11.28515625" style="73" bestFit="1" customWidth="1"/>
    <col min="6541" max="6545" width="12.28515625" style="73" bestFit="1" customWidth="1"/>
    <col min="6546" max="6546" width="11.28515625" style="73" bestFit="1" customWidth="1"/>
    <col min="6547" max="6548" width="12.28515625" style="73" bestFit="1" customWidth="1"/>
    <col min="6549" max="6561" width="2.140625" style="73" bestFit="1" customWidth="1"/>
    <col min="6562" max="6563" width="12.28515625" style="73" bestFit="1" customWidth="1"/>
    <col min="6564" max="6564" width="11.28515625" style="73" bestFit="1" customWidth="1"/>
    <col min="6565" max="6569" width="12.28515625" style="73" bestFit="1" customWidth="1"/>
    <col min="6570" max="6570" width="11.28515625" style="73" bestFit="1" customWidth="1"/>
    <col min="6571" max="6572" width="12.28515625" style="73" bestFit="1" customWidth="1"/>
    <col min="6573" max="6585" width="2.140625" style="73" bestFit="1" customWidth="1"/>
    <col min="6586" max="6586" width="11.28515625" style="73" bestFit="1" customWidth="1"/>
    <col min="6587" max="6587" width="12.28515625" style="73" bestFit="1" customWidth="1"/>
    <col min="6588" max="6588" width="11.28515625" style="73" bestFit="1" customWidth="1"/>
    <col min="6589" max="6593" width="12.28515625" style="73" bestFit="1" customWidth="1"/>
    <col min="6594" max="6594" width="11.28515625" style="73" bestFit="1" customWidth="1"/>
    <col min="6595" max="6595" width="12.28515625" style="73" bestFit="1" customWidth="1"/>
    <col min="6596" max="6596" width="11.28515625" style="73" bestFit="1" customWidth="1"/>
    <col min="6597" max="6609" width="2.140625" style="73" bestFit="1" customWidth="1"/>
    <col min="6610" max="6620" width="12.28515625" style="73" bestFit="1" customWidth="1"/>
    <col min="6621" max="6633" width="2.140625" style="73" bestFit="1" customWidth="1"/>
    <col min="6634" max="6637" width="12.28515625" style="73" bestFit="1" customWidth="1"/>
    <col min="6638" max="6638" width="11.28515625" style="73" bestFit="1" customWidth="1"/>
    <col min="6639" max="6639" width="12.28515625" style="73" bestFit="1" customWidth="1"/>
    <col min="6640" max="6640" width="11.28515625" style="73" bestFit="1" customWidth="1"/>
    <col min="6641" max="6644" width="12.28515625" style="73" bestFit="1" customWidth="1"/>
    <col min="6645" max="6657" width="2.140625" style="73" bestFit="1" customWidth="1"/>
    <col min="6658" max="6662" width="12.28515625" style="73" bestFit="1" customWidth="1"/>
    <col min="6663" max="6663" width="11.28515625" style="73" bestFit="1" customWidth="1"/>
    <col min="6664" max="6668" width="12.28515625" style="73" bestFit="1" customWidth="1"/>
    <col min="6669" max="6681" width="2.140625" style="73" bestFit="1" customWidth="1"/>
    <col min="6682" max="6692" width="12.28515625" style="73" bestFit="1" customWidth="1"/>
    <col min="6693" max="6705" width="2.140625" style="73" bestFit="1" customWidth="1"/>
    <col min="6706" max="6716" width="12.28515625" style="73" bestFit="1" customWidth="1"/>
    <col min="6717" max="6729" width="2.140625" style="73" bestFit="1" customWidth="1"/>
    <col min="6730" max="6740" width="12.28515625" style="73" bestFit="1" customWidth="1"/>
    <col min="6741" max="6753" width="2.140625" style="73" bestFit="1" customWidth="1"/>
    <col min="6754" max="6757" width="12.28515625" style="73" bestFit="1" customWidth="1"/>
    <col min="6758" max="6758" width="11.28515625" style="73" bestFit="1" customWidth="1"/>
    <col min="6759" max="6759" width="12.28515625" style="73" bestFit="1" customWidth="1"/>
    <col min="6760" max="6760" width="11.28515625" style="73" bestFit="1" customWidth="1"/>
    <col min="6761" max="6764" width="12.28515625" style="73" bestFit="1" customWidth="1"/>
    <col min="6765" max="6777" width="2.140625" style="73" bestFit="1" customWidth="1"/>
    <col min="6778" max="6788" width="12.28515625" style="73" bestFit="1" customWidth="1"/>
    <col min="6789" max="6801" width="2.140625" style="73" bestFit="1" customWidth="1"/>
    <col min="6802" max="6812" width="12.28515625" style="73" bestFit="1" customWidth="1"/>
    <col min="6813" max="6825" width="2.140625" style="73" bestFit="1" customWidth="1"/>
    <col min="6826" max="6827" width="12.28515625" style="73" bestFit="1" customWidth="1"/>
    <col min="6828" max="6828" width="11.28515625" style="73" bestFit="1" customWidth="1"/>
    <col min="6829" max="6833" width="12.28515625" style="73" bestFit="1" customWidth="1"/>
    <col min="6834" max="6834" width="11.28515625" style="73" bestFit="1" customWidth="1"/>
    <col min="6835" max="6836" width="12.28515625" style="73" bestFit="1" customWidth="1"/>
    <col min="6837" max="6849" width="2.140625" style="73" bestFit="1" customWidth="1"/>
    <col min="6850" max="6853" width="12.28515625" style="73" bestFit="1" customWidth="1"/>
    <col min="6854" max="6854" width="11.28515625" style="73" bestFit="1" customWidth="1"/>
    <col min="6855" max="6855" width="12.28515625" style="73" bestFit="1" customWidth="1"/>
    <col min="6856" max="6856" width="11.28515625" style="73" bestFit="1" customWidth="1"/>
    <col min="6857" max="6860" width="12.28515625" style="73" bestFit="1" customWidth="1"/>
    <col min="6861" max="6873" width="2.140625" style="73" bestFit="1" customWidth="1"/>
    <col min="6874" max="6884" width="12.28515625" style="73" bestFit="1" customWidth="1"/>
    <col min="6885" max="6897" width="2.140625" style="73" bestFit="1" customWidth="1"/>
    <col min="6898" max="6902" width="12.28515625" style="73" bestFit="1" customWidth="1"/>
    <col min="6903" max="6903" width="11.28515625" style="73" bestFit="1" customWidth="1"/>
    <col min="6904" max="6908" width="12.28515625" style="73" bestFit="1" customWidth="1"/>
    <col min="6909" max="6921" width="2.140625" style="73" bestFit="1" customWidth="1"/>
    <col min="6922" max="6926" width="12.28515625" style="73" bestFit="1" customWidth="1"/>
    <col min="6927" max="6927" width="11.28515625" style="73" bestFit="1" customWidth="1"/>
    <col min="6928" max="6932" width="12.28515625" style="73" bestFit="1" customWidth="1"/>
    <col min="6933" max="6945" width="2.140625" style="73" bestFit="1" customWidth="1"/>
    <col min="6946" max="6956" width="12.28515625" style="73" bestFit="1" customWidth="1"/>
    <col min="6957" max="6969" width="2.140625" style="73" bestFit="1" customWidth="1"/>
    <col min="6970" max="6970" width="12.28515625" style="73" bestFit="1" customWidth="1"/>
    <col min="6971" max="6971" width="11.28515625" style="73" bestFit="1" customWidth="1"/>
    <col min="6972" max="6978" width="12.28515625" style="73" bestFit="1" customWidth="1"/>
    <col min="6979" max="6979" width="11.28515625" style="73" bestFit="1" customWidth="1"/>
    <col min="6980" max="6980" width="12.28515625" style="73" bestFit="1" customWidth="1"/>
    <col min="6981" max="6993" width="2.140625" style="73" bestFit="1" customWidth="1"/>
    <col min="6994" max="7004" width="12.28515625" style="73" bestFit="1" customWidth="1"/>
    <col min="7005" max="7017" width="2.140625" style="73" bestFit="1" customWidth="1"/>
    <col min="7018" max="7028" width="12.28515625" style="73" bestFit="1" customWidth="1"/>
    <col min="7029" max="7041" width="2.140625" style="73" bestFit="1" customWidth="1"/>
    <col min="7042" max="7052" width="12.28515625" style="73" bestFit="1" customWidth="1"/>
    <col min="7053" max="7065" width="2.140625" style="73" bestFit="1" customWidth="1"/>
    <col min="7066" max="7069" width="12.28515625" style="73" bestFit="1" customWidth="1"/>
    <col min="7070" max="7072" width="11.28515625" style="73" bestFit="1" customWidth="1"/>
    <col min="7073" max="7076" width="12.28515625" style="73" bestFit="1" customWidth="1"/>
    <col min="7077" max="7089" width="2.140625" style="73" bestFit="1" customWidth="1"/>
    <col min="7090" max="7100" width="12.28515625" style="73" bestFit="1" customWidth="1"/>
    <col min="7101" max="7113" width="2.140625" style="73" bestFit="1" customWidth="1"/>
    <col min="7114" max="7124" width="12.28515625" style="73" bestFit="1" customWidth="1"/>
    <col min="7125" max="7137" width="2.140625" style="73" bestFit="1" customWidth="1"/>
    <col min="7138" max="7138" width="11.28515625" style="73" bestFit="1" customWidth="1"/>
    <col min="7139" max="7141" width="12.28515625" style="73" bestFit="1" customWidth="1"/>
    <col min="7142" max="7142" width="11.28515625" style="73" bestFit="1" customWidth="1"/>
    <col min="7143" max="7143" width="12.28515625" style="73" bestFit="1" customWidth="1"/>
    <col min="7144" max="7144" width="11.28515625" style="73" bestFit="1" customWidth="1"/>
    <col min="7145" max="7147" width="12.28515625" style="73" bestFit="1" customWidth="1"/>
    <col min="7148" max="7148" width="11.28515625" style="73" bestFit="1" customWidth="1"/>
    <col min="7149" max="7161" width="2.140625" style="73" bestFit="1" customWidth="1"/>
    <col min="7162" max="7163" width="12.28515625" style="73" bestFit="1" customWidth="1"/>
    <col min="7164" max="7164" width="11.28515625" style="73" bestFit="1" customWidth="1"/>
    <col min="7165" max="7169" width="12.28515625" style="73" bestFit="1" customWidth="1"/>
    <col min="7170" max="7170" width="11.28515625" style="73" bestFit="1" customWidth="1"/>
    <col min="7171" max="7172" width="12.28515625" style="73" bestFit="1" customWidth="1"/>
    <col min="7173" max="7185" width="2.140625" style="73" bestFit="1" customWidth="1"/>
    <col min="7186" max="7196" width="12.28515625" style="73" bestFit="1" customWidth="1"/>
    <col min="7197" max="7209" width="2.140625" style="73" bestFit="1" customWidth="1"/>
    <col min="7210" max="7220" width="12.28515625" style="73" bestFit="1" customWidth="1"/>
    <col min="7221" max="7233" width="2.140625" style="73" bestFit="1" customWidth="1"/>
    <col min="7234" max="7244" width="12.28515625" style="73" bestFit="1" customWidth="1"/>
    <col min="7245" max="7257" width="2.140625" style="73" bestFit="1" customWidth="1"/>
    <col min="7258" max="7268" width="12.28515625" style="73" bestFit="1" customWidth="1"/>
    <col min="7269" max="7281" width="2.140625" style="73" bestFit="1" customWidth="1"/>
    <col min="7282" max="7292" width="12.28515625" style="73" bestFit="1" customWidth="1"/>
    <col min="7293" max="7305" width="2.140625" style="73" bestFit="1" customWidth="1"/>
    <col min="7306" max="7316" width="12.28515625" style="73" bestFit="1" customWidth="1"/>
    <col min="7317" max="7329" width="2.140625" style="73" bestFit="1" customWidth="1"/>
    <col min="7330" max="7340" width="12.28515625" style="73" bestFit="1" customWidth="1"/>
    <col min="7341" max="7353" width="2.140625" style="73" bestFit="1" customWidth="1"/>
    <col min="7354" max="7364" width="12.28515625" style="73" bestFit="1" customWidth="1"/>
    <col min="7365" max="7377" width="2.140625" style="73" bestFit="1" customWidth="1"/>
    <col min="7378" max="7378" width="11.28515625" style="73" bestFit="1" customWidth="1"/>
    <col min="7379" max="7387" width="12.28515625" style="73" bestFit="1" customWidth="1"/>
    <col min="7388" max="7388" width="11.28515625" style="73" bestFit="1" customWidth="1"/>
    <col min="7389" max="7401" width="2.140625" style="73" bestFit="1" customWidth="1"/>
    <col min="7402" max="7402" width="12.28515625" style="73" bestFit="1" customWidth="1"/>
    <col min="7403" max="7404" width="11.28515625" style="73" bestFit="1" customWidth="1"/>
    <col min="7405" max="7409" width="12.28515625" style="73" bestFit="1" customWidth="1"/>
    <col min="7410" max="7411" width="11.28515625" style="73" bestFit="1" customWidth="1"/>
    <col min="7412" max="7412" width="12.28515625" style="73" bestFit="1" customWidth="1"/>
    <col min="7413" max="7425" width="2.140625" style="73" bestFit="1" customWidth="1"/>
    <col min="7426" max="7436" width="12.28515625" style="73" bestFit="1" customWidth="1"/>
    <col min="7437" max="7449" width="2.140625" style="73" bestFit="1" customWidth="1"/>
    <col min="7450" max="7450" width="10.28515625" style="73" bestFit="1" customWidth="1"/>
    <col min="7451" max="7459" width="12.28515625" style="73" bestFit="1" customWidth="1"/>
    <col min="7460" max="7460" width="10.28515625" style="73" bestFit="1" customWidth="1"/>
    <col min="7461" max="7474" width="2.140625" style="73" bestFit="1" customWidth="1"/>
    <col min="7475" max="7483" width="12.28515625" style="73" bestFit="1" customWidth="1"/>
    <col min="7484" max="7498" width="2.140625" style="73" bestFit="1" customWidth="1"/>
    <col min="7499" max="7507" width="12.28515625" style="73" bestFit="1" customWidth="1"/>
    <col min="7508" max="7522" width="2.140625" style="73" bestFit="1" customWidth="1"/>
    <col min="7523" max="7531" width="12.28515625" style="73" bestFit="1" customWidth="1"/>
    <col min="7532" max="7546" width="2.140625" style="73" bestFit="1" customWidth="1"/>
    <col min="7547" max="7555" width="12.28515625" style="73" bestFit="1" customWidth="1"/>
    <col min="7556" max="7570" width="2.140625" style="73" bestFit="1" customWidth="1"/>
    <col min="7571" max="7571" width="12.28515625" style="73" bestFit="1" customWidth="1"/>
    <col min="7572" max="7573" width="11.28515625" style="73" bestFit="1" customWidth="1"/>
    <col min="7574" max="7576" width="12.28515625" style="73" bestFit="1" customWidth="1"/>
    <col min="7577" max="7578" width="11.28515625" style="73" bestFit="1" customWidth="1"/>
    <col min="7579" max="7579" width="12.28515625" style="73" bestFit="1" customWidth="1"/>
    <col min="7580" max="7594" width="2.140625" style="73" bestFit="1" customWidth="1"/>
    <col min="7595" max="7595" width="11.28515625" style="73" bestFit="1" customWidth="1"/>
    <col min="7596" max="7602" width="12.28515625" style="73" bestFit="1" customWidth="1"/>
    <col min="7603" max="7603" width="11.28515625" style="73" bestFit="1" customWidth="1"/>
    <col min="7604" max="7618" width="2.140625" style="73" bestFit="1" customWidth="1"/>
    <col min="7619" max="7620" width="12.28515625" style="73" bestFit="1" customWidth="1"/>
    <col min="7621" max="7621" width="11.28515625" style="73" bestFit="1" customWidth="1"/>
    <col min="7622" max="7624" width="12.28515625" style="73" bestFit="1" customWidth="1"/>
    <col min="7625" max="7625" width="11.28515625" style="73" bestFit="1" customWidth="1"/>
    <col min="7626" max="7627" width="12.28515625" style="73" bestFit="1" customWidth="1"/>
    <col min="7628" max="7642" width="2.140625" style="73" bestFit="1" customWidth="1"/>
    <col min="7643" max="7643" width="12.28515625" style="73" bestFit="1" customWidth="1"/>
    <col min="7644" max="7645" width="11.28515625" style="73" bestFit="1" customWidth="1"/>
    <col min="7646" max="7648" width="12.28515625" style="73" bestFit="1" customWidth="1"/>
    <col min="7649" max="7650" width="11.28515625" style="73" bestFit="1" customWidth="1"/>
    <col min="7651" max="7651" width="12.28515625" style="73" bestFit="1" customWidth="1"/>
    <col min="7652" max="7666" width="2.140625" style="73" bestFit="1" customWidth="1"/>
    <col min="7667" max="7675" width="12.28515625" style="73" bestFit="1" customWidth="1"/>
    <col min="7676" max="7690" width="2.140625" style="73" bestFit="1" customWidth="1"/>
    <col min="7691" max="7699" width="12.28515625" style="73" bestFit="1" customWidth="1"/>
    <col min="7700" max="7714" width="2.140625" style="73" bestFit="1" customWidth="1"/>
    <col min="7715" max="7723" width="12.28515625" style="73" bestFit="1" customWidth="1"/>
    <col min="7724" max="7738" width="2.140625" style="73" bestFit="1" customWidth="1"/>
    <col min="7739" max="7740" width="12.28515625" style="73" bestFit="1" customWidth="1"/>
    <col min="7741" max="7741" width="11.28515625" style="73" bestFit="1" customWidth="1"/>
    <col min="7742" max="7744" width="12.28515625" style="73" bestFit="1" customWidth="1"/>
    <col min="7745" max="7745" width="11.28515625" style="73" bestFit="1" customWidth="1"/>
    <col min="7746" max="7747" width="12.28515625" style="73" bestFit="1" customWidth="1"/>
    <col min="7748" max="7762" width="2.140625" style="73" bestFit="1" customWidth="1"/>
    <col min="7763" max="7764" width="12.28515625" style="73" bestFit="1" customWidth="1"/>
    <col min="7765" max="7765" width="11.28515625" style="73" bestFit="1" customWidth="1"/>
    <col min="7766" max="7768" width="12.28515625" style="73" bestFit="1" customWidth="1"/>
    <col min="7769" max="7769" width="11.28515625" style="73" bestFit="1" customWidth="1"/>
    <col min="7770" max="7771" width="12.28515625" style="73" bestFit="1" customWidth="1"/>
    <col min="7772" max="7786" width="2.140625" style="73" bestFit="1" customWidth="1"/>
    <col min="7787" max="7795" width="12.28515625" style="73" bestFit="1" customWidth="1"/>
    <col min="7796" max="7810" width="2.140625" style="73" bestFit="1" customWidth="1"/>
    <col min="7811" max="7819" width="12.28515625" style="73" bestFit="1" customWidth="1"/>
    <col min="7820" max="7834" width="2.140625" style="73" bestFit="1" customWidth="1"/>
    <col min="7835" max="7843" width="12.28515625" style="73" bestFit="1" customWidth="1"/>
    <col min="7844" max="7858" width="2.140625" style="73" bestFit="1" customWidth="1"/>
    <col min="7859" max="7867" width="12.28515625" style="73" bestFit="1" customWidth="1"/>
    <col min="7868" max="7882" width="2.140625" style="73" bestFit="1" customWidth="1"/>
    <col min="7883" max="7885" width="11.28515625" style="73" bestFit="1" customWidth="1"/>
    <col min="7886" max="7886" width="12.28515625" style="73" bestFit="1" customWidth="1"/>
    <col min="7887" max="7887" width="11.28515625" style="73" bestFit="1" customWidth="1"/>
    <col min="7888" max="7888" width="12.28515625" style="73" bestFit="1" customWidth="1"/>
    <col min="7889" max="7891" width="11.28515625" style="73" bestFit="1" customWidth="1"/>
    <col min="7892" max="7906" width="2.140625" style="73" bestFit="1" customWidth="1"/>
    <col min="7907" max="7909" width="12.28515625" style="73" bestFit="1" customWidth="1"/>
    <col min="7910" max="7910" width="10.28515625" style="73" bestFit="1" customWidth="1"/>
    <col min="7911" max="7911" width="12.28515625" style="73" bestFit="1" customWidth="1"/>
    <col min="7912" max="7912" width="10.28515625" style="73" bestFit="1" customWidth="1"/>
    <col min="7913" max="7915" width="12.28515625" style="73" bestFit="1" customWidth="1"/>
    <col min="7916" max="7930" width="2.140625" style="73" bestFit="1" customWidth="1"/>
    <col min="7931" max="7939" width="12.28515625" style="73" bestFit="1" customWidth="1"/>
    <col min="7940" max="7954" width="2.140625" style="73" bestFit="1" customWidth="1"/>
    <col min="7955" max="7957" width="12.28515625" style="73" bestFit="1" customWidth="1"/>
    <col min="7958" max="7958" width="10.28515625" style="73" bestFit="1" customWidth="1"/>
    <col min="7959" max="7959" width="12.28515625" style="73" bestFit="1" customWidth="1"/>
    <col min="7960" max="7960" width="10.28515625" style="73" bestFit="1" customWidth="1"/>
    <col min="7961" max="7963" width="12.28515625" style="73" bestFit="1" customWidth="1"/>
    <col min="7964" max="7978" width="2.140625" style="73" bestFit="1" customWidth="1"/>
    <col min="7979" max="7987" width="12.28515625" style="73" bestFit="1" customWidth="1"/>
    <col min="7988" max="8002" width="2.140625" style="73" bestFit="1" customWidth="1"/>
    <col min="8003" max="8011" width="12.28515625" style="73" bestFit="1" customWidth="1"/>
    <col min="8012" max="8026" width="2.140625" style="73" bestFit="1" customWidth="1"/>
    <col min="8027" max="8027" width="11.28515625" style="73" bestFit="1" customWidth="1"/>
    <col min="8028" max="8034" width="12.28515625" style="73" bestFit="1" customWidth="1"/>
    <col min="8035" max="8035" width="11.28515625" style="73" bestFit="1" customWidth="1"/>
    <col min="8036" max="8050" width="2.140625" style="73" bestFit="1" customWidth="1"/>
    <col min="8051" max="8053" width="12.28515625" style="73" bestFit="1" customWidth="1"/>
    <col min="8054" max="8054" width="11.28515625" style="73" bestFit="1" customWidth="1"/>
    <col min="8055" max="8055" width="12.28515625" style="73" bestFit="1" customWidth="1"/>
    <col min="8056" max="8056" width="11.28515625" style="73" bestFit="1" customWidth="1"/>
    <col min="8057" max="8059" width="12.28515625" style="73" bestFit="1" customWidth="1"/>
    <col min="8060" max="8074" width="2.140625" style="73" bestFit="1" customWidth="1"/>
    <col min="8075" max="8076" width="12.28515625" style="73" bestFit="1" customWidth="1"/>
    <col min="8077" max="8077" width="11.28515625" style="73" bestFit="1" customWidth="1"/>
    <col min="8078" max="8080" width="12.28515625" style="73" bestFit="1" customWidth="1"/>
    <col min="8081" max="8081" width="11.28515625" style="73" bestFit="1" customWidth="1"/>
    <col min="8082" max="8083" width="12.28515625" style="73" bestFit="1" customWidth="1"/>
    <col min="8084" max="8098" width="2.140625" style="73" bestFit="1" customWidth="1"/>
    <col min="8099" max="8107" width="12.28515625" style="73" bestFit="1" customWidth="1"/>
    <col min="8108" max="8122" width="2.140625" style="73" bestFit="1" customWidth="1"/>
    <col min="8123" max="8131" width="12.28515625" style="73" bestFit="1" customWidth="1"/>
    <col min="8132" max="8146" width="2.140625" style="73" bestFit="1" customWidth="1"/>
    <col min="8147" max="8155" width="12.28515625" style="73" bestFit="1" customWidth="1"/>
    <col min="8156" max="8170" width="2.140625" style="73" bestFit="1" customWidth="1"/>
    <col min="8171" max="8179" width="12.28515625" style="73" bestFit="1" customWidth="1"/>
    <col min="8180" max="8194" width="2.140625" style="73" bestFit="1" customWidth="1"/>
    <col min="8195" max="8203" width="12.28515625" style="73" bestFit="1" customWidth="1"/>
    <col min="8204" max="8218" width="2.140625" style="73" bestFit="1" customWidth="1"/>
    <col min="8219" max="8227" width="12.28515625" style="73" bestFit="1" customWidth="1"/>
    <col min="8228" max="8242" width="2.140625" style="73" bestFit="1" customWidth="1"/>
    <col min="8243" max="8243" width="12.28515625" style="73" bestFit="1" customWidth="1"/>
    <col min="8244" max="8244" width="11.28515625" style="73" bestFit="1" customWidth="1"/>
    <col min="8245" max="8249" width="12.28515625" style="73" bestFit="1" customWidth="1"/>
    <col min="8250" max="8250" width="11.28515625" style="73" bestFit="1" customWidth="1"/>
    <col min="8251" max="8251" width="12.28515625" style="73" bestFit="1" customWidth="1"/>
    <col min="8252" max="8266" width="2.140625" style="73" bestFit="1" customWidth="1"/>
    <col min="8267" max="8275" width="12.28515625" style="73" bestFit="1" customWidth="1"/>
    <col min="8276" max="8290" width="2.140625" style="73" bestFit="1" customWidth="1"/>
    <col min="8291" max="8299" width="12.28515625" style="73" bestFit="1" customWidth="1"/>
    <col min="8300" max="8314" width="2.140625" style="73" bestFit="1" customWidth="1"/>
    <col min="8315" max="8323" width="12.28515625" style="73" bestFit="1" customWidth="1"/>
    <col min="8324" max="8338" width="2.140625" style="73" bestFit="1" customWidth="1"/>
    <col min="8339" max="8347" width="12.28515625" style="73" bestFit="1" customWidth="1"/>
    <col min="8348" max="8362" width="2.140625" style="73" bestFit="1" customWidth="1"/>
    <col min="8363" max="8365" width="12.28515625" style="73" bestFit="1" customWidth="1"/>
    <col min="8366" max="8366" width="10.28515625" style="73" bestFit="1" customWidth="1"/>
    <col min="8367" max="8367" width="12.28515625" style="73" bestFit="1" customWidth="1"/>
    <col min="8368" max="8368" width="10.28515625" style="73" bestFit="1" customWidth="1"/>
    <col min="8369" max="8371" width="12.28515625" style="73" bestFit="1" customWidth="1"/>
    <col min="8372" max="8386" width="2.140625" style="73" bestFit="1" customWidth="1"/>
    <col min="8387" max="8395" width="12.28515625" style="73" bestFit="1" customWidth="1"/>
    <col min="8396" max="8410" width="2.140625" style="73" bestFit="1" customWidth="1"/>
    <col min="8411" max="8419" width="12.28515625" style="73" bestFit="1" customWidth="1"/>
    <col min="8420" max="8434" width="2.140625" style="73" bestFit="1" customWidth="1"/>
    <col min="8435" max="8436" width="12.28515625" style="73" bestFit="1" customWidth="1"/>
    <col min="8437" max="8437" width="11.28515625" style="73" bestFit="1" customWidth="1"/>
    <col min="8438" max="8440" width="12.28515625" style="73" bestFit="1" customWidth="1"/>
    <col min="8441" max="8441" width="11.28515625" style="73" bestFit="1" customWidth="1"/>
    <col min="8442" max="8443" width="12.28515625" style="73" bestFit="1" customWidth="1"/>
    <col min="8444" max="8458" width="2.140625" style="73" bestFit="1" customWidth="1"/>
    <col min="8459" max="8467" width="12.28515625" style="73" bestFit="1" customWidth="1"/>
    <col min="8468" max="8482" width="2.140625" style="73" bestFit="1" customWidth="1"/>
    <col min="8483" max="8491" width="12.28515625" style="73" bestFit="1" customWidth="1"/>
    <col min="8492" max="8506" width="2.140625" style="73" bestFit="1" customWidth="1"/>
    <col min="8507" max="8515" width="12.28515625" style="73" bestFit="1" customWidth="1"/>
    <col min="8516" max="8530" width="2.140625" style="73" bestFit="1" customWidth="1"/>
    <col min="8531" max="8539" width="12.28515625" style="73" bestFit="1" customWidth="1"/>
    <col min="8540" max="8554" width="2.140625" style="73" bestFit="1" customWidth="1"/>
    <col min="8555" max="8555" width="11.28515625" style="73" bestFit="1" customWidth="1"/>
    <col min="8556" max="8562" width="12.28515625" style="73" bestFit="1" customWidth="1"/>
    <col min="8563" max="8563" width="11.28515625" style="73" bestFit="1" customWidth="1"/>
    <col min="8564" max="8578" width="2.140625" style="73" bestFit="1" customWidth="1"/>
    <col min="8579" max="8581" width="12.28515625" style="73" bestFit="1" customWidth="1"/>
    <col min="8582" max="8582" width="11.28515625" style="73" bestFit="1" customWidth="1"/>
    <col min="8583" max="8583" width="12.28515625" style="73" bestFit="1" customWidth="1"/>
    <col min="8584" max="8584" width="11.28515625" style="73" bestFit="1" customWidth="1"/>
    <col min="8585" max="8587" width="12.28515625" style="73" bestFit="1" customWidth="1"/>
    <col min="8588" max="8602" width="2.140625" style="73" bestFit="1" customWidth="1"/>
    <col min="8603" max="8611" width="12.28515625" style="73" bestFit="1" customWidth="1"/>
    <col min="8612" max="8626" width="2.140625" style="73" bestFit="1" customWidth="1"/>
    <col min="8627" max="8635" width="12.28515625" style="73" bestFit="1" customWidth="1"/>
    <col min="8636" max="8650" width="2.140625" style="73" bestFit="1" customWidth="1"/>
    <col min="8651" max="8659" width="12.28515625" style="73" bestFit="1" customWidth="1"/>
    <col min="8660" max="8674" width="2.140625" style="73" bestFit="1" customWidth="1"/>
    <col min="8675" max="8683" width="12.28515625" style="73" bestFit="1" customWidth="1"/>
    <col min="8684" max="8698" width="2.140625" style="73" bestFit="1" customWidth="1"/>
    <col min="8699" max="8707" width="12.28515625" style="73" bestFit="1" customWidth="1"/>
    <col min="8708" max="8722" width="2.140625" style="73" bestFit="1" customWidth="1"/>
    <col min="8723" max="8731" width="12.28515625" style="73" bestFit="1" customWidth="1"/>
    <col min="8732" max="8746" width="2.140625" style="73" bestFit="1" customWidth="1"/>
    <col min="8747" max="8750" width="12.28515625" style="73" bestFit="1" customWidth="1"/>
    <col min="8751" max="8751" width="11.28515625" style="73" bestFit="1" customWidth="1"/>
    <col min="8752" max="8755" width="12.28515625" style="73" bestFit="1" customWidth="1"/>
    <col min="8756" max="8763" width="2.140625" style="73" bestFit="1" customWidth="1"/>
    <col min="8764" max="16384" width="11.42578125" style="73"/>
  </cols>
  <sheetData>
    <row r="2" spans="2:32" x14ac:dyDescent="0.25">
      <c r="B2" s="71"/>
    </row>
    <row r="4" spans="2:32" s="72" customFormat="1" x14ac:dyDescent="0.25">
      <c r="D4" s="72">
        <v>1</v>
      </c>
      <c r="E4" s="72">
        <v>2</v>
      </c>
      <c r="F4" s="72">
        <v>3</v>
      </c>
      <c r="G4" s="72">
        <v>4</v>
      </c>
      <c r="H4" s="72">
        <v>5</v>
      </c>
      <c r="I4" s="72">
        <v>6</v>
      </c>
      <c r="J4" s="72">
        <v>7</v>
      </c>
      <c r="K4" s="72">
        <v>8</v>
      </c>
      <c r="L4" s="72">
        <v>9</v>
      </c>
      <c r="M4" s="72">
        <v>10</v>
      </c>
      <c r="N4" s="72">
        <v>11</v>
      </c>
      <c r="O4" s="72">
        <v>12</v>
      </c>
      <c r="P4" s="72">
        <v>13</v>
      </c>
      <c r="Q4" s="72">
        <v>14</v>
      </c>
      <c r="R4" s="72">
        <v>15</v>
      </c>
      <c r="S4" s="72">
        <v>16</v>
      </c>
      <c r="T4" s="72">
        <v>17</v>
      </c>
      <c r="U4" s="72">
        <v>18</v>
      </c>
      <c r="V4" s="72">
        <v>19</v>
      </c>
      <c r="W4" s="72">
        <v>20</v>
      </c>
      <c r="X4" s="72">
        <v>21</v>
      </c>
      <c r="Y4" s="72">
        <v>22</v>
      </c>
      <c r="Z4" s="72">
        <v>23</v>
      </c>
      <c r="AA4" s="72">
        <v>24</v>
      </c>
      <c r="AC4" s="74" t="s">
        <v>100</v>
      </c>
      <c r="AE4" s="72" t="s">
        <v>78</v>
      </c>
      <c r="AF4" s="75">
        <f>(SUM((AC5:AC35))/30)</f>
        <v>5.2428061462284008</v>
      </c>
    </row>
    <row r="5" spans="2:32" x14ac:dyDescent="0.25">
      <c r="B5" s="108">
        <v>42370</v>
      </c>
      <c r="C5" s="72">
        <v>1</v>
      </c>
      <c r="D5" s="19">
        <v>0</v>
      </c>
      <c r="E5" s="19">
        <v>0</v>
      </c>
      <c r="F5" s="19">
        <v>0</v>
      </c>
      <c r="G5" s="19">
        <v>0</v>
      </c>
      <c r="H5" s="19">
        <v>0</v>
      </c>
      <c r="I5" s="19">
        <v>0</v>
      </c>
      <c r="J5" s="19">
        <v>0</v>
      </c>
      <c r="K5" s="19">
        <v>26.993953956785738</v>
      </c>
      <c r="L5" s="19">
        <v>186.82980997657717</v>
      </c>
      <c r="M5" s="19">
        <v>393.67990682184279</v>
      </c>
      <c r="N5" s="19">
        <v>585.90341462736819</v>
      </c>
      <c r="O5" s="19">
        <v>721.21958711378409</v>
      </c>
      <c r="P5" s="19">
        <v>894.14935898204465</v>
      </c>
      <c r="Q5" s="19">
        <v>821.89513865700042</v>
      </c>
      <c r="R5" s="19">
        <v>589.05729191752755</v>
      </c>
      <c r="S5" s="19">
        <v>203.50001650465038</v>
      </c>
      <c r="T5" s="19">
        <v>0</v>
      </c>
      <c r="U5" s="19">
        <v>0</v>
      </c>
      <c r="V5" s="19">
        <v>0</v>
      </c>
      <c r="W5" s="19">
        <v>0</v>
      </c>
      <c r="X5" s="19">
        <v>0</v>
      </c>
      <c r="Y5" s="19">
        <v>0</v>
      </c>
      <c r="Z5" s="19">
        <v>0</v>
      </c>
      <c r="AA5" s="19">
        <v>0</v>
      </c>
      <c r="AC5" s="76">
        <f>(SUM((D5:AA5))/1000)</f>
        <v>4.4232284785575811</v>
      </c>
      <c r="AD5" s="77"/>
      <c r="AE5" s="72" t="s">
        <v>93</v>
      </c>
      <c r="AF5" s="75">
        <f>(SUM((AC36:AC63))/28)</f>
        <v>5.8730506348125271</v>
      </c>
    </row>
    <row r="6" spans="2:32" x14ac:dyDescent="0.25">
      <c r="B6" s="108">
        <v>42371</v>
      </c>
      <c r="C6" s="72">
        <f>B6-$B$5+1</f>
        <v>2</v>
      </c>
      <c r="D6" s="19">
        <v>0</v>
      </c>
      <c r="E6" s="19">
        <v>0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28.253148524449234</v>
      </c>
      <c r="L6" s="19">
        <v>192.47739449477788</v>
      </c>
      <c r="M6" s="19">
        <v>403.03334780039472</v>
      </c>
      <c r="N6" s="19">
        <v>599.63045965089759</v>
      </c>
      <c r="O6" s="19">
        <v>743.74091771636358</v>
      </c>
      <c r="P6" s="19">
        <v>896.17307022899377</v>
      </c>
      <c r="Q6" s="19">
        <v>824.2670287697938</v>
      </c>
      <c r="R6" s="19">
        <v>591.89219848324092</v>
      </c>
      <c r="S6" s="19">
        <v>205.89330895839598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9">
        <v>0</v>
      </c>
      <c r="Z6" s="19">
        <v>0</v>
      </c>
      <c r="AA6" s="19">
        <v>0</v>
      </c>
      <c r="AC6" s="76">
        <f t="shared" ref="AC6:AC69" si="0">(SUM((D6:AA6))/1000)</f>
        <v>4.4853608746273075</v>
      </c>
      <c r="AD6" s="77"/>
      <c r="AE6" s="72" t="s">
        <v>80</v>
      </c>
      <c r="AF6" s="75">
        <f>(SUM((AC64:AC94))/31)</f>
        <v>6.6516645000205754</v>
      </c>
    </row>
    <row r="7" spans="2:32" x14ac:dyDescent="0.25">
      <c r="B7" s="108">
        <v>42372</v>
      </c>
      <c r="C7" s="72">
        <f t="shared" ref="C7:C70" si="1">B7-$B$5+1</f>
        <v>3</v>
      </c>
      <c r="D7" s="19">
        <v>0</v>
      </c>
      <c r="E7" s="19">
        <v>0</v>
      </c>
      <c r="F7" s="19">
        <v>0</v>
      </c>
      <c r="G7" s="19">
        <v>0</v>
      </c>
      <c r="H7" s="19">
        <v>0</v>
      </c>
      <c r="I7" s="19">
        <v>0</v>
      </c>
      <c r="J7" s="19">
        <v>0</v>
      </c>
      <c r="K7" s="19">
        <v>28.917672166631895</v>
      </c>
      <c r="L7" s="19">
        <v>192.90698745389395</v>
      </c>
      <c r="M7" s="19">
        <v>401.18057448039116</v>
      </c>
      <c r="N7" s="19">
        <v>594.95027496558612</v>
      </c>
      <c r="O7" s="19">
        <v>732.87370903370004</v>
      </c>
      <c r="P7" s="19">
        <v>898.31352940959698</v>
      </c>
      <c r="Q7" s="19">
        <v>826.78792004136221</v>
      </c>
      <c r="R7" s="19">
        <v>594.92862756305647</v>
      </c>
      <c r="S7" s="19">
        <v>208.49826386430524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9">
        <v>0</v>
      </c>
      <c r="Z7" s="19">
        <v>0</v>
      </c>
      <c r="AA7" s="19">
        <v>0</v>
      </c>
      <c r="AC7" s="76">
        <f t="shared" si="0"/>
        <v>4.4793575589785233</v>
      </c>
      <c r="AD7" s="77"/>
      <c r="AE7" s="72" t="s">
        <v>81</v>
      </c>
      <c r="AF7" s="75">
        <f>(SUM((AC95:AC124))/30)</f>
        <v>6.6022489793714083</v>
      </c>
    </row>
    <row r="8" spans="2:32" x14ac:dyDescent="0.25">
      <c r="B8" s="108">
        <v>42373</v>
      </c>
      <c r="C8" s="72">
        <f t="shared" si="1"/>
        <v>4</v>
      </c>
      <c r="D8" s="19">
        <v>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19">
        <v>0</v>
      </c>
      <c r="K8" s="19">
        <v>29.246930524432521</v>
      </c>
      <c r="L8" s="19">
        <v>192.0635652412349</v>
      </c>
      <c r="M8" s="19">
        <v>398.39979987840928</v>
      </c>
      <c r="N8" s="19">
        <v>592.55247194960987</v>
      </c>
      <c r="O8" s="19">
        <v>733.91737463111372</v>
      </c>
      <c r="P8" s="19">
        <v>900.5678127508761</v>
      </c>
      <c r="Q8" s="19">
        <v>829.45442554678948</v>
      </c>
      <c r="R8" s="19">
        <v>598.16294519868427</v>
      </c>
      <c r="S8" s="19">
        <v>211.31756240841335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19">
        <v>0</v>
      </c>
      <c r="Z8" s="19">
        <v>0</v>
      </c>
      <c r="AA8" s="19">
        <v>0</v>
      </c>
      <c r="AC8" s="76">
        <f t="shared" si="0"/>
        <v>4.4856828881295634</v>
      </c>
      <c r="AD8" s="77"/>
      <c r="AE8" s="72" t="s">
        <v>83</v>
      </c>
      <c r="AF8" s="75">
        <f>(SUM((AC125:AC155))/31)</f>
        <v>6.1551713877326826</v>
      </c>
    </row>
    <row r="9" spans="2:32" x14ac:dyDescent="0.25">
      <c r="B9" s="108">
        <v>42374</v>
      </c>
      <c r="C9" s="72">
        <f t="shared" si="1"/>
        <v>5</v>
      </c>
      <c r="D9" s="19">
        <v>0</v>
      </c>
      <c r="E9" s="19">
        <v>0</v>
      </c>
      <c r="F9" s="19">
        <v>0</v>
      </c>
      <c r="G9" s="19">
        <v>0</v>
      </c>
      <c r="H9" s="19">
        <v>0</v>
      </c>
      <c r="I9" s="19">
        <v>0</v>
      </c>
      <c r="J9" s="19">
        <v>0</v>
      </c>
      <c r="K9" s="19">
        <v>30.297636601746465</v>
      </c>
      <c r="L9" s="19">
        <v>196.38022971329892</v>
      </c>
      <c r="M9" s="19">
        <v>408.40380273890986</v>
      </c>
      <c r="N9" s="19">
        <v>605.64932207533809</v>
      </c>
      <c r="O9" s="19">
        <v>748.56915121269856</v>
      </c>
      <c r="P9" s="19">
        <v>902.93277566440656</v>
      </c>
      <c r="Q9" s="19">
        <v>832.26289787206656</v>
      </c>
      <c r="R9" s="19">
        <v>601.59120948408577</v>
      </c>
      <c r="S9" s="19">
        <v>214.35377701815239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19">
        <v>0</v>
      </c>
      <c r="Z9" s="19">
        <v>0</v>
      </c>
      <c r="AA9" s="19">
        <v>0</v>
      </c>
      <c r="AC9" s="76">
        <f t="shared" si="0"/>
        <v>4.5404408023807026</v>
      </c>
      <c r="AD9" s="77"/>
      <c r="AE9" s="72" t="s">
        <v>84</v>
      </c>
      <c r="AF9" s="75">
        <f>(SUM((AC156:AC185))/30)</f>
        <v>5.7295685884256491</v>
      </c>
    </row>
    <row r="10" spans="2:32" x14ac:dyDescent="0.25">
      <c r="B10" s="108">
        <v>42375</v>
      </c>
      <c r="C10" s="72">
        <f t="shared" si="1"/>
        <v>6</v>
      </c>
      <c r="D10" s="19">
        <v>0</v>
      </c>
      <c r="E10" s="19">
        <v>0</v>
      </c>
      <c r="F10" s="19">
        <v>0</v>
      </c>
      <c r="G10" s="19">
        <v>0</v>
      </c>
      <c r="H10" s="19">
        <v>0</v>
      </c>
      <c r="I10" s="19">
        <v>0</v>
      </c>
      <c r="J10" s="19">
        <v>0</v>
      </c>
      <c r="K10" s="19">
        <v>31.229397646489208</v>
      </c>
      <c r="L10" s="19">
        <v>198.03589869524922</v>
      </c>
      <c r="M10" s="19">
        <v>411.12430218890205</v>
      </c>
      <c r="N10" s="19">
        <v>607.69250051836184</v>
      </c>
      <c r="O10" s="19">
        <v>746.34498881805757</v>
      </c>
      <c r="P10" s="19">
        <v>905.40505959781524</v>
      </c>
      <c r="Q10" s="19">
        <v>835.2094367778443</v>
      </c>
      <c r="R10" s="19">
        <v>605.20917504503996</v>
      </c>
      <c r="S10" s="19">
        <v>217.60931438500657</v>
      </c>
      <c r="T10" s="19">
        <v>0</v>
      </c>
      <c r="U10" s="19">
        <v>0</v>
      </c>
      <c r="V10" s="19">
        <v>0</v>
      </c>
      <c r="W10" s="19">
        <v>0</v>
      </c>
      <c r="X10" s="19">
        <v>0</v>
      </c>
      <c r="Y10" s="19">
        <v>0</v>
      </c>
      <c r="Z10" s="19">
        <v>0</v>
      </c>
      <c r="AA10" s="19">
        <v>0</v>
      </c>
      <c r="AC10" s="76">
        <f t="shared" si="0"/>
        <v>4.5578600736727655</v>
      </c>
      <c r="AD10" s="77"/>
      <c r="AE10" s="72" t="s">
        <v>85</v>
      </c>
      <c r="AF10" s="75">
        <f>(SUM((AC186:AC216))/31)</f>
        <v>5.6726729126103486</v>
      </c>
    </row>
    <row r="11" spans="2:32" x14ac:dyDescent="0.25">
      <c r="B11" s="108">
        <v>42376</v>
      </c>
      <c r="C11" s="72">
        <f t="shared" si="1"/>
        <v>7</v>
      </c>
      <c r="D11" s="19">
        <v>0</v>
      </c>
      <c r="E11" s="19">
        <v>0</v>
      </c>
      <c r="F11" s="19">
        <v>0</v>
      </c>
      <c r="G11" s="19">
        <v>0</v>
      </c>
      <c r="H11" s="19">
        <v>0</v>
      </c>
      <c r="I11" s="19">
        <v>0</v>
      </c>
      <c r="J11" s="19">
        <v>0</v>
      </c>
      <c r="K11" s="19">
        <v>31.326785539467309</v>
      </c>
      <c r="L11" s="19">
        <v>195.25680873442153</v>
      </c>
      <c r="M11" s="19">
        <v>404.17640022063296</v>
      </c>
      <c r="N11" s="19">
        <v>598.92300921557944</v>
      </c>
      <c r="O11" s="19">
        <v>737.14280155156632</v>
      </c>
      <c r="P11" s="19">
        <v>907.98109935155026</v>
      </c>
      <c r="Q11" s="19">
        <v>838.28989742725673</v>
      </c>
      <c r="R11" s="19">
        <v>609.01229827289876</v>
      </c>
      <c r="S11" s="19">
        <v>221.08635840269613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C11" s="76">
        <f t="shared" si="0"/>
        <v>4.5431954587160694</v>
      </c>
      <c r="AD11" s="77"/>
      <c r="AE11" s="72" t="s">
        <v>86</v>
      </c>
      <c r="AF11" s="75">
        <f>(SUM((AC217:AC247))/31)</f>
        <v>5.9548491495416105</v>
      </c>
    </row>
    <row r="12" spans="2:32" x14ac:dyDescent="0.25">
      <c r="B12" s="108">
        <v>42377</v>
      </c>
      <c r="C12" s="72">
        <f t="shared" si="1"/>
        <v>8</v>
      </c>
      <c r="D12" s="19">
        <v>0</v>
      </c>
      <c r="E12" s="19">
        <v>0</v>
      </c>
      <c r="F12" s="19">
        <v>0</v>
      </c>
      <c r="G12" s="19">
        <v>0</v>
      </c>
      <c r="H12" s="19">
        <v>0</v>
      </c>
      <c r="I12" s="19">
        <v>0</v>
      </c>
      <c r="J12" s="19">
        <v>0</v>
      </c>
      <c r="K12" s="19">
        <v>32.105284779287047</v>
      </c>
      <c r="L12" s="19">
        <v>195.88157177778663</v>
      </c>
      <c r="M12" s="19">
        <v>404.1486734344162</v>
      </c>
      <c r="N12" s="19">
        <v>600.03566050893107</v>
      </c>
      <c r="O12" s="19">
        <v>738.80837476121076</v>
      </c>
      <c r="P12" s="19">
        <v>910.65713083675314</v>
      </c>
      <c r="Q12" s="19">
        <v>841.49989915589231</v>
      </c>
      <c r="R12" s="19">
        <v>612.99574335019452</v>
      </c>
      <c r="S12" s="19">
        <v>224.78681374484484</v>
      </c>
      <c r="T12" s="19">
        <v>0</v>
      </c>
      <c r="U12" s="19">
        <v>0</v>
      </c>
      <c r="V12" s="19">
        <v>0</v>
      </c>
      <c r="W12" s="19">
        <v>0</v>
      </c>
      <c r="X12" s="19">
        <v>0</v>
      </c>
      <c r="Y12" s="19">
        <v>0</v>
      </c>
      <c r="Z12" s="19">
        <v>0</v>
      </c>
      <c r="AA12" s="19">
        <v>0</v>
      </c>
      <c r="AC12" s="76">
        <f t="shared" si="0"/>
        <v>4.5609191523493164</v>
      </c>
      <c r="AD12" s="77"/>
      <c r="AE12" s="72" t="s">
        <v>87</v>
      </c>
      <c r="AF12" s="75">
        <f>(SUM((AC248:AC277))/30)</f>
        <v>6.1164953077602702</v>
      </c>
    </row>
    <row r="13" spans="2:32" x14ac:dyDescent="0.25">
      <c r="B13" s="108">
        <v>42378</v>
      </c>
      <c r="C13" s="72">
        <f t="shared" si="1"/>
        <v>9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9">
        <v>0</v>
      </c>
      <c r="J13" s="19">
        <v>0</v>
      </c>
      <c r="K13" s="19">
        <v>33.101387082115863</v>
      </c>
      <c r="L13" s="19">
        <v>198.91505274766544</v>
      </c>
      <c r="M13" s="19">
        <v>409.23971905726415</v>
      </c>
      <c r="N13" s="19">
        <v>605.81679842546521</v>
      </c>
      <c r="O13" s="19">
        <v>746.4474777995822</v>
      </c>
      <c r="P13" s="19">
        <v>913.42919924869614</v>
      </c>
      <c r="Q13" s="19">
        <v>844.83483475971411</v>
      </c>
      <c r="R13" s="19">
        <v>617.15438909862632</v>
      </c>
      <c r="S13" s="19">
        <v>228.71225080532855</v>
      </c>
      <c r="T13" s="19">
        <v>1135.7801968781087</v>
      </c>
      <c r="U13" s="19">
        <v>0</v>
      </c>
      <c r="V13" s="19">
        <v>0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C13" s="76">
        <f t="shared" si="0"/>
        <v>5.7334313059025668</v>
      </c>
      <c r="AD13" s="77"/>
      <c r="AE13" s="72" t="s">
        <v>88</v>
      </c>
      <c r="AF13" s="75">
        <f>(SUM((AC278:AC308))/31)</f>
        <v>5.7079996758626299</v>
      </c>
    </row>
    <row r="14" spans="2:32" x14ac:dyDescent="0.25">
      <c r="B14" s="108">
        <v>42379</v>
      </c>
      <c r="C14" s="72">
        <f t="shared" si="1"/>
        <v>10</v>
      </c>
      <c r="D14" s="19">
        <v>0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33.81816233712884</v>
      </c>
      <c r="L14" s="19">
        <v>198.7045089194996</v>
      </c>
      <c r="M14" s="19">
        <v>408.63330244158726</v>
      </c>
      <c r="N14" s="19">
        <v>604.76817568460854</v>
      </c>
      <c r="O14" s="19">
        <v>745.21523700573232</v>
      </c>
      <c r="P14" s="19">
        <v>916.29316762894359</v>
      </c>
      <c r="Q14" s="19">
        <v>848.28988027448372</v>
      </c>
      <c r="R14" s="19">
        <v>621.48283667191947</v>
      </c>
      <c r="S14" s="19">
        <v>232.86385271507672</v>
      </c>
      <c r="T14" s="19">
        <v>973.21610527060943</v>
      </c>
      <c r="U14" s="19">
        <v>0</v>
      </c>
      <c r="V14" s="19">
        <v>0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C14" s="76">
        <f t="shared" si="0"/>
        <v>5.5832852289495891</v>
      </c>
      <c r="AD14" s="77"/>
      <c r="AE14" s="72" t="s">
        <v>89</v>
      </c>
      <c r="AF14" s="75">
        <f>(SUM((AC309:AC338))/30)</f>
        <v>5.1288206048717901</v>
      </c>
    </row>
    <row r="15" spans="2:32" x14ac:dyDescent="0.25">
      <c r="B15" s="108">
        <v>42380</v>
      </c>
      <c r="C15" s="72">
        <f t="shared" si="1"/>
        <v>11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35.369511546017662</v>
      </c>
      <c r="L15" s="19">
        <v>205.02714985306514</v>
      </c>
      <c r="M15" s="19">
        <v>419.90790986342535</v>
      </c>
      <c r="N15" s="19">
        <v>619.57898703654314</v>
      </c>
      <c r="O15" s="19">
        <v>761.19376485512851</v>
      </c>
      <c r="P15" s="19">
        <v>919.2447257882269</v>
      </c>
      <c r="Q15" s="19">
        <v>851.86000521805317</v>
      </c>
      <c r="R15" s="19">
        <v>625.97541810727478</v>
      </c>
      <c r="S15" s="19">
        <v>237.24236513003063</v>
      </c>
      <c r="T15" s="19">
        <v>801.99012601910817</v>
      </c>
      <c r="U15" s="19">
        <v>0</v>
      </c>
      <c r="V15" s="19">
        <v>0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C15" s="76">
        <f t="shared" si="0"/>
        <v>5.477389963416873</v>
      </c>
      <c r="AD15" s="77"/>
      <c r="AE15" s="72" t="s">
        <v>90</v>
      </c>
      <c r="AF15" s="75">
        <f>(SUM((AC339:AC369))/31)</f>
        <v>4.4609265983680793</v>
      </c>
    </row>
    <row r="16" spans="2:32" x14ac:dyDescent="0.25">
      <c r="B16" s="108">
        <v>42381</v>
      </c>
      <c r="C16" s="72">
        <f t="shared" si="1"/>
        <v>12</v>
      </c>
      <c r="D16" s="19">
        <v>0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19">
        <v>0</v>
      </c>
      <c r="K16" s="19">
        <v>36.45410639558601</v>
      </c>
      <c r="L16" s="19">
        <v>206.58644766070719</v>
      </c>
      <c r="M16" s="19">
        <v>422.091657433938</v>
      </c>
      <c r="N16" s="19">
        <v>620.79435457355885</v>
      </c>
      <c r="O16" s="19">
        <v>764.36893523367462</v>
      </c>
      <c r="P16" s="19">
        <v>922.27939956104456</v>
      </c>
      <c r="Q16" s="19">
        <v>855.53998326479211</v>
      </c>
      <c r="R16" s="19">
        <v>630.62620573985578</v>
      </c>
      <c r="S16" s="19">
        <v>241.84804945544835</v>
      </c>
      <c r="T16" s="19">
        <v>637.0938714570425</v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C16" s="76">
        <f t="shared" si="0"/>
        <v>5.337683010775649</v>
      </c>
      <c r="AD16" s="77"/>
      <c r="AE16" s="72"/>
    </row>
    <row r="17" spans="2:31" x14ac:dyDescent="0.25">
      <c r="B17" s="108">
        <v>42382</v>
      </c>
      <c r="C17" s="72">
        <f t="shared" si="1"/>
        <v>13</v>
      </c>
      <c r="D17" s="19">
        <v>0</v>
      </c>
      <c r="E17" s="19">
        <v>0</v>
      </c>
      <c r="F17" s="19">
        <v>0</v>
      </c>
      <c r="G17" s="19">
        <v>0</v>
      </c>
      <c r="H17" s="19">
        <v>0</v>
      </c>
      <c r="I17" s="19">
        <v>0</v>
      </c>
      <c r="J17" s="19">
        <v>0</v>
      </c>
      <c r="K17" s="19">
        <v>37.463033276796956</v>
      </c>
      <c r="L17" s="19">
        <v>206.83342999692408</v>
      </c>
      <c r="M17" s="19">
        <v>421.63461712181993</v>
      </c>
      <c r="N17" s="19">
        <v>621.49722815558357</v>
      </c>
      <c r="O17" s="19">
        <v>761.71802895788051</v>
      </c>
      <c r="P17" s="19">
        <v>925.39256036208474</v>
      </c>
      <c r="Q17" s="19">
        <v>859.32440331947555</v>
      </c>
      <c r="R17" s="19">
        <v>635.42902247516361</v>
      </c>
      <c r="S17" s="19">
        <v>246.68064013108972</v>
      </c>
      <c r="T17" s="19">
        <v>488.30238629700403</v>
      </c>
      <c r="U17" s="19">
        <v>0</v>
      </c>
      <c r="V17" s="19">
        <v>0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C17" s="76">
        <f t="shared" si="0"/>
        <v>5.2042753500938224</v>
      </c>
      <c r="AD17" s="77"/>
      <c r="AE17" s="72"/>
    </row>
    <row r="18" spans="2:31" x14ac:dyDescent="0.25">
      <c r="B18" s="108">
        <v>42383</v>
      </c>
      <c r="C18" s="72">
        <f t="shared" si="1"/>
        <v>14</v>
      </c>
      <c r="D18" s="19">
        <v>0</v>
      </c>
      <c r="E18" s="19">
        <v>0</v>
      </c>
      <c r="F18" s="19">
        <v>0</v>
      </c>
      <c r="G18" s="19">
        <v>0</v>
      </c>
      <c r="H18" s="19">
        <v>0</v>
      </c>
      <c r="I18" s="19">
        <v>0</v>
      </c>
      <c r="J18" s="19">
        <v>0</v>
      </c>
      <c r="K18" s="19">
        <v>38.007742964945862</v>
      </c>
      <c r="L18" s="19">
        <v>206.34398570780735</v>
      </c>
      <c r="M18" s="19">
        <v>419.08139787964944</v>
      </c>
      <c r="N18" s="19">
        <v>617.36112501624405</v>
      </c>
      <c r="O18" s="19">
        <v>758.93220562186298</v>
      </c>
      <c r="P18" s="19">
        <v>928.57943501388013</v>
      </c>
      <c r="Q18" s="19">
        <v>863.20768095615301</v>
      </c>
      <c r="R18" s="19">
        <v>640.37745290445753</v>
      </c>
      <c r="S18" s="19">
        <v>251.73930654977875</v>
      </c>
      <c r="T18" s="19">
        <v>362.12343696707705</v>
      </c>
      <c r="U18" s="19">
        <v>0</v>
      </c>
      <c r="V18" s="19">
        <v>0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C18" s="76">
        <f t="shared" si="0"/>
        <v>5.0857537695818573</v>
      </c>
      <c r="AD18" s="77"/>
      <c r="AE18" s="72"/>
    </row>
    <row r="19" spans="2:31" x14ac:dyDescent="0.25">
      <c r="B19" s="108">
        <v>42384</v>
      </c>
      <c r="C19" s="72">
        <f t="shared" si="1"/>
        <v>15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39.350974913790303</v>
      </c>
      <c r="L19" s="19">
        <v>209.92480017364679</v>
      </c>
      <c r="M19" s="19">
        <v>425.82502725746616</v>
      </c>
      <c r="N19" s="19">
        <v>631.2247850375561</v>
      </c>
      <c r="O19" s="19">
        <v>778.44164101629497</v>
      </c>
      <c r="P19" s="19">
        <v>931.83511581456196</v>
      </c>
      <c r="Q19" s="19">
        <v>867.18407018591142</v>
      </c>
      <c r="R19" s="19">
        <v>645.46485523879846</v>
      </c>
      <c r="S19" s="19">
        <v>257.02262011845119</v>
      </c>
      <c r="T19" s="19">
        <v>261.89054782595434</v>
      </c>
      <c r="U19" s="19">
        <v>0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C19" s="76">
        <f t="shared" si="0"/>
        <v>5.0481644375824315</v>
      </c>
      <c r="AD19" s="77"/>
      <c r="AE19" s="72"/>
    </row>
    <row r="20" spans="2:31" x14ac:dyDescent="0.25">
      <c r="B20" s="108">
        <v>42385</v>
      </c>
      <c r="C20" s="72">
        <f t="shared" si="1"/>
        <v>16</v>
      </c>
      <c r="D20" s="19">
        <v>0</v>
      </c>
      <c r="E20" s="19">
        <v>0</v>
      </c>
      <c r="F20" s="19">
        <v>0</v>
      </c>
      <c r="G20" s="19">
        <v>0</v>
      </c>
      <c r="H20" s="19">
        <v>0</v>
      </c>
      <c r="I20" s="19">
        <v>0</v>
      </c>
      <c r="J20" s="19">
        <v>0</v>
      </c>
      <c r="K20" s="19">
        <v>41.340635682618931</v>
      </c>
      <c r="L20" s="19">
        <v>216.83130734824829</v>
      </c>
      <c r="M20" s="19">
        <v>435.54534126204948</v>
      </c>
      <c r="N20" s="19">
        <v>636.95412445945294</v>
      </c>
      <c r="O20" s="19">
        <v>780.36846454685258</v>
      </c>
      <c r="P20" s="19">
        <v>935.15457081416696</v>
      </c>
      <c r="Q20" s="19">
        <v>871.24767551606681</v>
      </c>
      <c r="R20" s="19">
        <v>650.68437402796599</v>
      </c>
      <c r="S20" s="19">
        <v>262.52852689678917</v>
      </c>
      <c r="T20" s="19">
        <v>187.79096379720042</v>
      </c>
      <c r="U20" s="19">
        <v>0</v>
      </c>
      <c r="V20" s="19">
        <v>0</v>
      </c>
      <c r="W20" s="19">
        <v>0</v>
      </c>
      <c r="X20" s="19">
        <v>0</v>
      </c>
      <c r="Y20" s="19">
        <v>0</v>
      </c>
      <c r="Z20" s="19">
        <v>0</v>
      </c>
      <c r="AA20" s="19">
        <v>0</v>
      </c>
      <c r="AC20" s="76">
        <f t="shared" si="0"/>
        <v>5.0184459843514126</v>
      </c>
      <c r="AD20" s="77"/>
      <c r="AE20" s="72"/>
    </row>
    <row r="21" spans="2:31" x14ac:dyDescent="0.25">
      <c r="B21" s="108">
        <v>42386</v>
      </c>
      <c r="C21" s="72">
        <f t="shared" si="1"/>
        <v>17</v>
      </c>
      <c r="D21" s="19">
        <v>0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41.92906280374666</v>
      </c>
      <c r="L21" s="19">
        <v>214.4661330554591</v>
      </c>
      <c r="M21" s="19">
        <v>431.44504159121419</v>
      </c>
      <c r="N21" s="19">
        <v>631.53834884957485</v>
      </c>
      <c r="O21" s="19">
        <v>774.32545752789679</v>
      </c>
      <c r="P21" s="19">
        <v>938.53265426777205</v>
      </c>
      <c r="Q21" s="19">
        <v>875.392464262163</v>
      </c>
      <c r="R21" s="19">
        <v>656.0289536217108</v>
      </c>
      <c r="S21" s="19">
        <v>268.25432616500808</v>
      </c>
      <c r="T21" s="19">
        <v>137.30328203793417</v>
      </c>
      <c r="U21" s="19">
        <v>0</v>
      </c>
      <c r="V21" s="19">
        <v>0</v>
      </c>
      <c r="W21" s="19">
        <v>0</v>
      </c>
      <c r="X21" s="19">
        <v>0</v>
      </c>
      <c r="Y21" s="19">
        <v>0</v>
      </c>
      <c r="Z21" s="19">
        <v>0</v>
      </c>
      <c r="AA21" s="19">
        <v>0</v>
      </c>
      <c r="AC21" s="76">
        <f t="shared" si="0"/>
        <v>4.9692157241824795</v>
      </c>
      <c r="AD21" s="77"/>
      <c r="AE21" s="72"/>
    </row>
    <row r="22" spans="2:31" x14ac:dyDescent="0.25">
      <c r="B22" s="108">
        <v>42387</v>
      </c>
      <c r="C22" s="72">
        <f t="shared" si="1"/>
        <v>18</v>
      </c>
      <c r="D22" s="19">
        <v>0</v>
      </c>
      <c r="E22" s="19">
        <v>0</v>
      </c>
      <c r="F22" s="19">
        <v>0</v>
      </c>
      <c r="G22" s="19">
        <v>0</v>
      </c>
      <c r="H22" s="19">
        <v>0</v>
      </c>
      <c r="I22" s="19">
        <v>0</v>
      </c>
      <c r="J22" s="19">
        <v>0</v>
      </c>
      <c r="K22" s="19">
        <v>42.602617594356779</v>
      </c>
      <c r="L22" s="19">
        <v>212.55274835047319</v>
      </c>
      <c r="M22" s="19">
        <v>426.59832623536704</v>
      </c>
      <c r="N22" s="19">
        <v>628.9462629910405</v>
      </c>
      <c r="O22" s="19">
        <v>775.08946153307193</v>
      </c>
      <c r="P22" s="19">
        <v>941.96411723366111</v>
      </c>
      <c r="Q22" s="19">
        <v>879.61227907325633</v>
      </c>
      <c r="R22" s="19">
        <v>661.4913523225905</v>
      </c>
      <c r="S22" s="19">
        <v>274.19665518093217</v>
      </c>
      <c r="T22" s="19">
        <v>106.1329796846791</v>
      </c>
      <c r="U22" s="19">
        <v>0</v>
      </c>
      <c r="V22" s="19">
        <v>0</v>
      </c>
      <c r="W22" s="19">
        <v>0</v>
      </c>
      <c r="X22" s="19">
        <v>0</v>
      </c>
      <c r="Y22" s="19">
        <v>0</v>
      </c>
      <c r="Z22" s="19">
        <v>0</v>
      </c>
      <c r="AA22" s="19">
        <v>0</v>
      </c>
      <c r="AC22" s="76">
        <f t="shared" si="0"/>
        <v>4.9491868001994286</v>
      </c>
      <c r="AD22" s="77"/>
      <c r="AE22" s="72"/>
    </row>
    <row r="23" spans="2:31" x14ac:dyDescent="0.25">
      <c r="B23" s="108">
        <v>42388</v>
      </c>
      <c r="C23" s="72">
        <f t="shared" si="1"/>
        <v>19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43.924797930953837</v>
      </c>
      <c r="L23" s="19">
        <v>216.24798734672513</v>
      </c>
      <c r="M23" s="19">
        <v>432.59339509470658</v>
      </c>
      <c r="N23" s="19">
        <v>633.80568127704953</v>
      </c>
      <c r="O23" s="19">
        <v>777.48827002261999</v>
      </c>
      <c r="P23" s="19">
        <v>945.44361828486046</v>
      </c>
      <c r="Q23" s="19">
        <v>883.90085063035883</v>
      </c>
      <c r="R23" s="19">
        <v>667.0641571722357</v>
      </c>
      <c r="S23" s="19">
        <v>280.35148028934617</v>
      </c>
      <c r="T23" s="19">
        <v>89.448288029623669</v>
      </c>
      <c r="U23" s="19">
        <v>0</v>
      </c>
      <c r="V23" s="19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C23" s="76">
        <f t="shared" si="0"/>
        <v>4.9702685260784794</v>
      </c>
      <c r="AD23" s="77"/>
      <c r="AE23" s="72"/>
    </row>
    <row r="24" spans="2:31" x14ac:dyDescent="0.25">
      <c r="B24" s="108">
        <v>42389</v>
      </c>
      <c r="C24" s="72">
        <f t="shared" si="1"/>
        <v>20</v>
      </c>
      <c r="D24" s="19">
        <v>0</v>
      </c>
      <c r="E24" s="19">
        <v>0</v>
      </c>
      <c r="F24" s="19">
        <v>0</v>
      </c>
      <c r="G24" s="19">
        <v>0</v>
      </c>
      <c r="H24" s="19">
        <v>0</v>
      </c>
      <c r="I24" s="19">
        <v>0</v>
      </c>
      <c r="J24" s="19">
        <v>0</v>
      </c>
      <c r="K24" s="19">
        <v>45.154308137956122</v>
      </c>
      <c r="L24" s="19">
        <v>216.65002846020192</v>
      </c>
      <c r="M24" s="19">
        <v>432.47388691088997</v>
      </c>
      <c r="N24" s="19">
        <v>634.9827900638403</v>
      </c>
      <c r="O24" s="19">
        <v>781.75643256013495</v>
      </c>
      <c r="P24" s="19">
        <v>948.96573430267244</v>
      </c>
      <c r="Q24" s="19">
        <v>888.25181047753665</v>
      </c>
      <c r="R24" s="19">
        <v>672.73979930636051</v>
      </c>
      <c r="S24" s="19">
        <v>286.71409444605285</v>
      </c>
      <c r="T24" s="19">
        <v>83.053760431377057</v>
      </c>
      <c r="U24" s="19">
        <v>0</v>
      </c>
      <c r="V24" s="19">
        <v>0</v>
      </c>
      <c r="W24" s="19">
        <v>0</v>
      </c>
      <c r="X24" s="19">
        <v>0</v>
      </c>
      <c r="Y24" s="19">
        <v>0</v>
      </c>
      <c r="Z24" s="19">
        <v>0</v>
      </c>
      <c r="AA24" s="19">
        <v>0</v>
      </c>
      <c r="AC24" s="76">
        <f t="shared" si="0"/>
        <v>4.990742645097022</v>
      </c>
      <c r="AD24" s="77"/>
      <c r="AE24" s="72"/>
    </row>
    <row r="25" spans="2:31" x14ac:dyDescent="0.25">
      <c r="B25" s="108">
        <v>42390</v>
      </c>
      <c r="C25" s="72">
        <f t="shared" si="1"/>
        <v>21</v>
      </c>
      <c r="D25" s="19">
        <v>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46.206502322898125</v>
      </c>
      <c r="L25" s="19">
        <v>218.47463336934246</v>
      </c>
      <c r="M25" s="19">
        <v>433.91987275599524</v>
      </c>
      <c r="N25" s="19">
        <v>634.27497110944671</v>
      </c>
      <c r="O25" s="19">
        <v>777.59572108129532</v>
      </c>
      <c r="P25" s="19">
        <v>952.52497132127405</v>
      </c>
      <c r="Q25" s="19">
        <v>892.65870394512228</v>
      </c>
      <c r="R25" s="19">
        <v>678.51056980830333</v>
      </c>
      <c r="S25" s="19">
        <v>293.27912111783741</v>
      </c>
      <c r="T25" s="19">
        <v>84.191159083840986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C25" s="76">
        <f t="shared" si="0"/>
        <v>5.011636225915356</v>
      </c>
      <c r="AD25" s="77"/>
      <c r="AE25" s="72"/>
    </row>
    <row r="26" spans="2:31" x14ac:dyDescent="0.25">
      <c r="B26" s="108">
        <v>42391</v>
      </c>
      <c r="C26" s="72">
        <f t="shared" si="1"/>
        <v>22</v>
      </c>
      <c r="D26" s="19">
        <v>0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47.03463690284439</v>
      </c>
      <c r="L26" s="19">
        <v>218.52265720398378</v>
      </c>
      <c r="M26" s="19">
        <v>432.78648101267879</v>
      </c>
      <c r="N26" s="19">
        <v>631.64242904737569</v>
      </c>
      <c r="O26" s="19">
        <v>775.57676523391058</v>
      </c>
      <c r="P26" s="19">
        <v>956.1157753930521</v>
      </c>
      <c r="Q26" s="19">
        <v>897.11500312468661</v>
      </c>
      <c r="R26" s="19">
        <v>684.36863598637046</v>
      </c>
      <c r="S26" s="19">
        <v>300.04052442031184</v>
      </c>
      <c r="T26" s="19">
        <v>91.900697000005252</v>
      </c>
      <c r="U26" s="19">
        <v>0</v>
      </c>
      <c r="V26" s="19">
        <v>0</v>
      </c>
      <c r="W26" s="19">
        <v>0</v>
      </c>
      <c r="X26" s="19">
        <v>0</v>
      </c>
      <c r="Y26" s="19">
        <v>0</v>
      </c>
      <c r="Z26" s="19">
        <v>0</v>
      </c>
      <c r="AA26" s="19">
        <v>0</v>
      </c>
      <c r="AC26" s="76">
        <f t="shared" si="0"/>
        <v>5.0351036053252205</v>
      </c>
      <c r="AD26" s="77"/>
      <c r="AE26" s="72"/>
    </row>
    <row r="27" spans="2:31" x14ac:dyDescent="0.25">
      <c r="B27" s="108">
        <v>42392</v>
      </c>
      <c r="C27" s="72">
        <f t="shared" si="1"/>
        <v>23</v>
      </c>
      <c r="D27" s="19">
        <v>0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48.084497826417412</v>
      </c>
      <c r="L27" s="19">
        <v>219.65887208441711</v>
      </c>
      <c r="M27" s="19">
        <v>434.58248908054492</v>
      </c>
      <c r="N27" s="19">
        <v>635.06222188024083</v>
      </c>
      <c r="O27" s="19">
        <v>778.05231608333656</v>
      </c>
      <c r="P27" s="19">
        <v>959.7325434450795</v>
      </c>
      <c r="Q27" s="19">
        <v>901.61411985592315</v>
      </c>
      <c r="R27" s="19">
        <v>690.30605799685054</v>
      </c>
      <c r="S27" s="19">
        <v>306.99162526100889</v>
      </c>
      <c r="T27" s="19">
        <v>107.12325500304324</v>
      </c>
      <c r="U27" s="19">
        <v>0</v>
      </c>
      <c r="V27" s="19">
        <v>0</v>
      </c>
      <c r="W27" s="19">
        <v>0</v>
      </c>
      <c r="X27" s="19">
        <v>0</v>
      </c>
      <c r="Y27" s="19">
        <v>0</v>
      </c>
      <c r="Z27" s="19">
        <v>0</v>
      </c>
      <c r="AA27" s="19">
        <v>0</v>
      </c>
      <c r="AC27" s="76">
        <f t="shared" si="0"/>
        <v>5.0812079985168621</v>
      </c>
      <c r="AD27" s="77"/>
      <c r="AE27" s="72"/>
    </row>
    <row r="28" spans="2:31" x14ac:dyDescent="0.25">
      <c r="B28" s="108">
        <v>42393</v>
      </c>
      <c r="C28" s="72">
        <f t="shared" si="1"/>
        <v>24</v>
      </c>
      <c r="D28" s="19">
        <v>0</v>
      </c>
      <c r="E28" s="19">
        <v>0</v>
      </c>
      <c r="F28" s="19">
        <v>0</v>
      </c>
      <c r="G28" s="19">
        <v>0</v>
      </c>
      <c r="H28" s="19">
        <v>0</v>
      </c>
      <c r="I28" s="19">
        <v>0</v>
      </c>
      <c r="J28" s="19">
        <v>0</v>
      </c>
      <c r="K28" s="19">
        <v>49.24390913974829</v>
      </c>
      <c r="L28" s="19">
        <v>221.41649072531754</v>
      </c>
      <c r="M28" s="19">
        <v>436.31316752007996</v>
      </c>
      <c r="N28" s="19">
        <v>634.24619438355342</v>
      </c>
      <c r="O28" s="19">
        <v>776.68563870565299</v>
      </c>
      <c r="P28" s="19">
        <v>963.36963409802081</v>
      </c>
      <c r="Q28" s="19">
        <v>906.14941868631979</v>
      </c>
      <c r="R28" s="19">
        <v>696.31480573223837</v>
      </c>
      <c r="S28" s="19">
        <v>314.12512316768232</v>
      </c>
      <c r="T28" s="19">
        <v>132.74449717216874</v>
      </c>
      <c r="U28" s="19">
        <v>0</v>
      </c>
      <c r="V28" s="19">
        <v>0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C28" s="76">
        <f t="shared" si="0"/>
        <v>5.1306088793307829</v>
      </c>
      <c r="AD28" s="77"/>
      <c r="AE28" s="72"/>
    </row>
    <row r="29" spans="2:31" x14ac:dyDescent="0.25">
      <c r="B29" s="108">
        <v>42394</v>
      </c>
      <c r="C29" s="72">
        <f t="shared" si="1"/>
        <v>25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50.569053127253234</v>
      </c>
      <c r="L29" s="19">
        <v>223.19432404295509</v>
      </c>
      <c r="M29" s="19">
        <v>438.2768843404063</v>
      </c>
      <c r="N29" s="19">
        <v>636.67669273265767</v>
      </c>
      <c r="O29" s="19">
        <v>779.96557732994552</v>
      </c>
      <c r="P29" s="19">
        <v>967.02137841973138</v>
      </c>
      <c r="Q29" s="19">
        <v>910.71422976551264</v>
      </c>
      <c r="R29" s="19">
        <v>702.38677589296572</v>
      </c>
      <c r="S29" s="19">
        <v>321.43312340354697</v>
      </c>
      <c r="T29" s="19">
        <v>173.40093768800722</v>
      </c>
      <c r="U29" s="19">
        <v>0</v>
      </c>
      <c r="V29" s="19">
        <v>0</v>
      </c>
      <c r="W29" s="19">
        <v>0</v>
      </c>
      <c r="X29" s="19">
        <v>0</v>
      </c>
      <c r="Y29" s="19">
        <v>0</v>
      </c>
      <c r="Z29" s="19">
        <v>0</v>
      </c>
      <c r="AA29" s="19">
        <v>0</v>
      </c>
      <c r="AC29" s="76">
        <f t="shared" si="0"/>
        <v>5.2036389767429823</v>
      </c>
      <c r="AD29" s="77"/>
      <c r="AE29" s="72"/>
    </row>
    <row r="30" spans="2:31" x14ac:dyDescent="0.25">
      <c r="B30" s="108">
        <v>42395</v>
      </c>
      <c r="C30" s="72">
        <f t="shared" si="1"/>
        <v>26</v>
      </c>
      <c r="D30" s="19">
        <v>0</v>
      </c>
      <c r="E30" s="19">
        <v>0</v>
      </c>
      <c r="F30" s="19">
        <v>0</v>
      </c>
      <c r="G30" s="19">
        <v>0</v>
      </c>
      <c r="H30" s="19">
        <v>0</v>
      </c>
      <c r="I30" s="19">
        <v>0</v>
      </c>
      <c r="J30" s="19">
        <v>0</v>
      </c>
      <c r="K30" s="19">
        <v>51.787321533535085</v>
      </c>
      <c r="L30" s="19">
        <v>224.50946038577487</v>
      </c>
      <c r="M30" s="19">
        <v>438.44675672488216</v>
      </c>
      <c r="N30" s="19">
        <v>641.18425590118136</v>
      </c>
      <c r="O30" s="19">
        <v>787.7674764519162</v>
      </c>
      <c r="P30" s="19">
        <v>970.6820905869306</v>
      </c>
      <c r="Q30" s="19">
        <v>915.30186163743178</v>
      </c>
      <c r="R30" s="19">
        <v>708.51380916076459</v>
      </c>
      <c r="S30" s="19">
        <v>328.90716890405116</v>
      </c>
      <c r="T30" s="19">
        <v>234.01570409046272</v>
      </c>
      <c r="U30" s="19">
        <v>0</v>
      </c>
      <c r="V30" s="19">
        <v>0</v>
      </c>
      <c r="W30" s="19">
        <v>0</v>
      </c>
      <c r="X30" s="19">
        <v>0</v>
      </c>
      <c r="Y30" s="19">
        <v>0</v>
      </c>
      <c r="Z30" s="19">
        <v>0</v>
      </c>
      <c r="AA30" s="19">
        <v>0</v>
      </c>
      <c r="AC30" s="76">
        <f t="shared" si="0"/>
        <v>5.3011159053769301</v>
      </c>
      <c r="AD30" s="77"/>
      <c r="AE30" s="72"/>
    </row>
    <row r="31" spans="2:31" x14ac:dyDescent="0.25">
      <c r="B31" s="108">
        <v>42396</v>
      </c>
      <c r="C31" s="72">
        <f t="shared" si="1"/>
        <v>27</v>
      </c>
      <c r="D31" s="19">
        <v>0</v>
      </c>
      <c r="E31" s="19">
        <v>0</v>
      </c>
      <c r="F31" s="19">
        <v>0</v>
      </c>
      <c r="G31" s="19">
        <v>0</v>
      </c>
      <c r="H31" s="19">
        <v>0</v>
      </c>
      <c r="I31" s="19">
        <v>0</v>
      </c>
      <c r="J31" s="19">
        <v>0</v>
      </c>
      <c r="K31" s="19">
        <v>53.301095513804007</v>
      </c>
      <c r="L31" s="19">
        <v>227.27405627026283</v>
      </c>
      <c r="M31" s="19">
        <v>442.75871700602266</v>
      </c>
      <c r="N31" s="19">
        <v>640.16525031028812</v>
      </c>
      <c r="O31" s="19">
        <v>785.95915785343016</v>
      </c>
      <c r="P31" s="19">
        <v>974.3460784295072</v>
      </c>
      <c r="Q31" s="19">
        <v>919.90561389477512</v>
      </c>
      <c r="R31" s="19">
        <v>714.68770739257184</v>
      </c>
      <c r="S31" s="19">
        <v>336.5382765149248</v>
      </c>
      <c r="T31" s="19">
        <v>315.33117798638273</v>
      </c>
      <c r="U31" s="19">
        <v>0</v>
      </c>
      <c r="V31" s="19">
        <v>0</v>
      </c>
      <c r="W31" s="19">
        <v>0</v>
      </c>
      <c r="X31" s="19">
        <v>0</v>
      </c>
      <c r="Y31" s="19">
        <v>0</v>
      </c>
      <c r="Z31" s="19">
        <v>0</v>
      </c>
      <c r="AA31" s="19">
        <v>0</v>
      </c>
      <c r="AC31" s="76">
        <f t="shared" si="0"/>
        <v>5.4102671311719694</v>
      </c>
      <c r="AD31" s="77"/>
      <c r="AE31" s="72"/>
    </row>
    <row r="32" spans="2:31" x14ac:dyDescent="0.25">
      <c r="B32" s="108">
        <v>42397</v>
      </c>
      <c r="C32" s="72">
        <f t="shared" si="1"/>
        <v>28</v>
      </c>
      <c r="D32" s="19">
        <v>0</v>
      </c>
      <c r="E32" s="19">
        <v>0</v>
      </c>
      <c r="F32" s="19">
        <v>0</v>
      </c>
      <c r="G32" s="19">
        <v>0</v>
      </c>
      <c r="H32" s="19">
        <v>0</v>
      </c>
      <c r="I32" s="19">
        <v>0</v>
      </c>
      <c r="J32" s="19">
        <v>0</v>
      </c>
      <c r="K32" s="19">
        <v>54.546480001609574</v>
      </c>
      <c r="L32" s="19">
        <v>229.74009184176228</v>
      </c>
      <c r="M32" s="19">
        <v>445.90424855723734</v>
      </c>
      <c r="N32" s="19">
        <v>647.11355602486901</v>
      </c>
      <c r="O32" s="19">
        <v>794.96774223159207</v>
      </c>
      <c r="P32" s="19">
        <v>978.00765383329781</v>
      </c>
      <c r="Q32" s="19">
        <v>924.51878966198888</v>
      </c>
      <c r="R32" s="19">
        <v>720.90025075563199</v>
      </c>
      <c r="S32" s="19">
        <v>344.31697696951869</v>
      </c>
      <c r="T32" s="19">
        <v>406.93121576296591</v>
      </c>
      <c r="U32" s="19">
        <v>0</v>
      </c>
      <c r="V32" s="19">
        <v>0</v>
      </c>
      <c r="W32" s="19">
        <v>0</v>
      </c>
      <c r="X32" s="19">
        <v>0</v>
      </c>
      <c r="Y32" s="19">
        <v>0</v>
      </c>
      <c r="Z32" s="19">
        <v>0</v>
      </c>
      <c r="AA32" s="19">
        <v>0</v>
      </c>
      <c r="AC32" s="76">
        <f t="shared" si="0"/>
        <v>5.5469470056404733</v>
      </c>
      <c r="AD32" s="77"/>
      <c r="AE32" s="72"/>
    </row>
    <row r="33" spans="2:31" x14ac:dyDescent="0.25">
      <c r="B33" s="108">
        <v>42398</v>
      </c>
      <c r="C33" s="72">
        <f t="shared" si="1"/>
        <v>29</v>
      </c>
      <c r="D33" s="19">
        <v>0</v>
      </c>
      <c r="E33" s="19">
        <v>0</v>
      </c>
      <c r="F33" s="19">
        <v>0</v>
      </c>
      <c r="G33" s="19">
        <v>0</v>
      </c>
      <c r="H33" s="19">
        <v>0</v>
      </c>
      <c r="I33" s="19">
        <v>0</v>
      </c>
      <c r="J33" s="19">
        <v>0</v>
      </c>
      <c r="K33" s="19">
        <v>56.119607365543757</v>
      </c>
      <c r="L33" s="19">
        <v>232.06140392991892</v>
      </c>
      <c r="M33" s="19">
        <v>449.6273131037326</v>
      </c>
      <c r="N33" s="19">
        <v>651.98004069339333</v>
      </c>
      <c r="O33" s="19">
        <v>797.40689170513224</v>
      </c>
      <c r="P33" s="19">
        <v>981.66114297851084</v>
      </c>
      <c r="Q33" s="19">
        <v>929.13470787470919</v>
      </c>
      <c r="R33" s="19">
        <v>727.14321472703614</v>
      </c>
      <c r="S33" s="19">
        <v>352.23335801519318</v>
      </c>
      <c r="T33" s="19">
        <v>467.04566748940766</v>
      </c>
      <c r="U33" s="19">
        <v>0</v>
      </c>
      <c r="V33" s="19">
        <v>0</v>
      </c>
      <c r="W33" s="19">
        <v>0</v>
      </c>
      <c r="X33" s="19">
        <v>0</v>
      </c>
      <c r="Y33" s="19">
        <v>0</v>
      </c>
      <c r="Z33" s="19">
        <v>0</v>
      </c>
      <c r="AA33" s="19">
        <v>0</v>
      </c>
      <c r="AC33" s="76">
        <f t="shared" si="0"/>
        <v>5.644413347882578</v>
      </c>
      <c r="AD33" s="77"/>
      <c r="AE33" s="72"/>
    </row>
    <row r="34" spans="2:31" x14ac:dyDescent="0.25">
      <c r="B34" s="108">
        <v>42399</v>
      </c>
      <c r="C34" s="72">
        <f t="shared" si="1"/>
        <v>30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9">
        <v>0</v>
      </c>
      <c r="J34" s="19">
        <v>0</v>
      </c>
      <c r="K34" s="19">
        <v>57.555713533806724</v>
      </c>
      <c r="L34" s="19">
        <v>235.10730641208303</v>
      </c>
      <c r="M34" s="19">
        <v>454.49446344886849</v>
      </c>
      <c r="N34" s="19">
        <v>657.42324850135049</v>
      </c>
      <c r="O34" s="19">
        <v>805.76047388718814</v>
      </c>
      <c r="P34" s="19">
        <v>985.30089639235757</v>
      </c>
      <c r="Q34" s="19">
        <v>933.74671532551906</v>
      </c>
      <c r="R34" s="19">
        <v>733.40838688426891</v>
      </c>
      <c r="S34" s="19">
        <v>360.27711008352139</v>
      </c>
      <c r="T34" s="19">
        <v>514.26316854373829</v>
      </c>
      <c r="U34" s="19">
        <v>0</v>
      </c>
      <c r="V34" s="19">
        <v>0</v>
      </c>
      <c r="W34" s="19">
        <v>0</v>
      </c>
      <c r="X34" s="19">
        <v>0</v>
      </c>
      <c r="Y34" s="19">
        <v>0</v>
      </c>
      <c r="Z34" s="19">
        <v>0</v>
      </c>
      <c r="AA34" s="19">
        <v>0</v>
      </c>
      <c r="AC34" s="76">
        <f t="shared" si="0"/>
        <v>5.737337483012702</v>
      </c>
      <c r="AD34" s="77"/>
      <c r="AE34" s="72"/>
    </row>
    <row r="35" spans="2:31" x14ac:dyDescent="0.25">
      <c r="B35" s="108">
        <v>42400</v>
      </c>
      <c r="C35" s="72">
        <f t="shared" si="1"/>
        <v>31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58.959580174337923</v>
      </c>
      <c r="L35" s="19">
        <v>235.74322352330699</v>
      </c>
      <c r="M35" s="19">
        <v>453.97125803327674</v>
      </c>
      <c r="N35" s="19">
        <v>656.01889523516559</v>
      </c>
      <c r="O35" s="19">
        <v>802.30073249251177</v>
      </c>
      <c r="P35" s="19">
        <v>988.92129879587617</v>
      </c>
      <c r="Q35" s="19">
        <v>938.34819844794288</v>
      </c>
      <c r="R35" s="19">
        <v>739.68758341729927</v>
      </c>
      <c r="S35" s="19">
        <v>368.43757389680752</v>
      </c>
      <c r="T35" s="19">
        <v>495.63145029618505</v>
      </c>
      <c r="U35" s="19">
        <v>0</v>
      </c>
      <c r="V35" s="19">
        <v>0</v>
      </c>
      <c r="W35" s="19">
        <v>0</v>
      </c>
      <c r="X35" s="19">
        <v>0</v>
      </c>
      <c r="Y35" s="19">
        <v>0</v>
      </c>
      <c r="Z35" s="19">
        <v>0</v>
      </c>
      <c r="AA35" s="19">
        <v>0</v>
      </c>
      <c r="AC35" s="76">
        <f t="shared" si="0"/>
        <v>5.7380197943127103</v>
      </c>
      <c r="AD35" s="77"/>
      <c r="AE35" s="72"/>
    </row>
    <row r="36" spans="2:31" x14ac:dyDescent="0.25">
      <c r="B36" s="108">
        <v>42401</v>
      </c>
      <c r="C36" s="72">
        <f t="shared" si="1"/>
        <v>32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9">
        <v>0</v>
      </c>
      <c r="J36" s="19">
        <v>0</v>
      </c>
      <c r="K36" s="19">
        <v>60.038777300925076</v>
      </c>
      <c r="L36" s="19">
        <v>237.60646720812815</v>
      </c>
      <c r="M36" s="19">
        <v>455.15218064780635</v>
      </c>
      <c r="N36" s="19">
        <v>654.79069958897117</v>
      </c>
      <c r="O36" s="19">
        <v>801.70097509897607</v>
      </c>
      <c r="P36" s="19">
        <v>992.51677872637197</v>
      </c>
      <c r="Q36" s="19">
        <v>942.93259481267967</v>
      </c>
      <c r="R36" s="19">
        <v>745.97266529731758</v>
      </c>
      <c r="S36" s="19">
        <v>376.70378941301402</v>
      </c>
      <c r="T36" s="19">
        <v>442.82573441904282</v>
      </c>
      <c r="U36" s="19">
        <v>0</v>
      </c>
      <c r="V36" s="19">
        <v>0</v>
      </c>
      <c r="W36" s="19">
        <v>0</v>
      </c>
      <c r="X36" s="19">
        <v>0</v>
      </c>
      <c r="Y36" s="19">
        <v>0</v>
      </c>
      <c r="Z36" s="19">
        <v>0</v>
      </c>
      <c r="AA36" s="19">
        <v>0</v>
      </c>
      <c r="AC36" s="76">
        <f t="shared" si="0"/>
        <v>5.7102406625132334</v>
      </c>
      <c r="AD36" s="77"/>
      <c r="AE36" s="72"/>
    </row>
    <row r="37" spans="2:31" x14ac:dyDescent="0.25">
      <c r="B37" s="108">
        <v>42402</v>
      </c>
      <c r="C37" s="72">
        <f t="shared" si="1"/>
        <v>33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61.194700427467509</v>
      </c>
      <c r="L37" s="19">
        <v>238.03521499665726</v>
      </c>
      <c r="M37" s="19">
        <v>455.96297000591534</v>
      </c>
      <c r="N37" s="19">
        <v>659.04160458632248</v>
      </c>
      <c r="O37" s="19">
        <v>806.64630223595702</v>
      </c>
      <c r="P37" s="19">
        <v>996.08181791837387</v>
      </c>
      <c r="Q37" s="19">
        <v>947.49340431225949</v>
      </c>
      <c r="R37" s="19">
        <v>752.25555404214936</v>
      </c>
      <c r="S37" s="19">
        <v>385.06454553127901</v>
      </c>
      <c r="T37" s="19">
        <v>370.4438455668286</v>
      </c>
      <c r="U37" s="19">
        <v>0</v>
      </c>
      <c r="V37" s="19">
        <v>0</v>
      </c>
      <c r="W37" s="19">
        <v>0</v>
      </c>
      <c r="X37" s="19">
        <v>0</v>
      </c>
      <c r="Y37" s="19">
        <v>0</v>
      </c>
      <c r="Z37" s="19">
        <v>0</v>
      </c>
      <c r="AA37" s="19">
        <v>0</v>
      </c>
      <c r="AC37" s="76">
        <f t="shared" si="0"/>
        <v>5.6722199596232095</v>
      </c>
      <c r="AD37" s="77"/>
      <c r="AE37" s="72"/>
    </row>
    <row r="38" spans="2:31" x14ac:dyDescent="0.25">
      <c r="B38" s="108">
        <v>42403</v>
      </c>
      <c r="C38" s="72">
        <f t="shared" si="1"/>
        <v>34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9">
        <v>0</v>
      </c>
      <c r="J38" s="19">
        <v>0</v>
      </c>
      <c r="K38" s="19">
        <v>63.432894670790681</v>
      </c>
      <c r="L38" s="19">
        <v>244.44061656930353</v>
      </c>
      <c r="M38" s="19">
        <v>467.50874408402734</v>
      </c>
      <c r="N38" s="19">
        <v>675.00143097938849</v>
      </c>
      <c r="O38" s="19">
        <v>823.17146219100994</v>
      </c>
      <c r="P38" s="19">
        <v>999.61096042742963</v>
      </c>
      <c r="Q38" s="19">
        <v>952.02420001250471</v>
      </c>
      <c r="R38" s="19">
        <v>758.52824702372027</v>
      </c>
      <c r="S38" s="19">
        <v>393.50843000956621</v>
      </c>
      <c r="T38" s="19">
        <v>301.8444353892491</v>
      </c>
      <c r="U38" s="19">
        <v>0</v>
      </c>
      <c r="V38" s="19">
        <v>0</v>
      </c>
      <c r="W38" s="19">
        <v>0</v>
      </c>
      <c r="X38" s="19">
        <v>0</v>
      </c>
      <c r="Y38" s="19">
        <v>0</v>
      </c>
      <c r="Z38" s="19">
        <v>0</v>
      </c>
      <c r="AA38" s="19">
        <v>0</v>
      </c>
      <c r="AC38" s="76">
        <f t="shared" si="0"/>
        <v>5.6790714213569888</v>
      </c>
      <c r="AD38" s="77"/>
      <c r="AE38" s="72"/>
    </row>
    <row r="39" spans="2:31" x14ac:dyDescent="0.25">
      <c r="B39" s="108">
        <v>42404</v>
      </c>
      <c r="C39" s="72">
        <f t="shared" si="1"/>
        <v>35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9">
        <v>0</v>
      </c>
      <c r="K39" s="19">
        <v>65.436979875615208</v>
      </c>
      <c r="L39" s="19">
        <v>248.22522833843556</v>
      </c>
      <c r="M39" s="19">
        <v>471.22019610640319</v>
      </c>
      <c r="N39" s="19">
        <v>677.97197033391967</v>
      </c>
      <c r="O39" s="19">
        <v>828.35615412671245</v>
      </c>
      <c r="P39" s="19">
        <v>1003.0988214825192</v>
      </c>
      <c r="Q39" s="19">
        <v>956.51863865137068</v>
      </c>
      <c r="R39" s="19">
        <v>764.78283226844201</v>
      </c>
      <c r="S39" s="19">
        <v>402.02387908290137</v>
      </c>
      <c r="T39" s="19">
        <v>244.99912041870505</v>
      </c>
      <c r="U39" s="19">
        <v>0</v>
      </c>
      <c r="V39" s="19">
        <v>0</v>
      </c>
      <c r="W39" s="19">
        <v>0</v>
      </c>
      <c r="X39" s="19">
        <v>0</v>
      </c>
      <c r="Y39" s="19">
        <v>0</v>
      </c>
      <c r="Z39" s="19">
        <v>0</v>
      </c>
      <c r="AA39" s="19">
        <v>0</v>
      </c>
      <c r="AC39" s="76">
        <f t="shared" si="0"/>
        <v>5.6626338206850253</v>
      </c>
      <c r="AD39" s="77"/>
      <c r="AE39" s="72"/>
    </row>
    <row r="40" spans="2:31" x14ac:dyDescent="0.25">
      <c r="B40" s="108">
        <v>42405</v>
      </c>
      <c r="C40" s="72">
        <f t="shared" si="1"/>
        <v>36</v>
      </c>
      <c r="D40" s="19">
        <v>0</v>
      </c>
      <c r="E40" s="19">
        <v>0</v>
      </c>
      <c r="F40" s="19">
        <v>0</v>
      </c>
      <c r="G40" s="19">
        <v>0</v>
      </c>
      <c r="H40" s="19">
        <v>0</v>
      </c>
      <c r="I40" s="19">
        <v>0</v>
      </c>
      <c r="J40" s="19">
        <v>0</v>
      </c>
      <c r="K40" s="19">
        <v>66.332872812370297</v>
      </c>
      <c r="L40" s="19">
        <v>246.77072160954441</v>
      </c>
      <c r="M40" s="19">
        <v>465.27280396438221</v>
      </c>
      <c r="N40" s="19">
        <v>669.83890020066212</v>
      </c>
      <c r="O40" s="19">
        <v>817.98163415917895</v>
      </c>
      <c r="P40" s="19">
        <v>1006.5400960542704</v>
      </c>
      <c r="Q40" s="19">
        <v>960.97047076796741</v>
      </c>
      <c r="R40" s="19">
        <v>771.01150270710559</v>
      </c>
      <c r="S40" s="19">
        <v>410.59922631362338</v>
      </c>
      <c r="T40" s="19">
        <v>201.36524270612074</v>
      </c>
      <c r="U40" s="19">
        <v>0</v>
      </c>
      <c r="V40" s="19">
        <v>0</v>
      </c>
      <c r="W40" s="19">
        <v>0</v>
      </c>
      <c r="X40" s="19">
        <v>0</v>
      </c>
      <c r="Y40" s="19">
        <v>0</v>
      </c>
      <c r="Z40" s="19">
        <v>0</v>
      </c>
      <c r="AA40" s="19">
        <v>0</v>
      </c>
      <c r="AC40" s="76">
        <f t="shared" si="0"/>
        <v>5.616683471295226</v>
      </c>
      <c r="AD40" s="77"/>
      <c r="AE40" s="72"/>
    </row>
    <row r="41" spans="2:31" x14ac:dyDescent="0.25">
      <c r="B41" s="108">
        <v>42406</v>
      </c>
      <c r="C41" s="72">
        <f t="shared" si="1"/>
        <v>37</v>
      </c>
      <c r="D41" s="19">
        <v>0</v>
      </c>
      <c r="E41" s="19">
        <v>0</v>
      </c>
      <c r="F41" s="19">
        <v>0</v>
      </c>
      <c r="G41" s="19">
        <v>0</v>
      </c>
      <c r="H41" s="19">
        <v>0</v>
      </c>
      <c r="I41" s="19">
        <v>0</v>
      </c>
      <c r="J41" s="19">
        <v>0</v>
      </c>
      <c r="K41" s="19">
        <v>66.481679230516818</v>
      </c>
      <c r="L41" s="19">
        <v>246.46357524675798</v>
      </c>
      <c r="M41" s="19">
        <v>465.61158201634095</v>
      </c>
      <c r="N41" s="19">
        <v>665.68801820542262</v>
      </c>
      <c r="O41" s="19">
        <v>812.28960769480261</v>
      </c>
      <c r="P41" s="19">
        <v>1009.9295671275418</v>
      </c>
      <c r="Q41" s="19">
        <v>965.3735504466722</v>
      </c>
      <c r="R41" s="19">
        <v>777.20656983653794</v>
      </c>
      <c r="S41" s="19">
        <v>419.22275025241373</v>
      </c>
      <c r="T41" s="19">
        <v>169.22409069219268</v>
      </c>
      <c r="U41" s="19">
        <v>0</v>
      </c>
      <c r="V41" s="19">
        <v>0</v>
      </c>
      <c r="W41" s="19">
        <v>0</v>
      </c>
      <c r="X41" s="19">
        <v>0</v>
      </c>
      <c r="Y41" s="19">
        <v>0</v>
      </c>
      <c r="Z41" s="19">
        <v>0</v>
      </c>
      <c r="AA41" s="19">
        <v>0</v>
      </c>
      <c r="AC41" s="76">
        <f t="shared" si="0"/>
        <v>5.5974909907491988</v>
      </c>
      <c r="AD41" s="77"/>
      <c r="AE41" s="72"/>
    </row>
    <row r="42" spans="2:31" x14ac:dyDescent="0.25">
      <c r="B42" s="108">
        <v>42407</v>
      </c>
      <c r="C42" s="72">
        <f t="shared" si="1"/>
        <v>38</v>
      </c>
      <c r="D42" s="19">
        <v>0</v>
      </c>
      <c r="E42" s="19">
        <v>0</v>
      </c>
      <c r="F42" s="19">
        <v>0</v>
      </c>
      <c r="G42" s="19">
        <v>0</v>
      </c>
      <c r="H42" s="19">
        <v>0</v>
      </c>
      <c r="I42" s="19">
        <v>0</v>
      </c>
      <c r="J42" s="19">
        <v>0</v>
      </c>
      <c r="K42" s="19">
        <v>69.463962220161648</v>
      </c>
      <c r="L42" s="19">
        <v>253.97749482055846</v>
      </c>
      <c r="M42" s="19">
        <v>478.92055279432486</v>
      </c>
      <c r="N42" s="19">
        <v>685.77195445252084</v>
      </c>
      <c r="O42" s="19">
        <v>837.13591307221236</v>
      </c>
      <c r="P42" s="19">
        <v>1013.2621136682587</v>
      </c>
      <c r="Q42" s="19">
        <v>969.72184466337956</v>
      </c>
      <c r="R42" s="19">
        <v>783.36047676098644</v>
      </c>
      <c r="S42" s="19">
        <v>427.88272053912181</v>
      </c>
      <c r="T42" s="19">
        <v>146.06688584644112</v>
      </c>
      <c r="U42" s="19">
        <v>0</v>
      </c>
      <c r="V42" s="19">
        <v>0</v>
      </c>
      <c r="W42" s="19">
        <v>0</v>
      </c>
      <c r="X42" s="19">
        <v>0</v>
      </c>
      <c r="Y42" s="19">
        <v>0</v>
      </c>
      <c r="Z42" s="19">
        <v>0</v>
      </c>
      <c r="AA42" s="19">
        <v>0</v>
      </c>
      <c r="AC42" s="76">
        <f t="shared" si="0"/>
        <v>5.6655639188379663</v>
      </c>
      <c r="AD42" s="77"/>
      <c r="AE42" s="72"/>
    </row>
    <row r="43" spans="2:31" x14ac:dyDescent="0.25">
      <c r="B43" s="108">
        <v>42408</v>
      </c>
      <c r="C43" s="72">
        <f t="shared" si="1"/>
        <v>39</v>
      </c>
      <c r="D43" s="19">
        <v>0</v>
      </c>
      <c r="E43" s="19">
        <v>0</v>
      </c>
      <c r="F43" s="19">
        <v>0</v>
      </c>
      <c r="G43" s="19">
        <v>0</v>
      </c>
      <c r="H43" s="19">
        <v>0</v>
      </c>
      <c r="I43" s="19">
        <v>0</v>
      </c>
      <c r="J43" s="19">
        <v>0</v>
      </c>
      <c r="K43" s="19">
        <v>70.164134474163092</v>
      </c>
      <c r="L43" s="19">
        <v>252.58205143196179</v>
      </c>
      <c r="M43" s="19">
        <v>474.11416346295459</v>
      </c>
      <c r="N43" s="19">
        <v>676.45577574185893</v>
      </c>
      <c r="O43" s="19">
        <v>828.32412608249308</v>
      </c>
      <c r="P43" s="19">
        <v>1016.5327182756897</v>
      </c>
      <c r="Q43" s="19">
        <v>974.00944222295834</v>
      </c>
      <c r="R43" s="19">
        <v>789.46581058674008</v>
      </c>
      <c r="S43" s="19">
        <v>436.56744212406988</v>
      </c>
      <c r="T43" s="19">
        <v>129.62033960209507</v>
      </c>
      <c r="U43" s="19">
        <v>0</v>
      </c>
      <c r="V43" s="19">
        <v>0</v>
      </c>
      <c r="W43" s="19">
        <v>0</v>
      </c>
      <c r="X43" s="19">
        <v>0</v>
      </c>
      <c r="Y43" s="19">
        <v>0</v>
      </c>
      <c r="Z43" s="19">
        <v>0</v>
      </c>
      <c r="AA43" s="19">
        <v>0</v>
      </c>
      <c r="AC43" s="76">
        <f t="shared" si="0"/>
        <v>5.6478360040049846</v>
      </c>
      <c r="AD43" s="77"/>
      <c r="AE43" s="72"/>
    </row>
    <row r="44" spans="2:31" x14ac:dyDescent="0.25">
      <c r="B44" s="108">
        <v>42409</v>
      </c>
      <c r="C44" s="72">
        <f t="shared" si="1"/>
        <v>40</v>
      </c>
      <c r="D44" s="19">
        <v>0</v>
      </c>
      <c r="E44" s="19">
        <v>0</v>
      </c>
      <c r="F44" s="19">
        <v>0</v>
      </c>
      <c r="G44" s="19">
        <v>0</v>
      </c>
      <c r="H44" s="19">
        <v>0</v>
      </c>
      <c r="I44" s="19">
        <v>0</v>
      </c>
      <c r="J44" s="19">
        <v>0</v>
      </c>
      <c r="K44" s="19">
        <v>71.37025492768575</v>
      </c>
      <c r="L44" s="19">
        <v>255.1838908788786</v>
      </c>
      <c r="M44" s="19">
        <v>476.90448341119611</v>
      </c>
      <c r="N44" s="19">
        <v>681.51361849802799</v>
      </c>
      <c r="O44" s="19">
        <v>827.29157880725745</v>
      </c>
      <c r="P44" s="19">
        <v>1019.7364745125625</v>
      </c>
      <c r="Q44" s="19">
        <v>978.23056227892607</v>
      </c>
      <c r="R44" s="19">
        <v>795.51531414888666</v>
      </c>
      <c r="S44" s="19">
        <v>445.2652973422982</v>
      </c>
      <c r="T44" s="19">
        <v>118.11861767845456</v>
      </c>
      <c r="U44" s="19">
        <v>0</v>
      </c>
      <c r="V44" s="19">
        <v>0</v>
      </c>
      <c r="W44" s="19">
        <v>0</v>
      </c>
      <c r="X44" s="19">
        <v>0</v>
      </c>
      <c r="Y44" s="19">
        <v>0</v>
      </c>
      <c r="Z44" s="19">
        <v>0</v>
      </c>
      <c r="AA44" s="19">
        <v>0</v>
      </c>
      <c r="AC44" s="76">
        <f t="shared" si="0"/>
        <v>5.6691300924841732</v>
      </c>
      <c r="AD44" s="77"/>
      <c r="AE44" s="72"/>
    </row>
    <row r="45" spans="2:31" x14ac:dyDescent="0.25">
      <c r="B45" s="108">
        <v>42410</v>
      </c>
      <c r="C45" s="72">
        <f t="shared" si="1"/>
        <v>41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72.622433281808227</v>
      </c>
      <c r="L45" s="19">
        <v>255.75273179731758</v>
      </c>
      <c r="M45" s="19">
        <v>476.17230621703828</v>
      </c>
      <c r="N45" s="19">
        <v>675.61729704082836</v>
      </c>
      <c r="O45" s="19">
        <v>825.95033202357683</v>
      </c>
      <c r="P45" s="19">
        <v>1022.8685939066047</v>
      </c>
      <c r="Q45" s="19">
        <v>982.37956242822088</v>
      </c>
      <c r="R45" s="19">
        <v>801.50189705426294</v>
      </c>
      <c r="S45" s="19">
        <v>453.96478562407748</v>
      </c>
      <c r="T45" s="19">
        <v>110.2769439860423</v>
      </c>
      <c r="U45" s="19">
        <v>0</v>
      </c>
      <c r="V45" s="19">
        <v>0</v>
      </c>
      <c r="W45" s="19">
        <v>0</v>
      </c>
      <c r="X45" s="19">
        <v>0</v>
      </c>
      <c r="Y45" s="19">
        <v>0</v>
      </c>
      <c r="Z45" s="19">
        <v>0</v>
      </c>
      <c r="AA45" s="19">
        <v>0</v>
      </c>
      <c r="AC45" s="76">
        <f t="shared" si="0"/>
        <v>5.6771068833597775</v>
      </c>
      <c r="AD45" s="77"/>
      <c r="AE45" s="72"/>
    </row>
    <row r="46" spans="2:31" x14ac:dyDescent="0.25">
      <c r="B46" s="108">
        <v>42411</v>
      </c>
      <c r="C46" s="72">
        <f t="shared" si="1"/>
        <v>42</v>
      </c>
      <c r="D46" s="19">
        <v>0</v>
      </c>
      <c r="E46" s="19">
        <v>0</v>
      </c>
      <c r="F46" s="19">
        <v>0</v>
      </c>
      <c r="G46" s="19">
        <v>0</v>
      </c>
      <c r="H46" s="19">
        <v>0</v>
      </c>
      <c r="I46" s="19">
        <v>0</v>
      </c>
      <c r="J46" s="19">
        <v>0</v>
      </c>
      <c r="K46" s="19">
        <v>72.952679789478921</v>
      </c>
      <c r="L46" s="19">
        <v>255.26410137404451</v>
      </c>
      <c r="M46" s="19">
        <v>477.43899330314468</v>
      </c>
      <c r="N46" s="19">
        <v>681.17187777066886</v>
      </c>
      <c r="O46" s="19">
        <v>830.26849597956823</v>
      </c>
      <c r="P46" s="19">
        <v>1025.9244126181813</v>
      </c>
      <c r="Q46" s="19">
        <v>986.45094637568593</v>
      </c>
      <c r="R46" s="19">
        <v>807.41864602951864</v>
      </c>
      <c r="S46" s="19">
        <v>462.65456067386299</v>
      </c>
      <c r="T46" s="19">
        <v>105.18577998546785</v>
      </c>
      <c r="U46" s="19">
        <v>0</v>
      </c>
      <c r="V46" s="19">
        <v>0</v>
      </c>
      <c r="W46" s="19">
        <v>0</v>
      </c>
      <c r="X46" s="19">
        <v>0</v>
      </c>
      <c r="Y46" s="19">
        <v>0</v>
      </c>
      <c r="Z46" s="19">
        <v>0</v>
      </c>
      <c r="AA46" s="19">
        <v>0</v>
      </c>
      <c r="AC46" s="76">
        <f t="shared" si="0"/>
        <v>5.7047304938996222</v>
      </c>
      <c r="AD46" s="77"/>
      <c r="AE46" s="72"/>
    </row>
    <row r="47" spans="2:31" x14ac:dyDescent="0.25">
      <c r="B47" s="108">
        <v>42412</v>
      </c>
      <c r="C47" s="72">
        <f t="shared" si="1"/>
        <v>43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9">
        <v>0</v>
      </c>
      <c r="K47" s="19">
        <v>74.547324654026568</v>
      </c>
      <c r="L47" s="19">
        <v>258.04410476030483</v>
      </c>
      <c r="M47" s="19">
        <v>478.33546983588082</v>
      </c>
      <c r="N47" s="19">
        <v>680.64982290178534</v>
      </c>
      <c r="O47" s="19">
        <v>829.97144718373158</v>
      </c>
      <c r="P47" s="19">
        <v>1028.8993977697526</v>
      </c>
      <c r="Q47" s="19">
        <v>990.43937116453139</v>
      </c>
      <c r="R47" s="19">
        <v>813.25883456777649</v>
      </c>
      <c r="S47" s="19">
        <v>471.32346499603119</v>
      </c>
      <c r="T47" s="19">
        <v>102.20648664096367</v>
      </c>
      <c r="U47" s="19">
        <v>0</v>
      </c>
      <c r="V47" s="19">
        <v>0</v>
      </c>
      <c r="W47" s="19">
        <v>0</v>
      </c>
      <c r="X47" s="19">
        <v>0</v>
      </c>
      <c r="Y47" s="19">
        <v>0</v>
      </c>
      <c r="Z47" s="19">
        <v>0</v>
      </c>
      <c r="AA47" s="19">
        <v>0</v>
      </c>
      <c r="AC47" s="76">
        <f t="shared" si="0"/>
        <v>5.7276757244747847</v>
      </c>
      <c r="AD47" s="77"/>
      <c r="AE47" s="72"/>
    </row>
    <row r="48" spans="2:31" x14ac:dyDescent="0.25">
      <c r="B48" s="108">
        <v>42413</v>
      </c>
      <c r="C48" s="72">
        <f t="shared" si="1"/>
        <v>44</v>
      </c>
      <c r="D48" s="19">
        <v>0</v>
      </c>
      <c r="E48" s="19">
        <v>0</v>
      </c>
      <c r="F48" s="19">
        <v>0</v>
      </c>
      <c r="G48" s="19">
        <v>0</v>
      </c>
      <c r="H48" s="19">
        <v>0</v>
      </c>
      <c r="I48" s="19">
        <v>0</v>
      </c>
      <c r="J48" s="19">
        <v>0</v>
      </c>
      <c r="K48" s="19">
        <v>75.742291350633366</v>
      </c>
      <c r="L48" s="19">
        <v>261.34123542350528</v>
      </c>
      <c r="M48" s="19">
        <v>483.83653769365122</v>
      </c>
      <c r="N48" s="19">
        <v>679.73923287825676</v>
      </c>
      <c r="O48" s="19">
        <v>825.83035369198194</v>
      </c>
      <c r="P48" s="19">
        <v>1031.7891534338507</v>
      </c>
      <c r="Q48" s="19">
        <v>994.33965397056659</v>
      </c>
      <c r="R48" s="19">
        <v>819.01593187161166</v>
      </c>
      <c r="S48" s="19">
        <v>479.96056168861196</v>
      </c>
      <c r="T48" s="19">
        <v>100.88963793269569</v>
      </c>
      <c r="U48" s="19">
        <v>0</v>
      </c>
      <c r="V48" s="19">
        <v>0</v>
      </c>
      <c r="W48" s="19">
        <v>0</v>
      </c>
      <c r="X48" s="19">
        <v>0</v>
      </c>
      <c r="Y48" s="19">
        <v>0</v>
      </c>
      <c r="Z48" s="19">
        <v>0</v>
      </c>
      <c r="AA48" s="19">
        <v>0</v>
      </c>
      <c r="AC48" s="76">
        <f t="shared" si="0"/>
        <v>5.7524845899353654</v>
      </c>
      <c r="AD48" s="77"/>
      <c r="AE48" s="72"/>
    </row>
    <row r="49" spans="2:31" x14ac:dyDescent="0.25">
      <c r="B49" s="108">
        <v>42414</v>
      </c>
      <c r="C49" s="72">
        <f t="shared" si="1"/>
        <v>45</v>
      </c>
      <c r="D49" s="19">
        <v>0</v>
      </c>
      <c r="E49" s="19">
        <v>0</v>
      </c>
      <c r="F49" s="19">
        <v>0</v>
      </c>
      <c r="G49" s="19">
        <v>0</v>
      </c>
      <c r="H49" s="19">
        <v>0</v>
      </c>
      <c r="I49" s="19">
        <v>0</v>
      </c>
      <c r="J49" s="19">
        <v>0</v>
      </c>
      <c r="K49" s="19">
        <v>78.432003643350598</v>
      </c>
      <c r="L49" s="19">
        <v>265.66601105189807</v>
      </c>
      <c r="M49" s="19">
        <v>486.47952601327381</v>
      </c>
      <c r="N49" s="19">
        <v>695.48846267584577</v>
      </c>
      <c r="O49" s="19">
        <v>849.27597773997627</v>
      </c>
      <c r="P49" s="19">
        <v>1034.5894262771774</v>
      </c>
      <c r="Q49" s="19">
        <v>998.14677845939912</v>
      </c>
      <c r="R49" s="19">
        <v>824.68361109390401</v>
      </c>
      <c r="S49" s="19">
        <v>488.55516346533653</v>
      </c>
      <c r="T49" s="19">
        <v>100.91627992886315</v>
      </c>
      <c r="U49" s="19">
        <v>0</v>
      </c>
      <c r="V49" s="19">
        <v>0</v>
      </c>
      <c r="W49" s="19">
        <v>0</v>
      </c>
      <c r="X49" s="19">
        <v>0</v>
      </c>
      <c r="Y49" s="19">
        <v>0</v>
      </c>
      <c r="Z49" s="19">
        <v>0</v>
      </c>
      <c r="AA49" s="19">
        <v>0</v>
      </c>
      <c r="AC49" s="76">
        <f t="shared" si="0"/>
        <v>5.8222332403490249</v>
      </c>
      <c r="AD49" s="77"/>
      <c r="AE49" s="72"/>
    </row>
    <row r="50" spans="2:31" x14ac:dyDescent="0.25">
      <c r="B50" s="108">
        <v>42415</v>
      </c>
      <c r="C50" s="72">
        <f t="shared" si="1"/>
        <v>46</v>
      </c>
      <c r="D50" s="19">
        <v>0</v>
      </c>
      <c r="E50" s="19">
        <v>0</v>
      </c>
      <c r="F50" s="19">
        <v>0</v>
      </c>
      <c r="G50" s="19">
        <v>0</v>
      </c>
      <c r="H50" s="19">
        <v>0</v>
      </c>
      <c r="I50" s="19">
        <v>0</v>
      </c>
      <c r="J50" s="19">
        <v>0</v>
      </c>
      <c r="K50" s="19">
        <v>80.736809189339724</v>
      </c>
      <c r="L50" s="19">
        <v>270.34338512298774</v>
      </c>
      <c r="M50" s="19">
        <v>504.16130083193104</v>
      </c>
      <c r="N50" s="19">
        <v>715.17351589371106</v>
      </c>
      <c r="O50" s="19">
        <v>866.33098544472728</v>
      </c>
      <c r="P50" s="19">
        <v>1037.2961108592547</v>
      </c>
      <c r="Q50" s="19">
        <v>1001.8559007070805</v>
      </c>
      <c r="R50" s="19">
        <v>830.25575688162212</v>
      </c>
      <c r="S50" s="19">
        <v>497.09685890139286</v>
      </c>
      <c r="T50" s="19">
        <v>102.05710790765889</v>
      </c>
      <c r="U50" s="19">
        <v>0</v>
      </c>
      <c r="V50" s="19">
        <v>0</v>
      </c>
      <c r="W50" s="19">
        <v>0</v>
      </c>
      <c r="X50" s="19">
        <v>0</v>
      </c>
      <c r="Y50" s="19">
        <v>0</v>
      </c>
      <c r="Z50" s="19">
        <v>0</v>
      </c>
      <c r="AA50" s="19">
        <v>0</v>
      </c>
      <c r="AC50" s="76">
        <f t="shared" si="0"/>
        <v>5.9053077317397058</v>
      </c>
      <c r="AD50" s="77"/>
      <c r="AE50" s="72"/>
    </row>
    <row r="51" spans="2:31" x14ac:dyDescent="0.25">
      <c r="B51" s="108">
        <v>42416</v>
      </c>
      <c r="C51" s="72">
        <f t="shared" si="1"/>
        <v>47</v>
      </c>
      <c r="D51" s="19">
        <v>0</v>
      </c>
      <c r="E51" s="19">
        <v>0</v>
      </c>
      <c r="F51" s="19">
        <v>0</v>
      </c>
      <c r="G51" s="19">
        <v>0</v>
      </c>
      <c r="H51" s="19">
        <v>0</v>
      </c>
      <c r="I51" s="19">
        <v>0</v>
      </c>
      <c r="J51" s="19">
        <v>0</v>
      </c>
      <c r="K51" s="19">
        <v>82.9061385233788</v>
      </c>
      <c r="L51" s="19">
        <v>274.31024137810431</v>
      </c>
      <c r="M51" s="19">
        <v>501.65946859040969</v>
      </c>
      <c r="N51" s="19">
        <v>712.93790066478573</v>
      </c>
      <c r="O51" s="19">
        <v>866.49326210159666</v>
      </c>
      <c r="P51" s="19">
        <v>1039.9052545848729</v>
      </c>
      <c r="Q51" s="19">
        <v>1005.4623546858828</v>
      </c>
      <c r="R51" s="19">
        <v>835.72647223075057</v>
      </c>
      <c r="S51" s="19">
        <v>505.57553592930651</v>
      </c>
      <c r="T51" s="19">
        <v>104.14441203877993</v>
      </c>
      <c r="U51" s="19">
        <v>0</v>
      </c>
      <c r="V51" s="19">
        <v>0</v>
      </c>
      <c r="W51" s="19">
        <v>0</v>
      </c>
      <c r="X51" s="19">
        <v>0</v>
      </c>
      <c r="Y51" s="19">
        <v>0</v>
      </c>
      <c r="Z51" s="19">
        <v>0</v>
      </c>
      <c r="AA51" s="19">
        <v>0</v>
      </c>
      <c r="AC51" s="76">
        <f t="shared" si="0"/>
        <v>5.9291210407278676</v>
      </c>
      <c r="AD51" s="77"/>
      <c r="AE51" s="72"/>
    </row>
    <row r="52" spans="2:31" x14ac:dyDescent="0.25">
      <c r="B52" s="108">
        <v>42417</v>
      </c>
      <c r="C52" s="72">
        <f t="shared" si="1"/>
        <v>48</v>
      </c>
      <c r="D52" s="19">
        <v>0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9">
        <v>0</v>
      </c>
      <c r="K52" s="19">
        <v>83.804919193327081</v>
      </c>
      <c r="L52" s="19">
        <v>277.04885918032073</v>
      </c>
      <c r="M52" s="19">
        <v>500.43017821066218</v>
      </c>
      <c r="N52" s="19">
        <v>706.32653332155019</v>
      </c>
      <c r="O52" s="19">
        <v>861.98262289117008</v>
      </c>
      <c r="P52" s="19">
        <v>1042.4130623102465</v>
      </c>
      <c r="Q52" s="19">
        <v>1008.9616573178971</v>
      </c>
      <c r="R52" s="19">
        <v>841.09008466324269</v>
      </c>
      <c r="S52" s="19">
        <v>513.98140263801452</v>
      </c>
      <c r="T52" s="19">
        <v>107.05280642449097</v>
      </c>
      <c r="U52" s="19">
        <v>0</v>
      </c>
      <c r="V52" s="19">
        <v>0</v>
      </c>
      <c r="W52" s="19">
        <v>0</v>
      </c>
      <c r="X52" s="19">
        <v>0</v>
      </c>
      <c r="Y52" s="19">
        <v>0</v>
      </c>
      <c r="Z52" s="19">
        <v>0</v>
      </c>
      <c r="AA52" s="19">
        <v>0</v>
      </c>
      <c r="AC52" s="76">
        <f t="shared" si="0"/>
        <v>5.9430921261509218</v>
      </c>
      <c r="AD52" s="77"/>
      <c r="AE52" s="72"/>
    </row>
    <row r="53" spans="2:31" x14ac:dyDescent="0.25">
      <c r="B53" s="108">
        <v>42418</v>
      </c>
      <c r="C53" s="72">
        <f t="shared" si="1"/>
        <v>49</v>
      </c>
      <c r="D53" s="19">
        <v>0</v>
      </c>
      <c r="E53" s="19">
        <v>0</v>
      </c>
      <c r="F53" s="19">
        <v>0</v>
      </c>
      <c r="G53" s="19">
        <v>0</v>
      </c>
      <c r="H53" s="19">
        <v>0</v>
      </c>
      <c r="I53" s="19">
        <v>0</v>
      </c>
      <c r="J53" s="19">
        <v>0</v>
      </c>
      <c r="K53" s="19">
        <v>83.859073376111098</v>
      </c>
      <c r="L53" s="19">
        <v>272.9803841068113</v>
      </c>
      <c r="M53" s="19">
        <v>496.73111770918388</v>
      </c>
      <c r="N53" s="19">
        <v>702.83807367175768</v>
      </c>
      <c r="O53" s="19">
        <v>857.43138481137635</v>
      </c>
      <c r="P53" s="19">
        <v>1044.8159006034948</v>
      </c>
      <c r="Q53" s="19">
        <v>1012.3495131001657</v>
      </c>
      <c r="R53" s="19">
        <v>846.34115173938187</v>
      </c>
      <c r="S53" s="19">
        <v>522.30500545102166</v>
      </c>
      <c r="T53" s="19">
        <v>110.68594310055083</v>
      </c>
      <c r="U53" s="19">
        <v>0</v>
      </c>
      <c r="V53" s="19">
        <v>0</v>
      </c>
      <c r="W53" s="19">
        <v>0</v>
      </c>
      <c r="X53" s="19">
        <v>0</v>
      </c>
      <c r="Y53" s="19">
        <v>0</v>
      </c>
      <c r="Z53" s="19">
        <v>0</v>
      </c>
      <c r="AA53" s="19">
        <v>0</v>
      </c>
      <c r="AC53" s="76">
        <f t="shared" si="0"/>
        <v>5.9503375476698537</v>
      </c>
      <c r="AD53" s="77"/>
      <c r="AE53" s="72"/>
    </row>
    <row r="54" spans="2:31" x14ac:dyDescent="0.25">
      <c r="B54" s="108">
        <v>42419</v>
      </c>
      <c r="C54" s="72">
        <f t="shared" si="1"/>
        <v>50</v>
      </c>
      <c r="D54" s="19">
        <v>0</v>
      </c>
      <c r="E54" s="19">
        <v>0</v>
      </c>
      <c r="F54" s="19">
        <v>0</v>
      </c>
      <c r="G54" s="19">
        <v>0</v>
      </c>
      <c r="H54" s="19">
        <v>0</v>
      </c>
      <c r="I54" s="19">
        <v>0</v>
      </c>
      <c r="J54" s="19">
        <v>0</v>
      </c>
      <c r="K54" s="19">
        <v>85.007407295674568</v>
      </c>
      <c r="L54" s="19">
        <v>276.21746848225911</v>
      </c>
      <c r="M54" s="19">
        <v>499.62588140373151</v>
      </c>
      <c r="N54" s="19">
        <v>706.10342417050776</v>
      </c>
      <c r="O54" s="19">
        <v>859.74117762640742</v>
      </c>
      <c r="P54" s="19">
        <v>1047.1103016606257</v>
      </c>
      <c r="Q54" s="19">
        <v>1015.621818305827</v>
      </c>
      <c r="R54" s="19">
        <v>851.47446592085976</v>
      </c>
      <c r="S54" s="19">
        <v>530.53724477814944</v>
      </c>
      <c r="T54" s="19">
        <v>114.96731901363475</v>
      </c>
      <c r="U54" s="19">
        <v>0</v>
      </c>
      <c r="V54" s="19">
        <v>0</v>
      </c>
      <c r="W54" s="19">
        <v>0</v>
      </c>
      <c r="X54" s="19">
        <v>0</v>
      </c>
      <c r="Y54" s="19">
        <v>0</v>
      </c>
      <c r="Z54" s="19">
        <v>0</v>
      </c>
      <c r="AA54" s="19">
        <v>0</v>
      </c>
      <c r="AC54" s="76">
        <f t="shared" si="0"/>
        <v>5.9864065086576765</v>
      </c>
      <c r="AD54" s="77"/>
      <c r="AE54" s="72"/>
    </row>
    <row r="55" spans="2:31" x14ac:dyDescent="0.25">
      <c r="B55" s="108">
        <v>42420</v>
      </c>
      <c r="C55" s="72">
        <f t="shared" si="1"/>
        <v>51</v>
      </c>
      <c r="D55" s="19">
        <v>0</v>
      </c>
      <c r="E55" s="19">
        <v>0</v>
      </c>
      <c r="F55" s="19">
        <v>0</v>
      </c>
      <c r="G55" s="19">
        <v>0</v>
      </c>
      <c r="H55" s="19">
        <v>0</v>
      </c>
      <c r="I55" s="19">
        <v>0</v>
      </c>
      <c r="J55" s="19">
        <v>0</v>
      </c>
      <c r="K55" s="19">
        <v>86.812017255896308</v>
      </c>
      <c r="L55" s="19">
        <v>277.53231267840255</v>
      </c>
      <c r="M55" s="19">
        <v>501.86845009708395</v>
      </c>
      <c r="N55" s="19">
        <v>704.90674345977448</v>
      </c>
      <c r="O55" s="19">
        <v>860.65973438573212</v>
      </c>
      <c r="P55" s="19">
        <v>1049.2929668787717</v>
      </c>
      <c r="Q55" s="19">
        <v>1018.7746647665576</v>
      </c>
      <c r="R55" s="19">
        <v>856.48505880169171</v>
      </c>
      <c r="S55" s="19">
        <v>538.66938825050329</v>
      </c>
      <c r="T55" s="19">
        <v>119.8339093058387</v>
      </c>
      <c r="U55" s="19">
        <v>0</v>
      </c>
      <c r="V55" s="19">
        <v>0</v>
      </c>
      <c r="W55" s="19">
        <v>0</v>
      </c>
      <c r="X55" s="19">
        <v>0</v>
      </c>
      <c r="Y55" s="19">
        <v>0</v>
      </c>
      <c r="Z55" s="19">
        <v>0</v>
      </c>
      <c r="AA55" s="19">
        <v>0</v>
      </c>
      <c r="AC55" s="76">
        <f t="shared" si="0"/>
        <v>6.0148352458802528</v>
      </c>
      <c r="AD55" s="77"/>
      <c r="AE55" s="72"/>
    </row>
    <row r="56" spans="2:31" x14ac:dyDescent="0.25">
      <c r="B56" s="108">
        <v>42421</v>
      </c>
      <c r="C56" s="72">
        <f t="shared" si="1"/>
        <v>52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9">
        <v>0</v>
      </c>
      <c r="J56" s="19">
        <v>0</v>
      </c>
      <c r="K56" s="19">
        <v>87.707191427851498</v>
      </c>
      <c r="L56" s="19">
        <v>280.35753055763587</v>
      </c>
      <c r="M56" s="19">
        <v>501.91646882891803</v>
      </c>
      <c r="N56" s="19">
        <v>704.59157119731344</v>
      </c>
      <c r="O56" s="19">
        <v>855.655933463059</v>
      </c>
      <c r="P56" s="19">
        <v>1051.3607700889254</v>
      </c>
      <c r="Q56" s="19">
        <v>1021.8043432422184</v>
      </c>
      <c r="R56" s="19">
        <v>861.36820472541626</v>
      </c>
      <c r="S56" s="19">
        <v>546.69308165983398</v>
      </c>
      <c r="T56" s="19">
        <v>125.23177391774114</v>
      </c>
      <c r="U56" s="19">
        <v>0</v>
      </c>
      <c r="V56" s="19">
        <v>0</v>
      </c>
      <c r="W56" s="19">
        <v>0</v>
      </c>
      <c r="X56" s="19">
        <v>0</v>
      </c>
      <c r="Y56" s="19">
        <v>0</v>
      </c>
      <c r="Z56" s="19">
        <v>0</v>
      </c>
      <c r="AA56" s="19">
        <v>0</v>
      </c>
      <c r="AC56" s="76">
        <f t="shared" si="0"/>
        <v>6.0366868691089133</v>
      </c>
      <c r="AD56" s="77"/>
      <c r="AE56" s="72"/>
    </row>
    <row r="57" spans="2:31" x14ac:dyDescent="0.25">
      <c r="B57" s="108">
        <v>42422</v>
      </c>
      <c r="C57" s="72">
        <f t="shared" si="1"/>
        <v>53</v>
      </c>
      <c r="D57" s="19">
        <v>0</v>
      </c>
      <c r="E57" s="19">
        <v>0</v>
      </c>
      <c r="F57" s="19">
        <v>0</v>
      </c>
      <c r="G57" s="19">
        <v>0</v>
      </c>
      <c r="H57" s="19">
        <v>0</v>
      </c>
      <c r="I57" s="19">
        <v>0</v>
      </c>
      <c r="J57" s="19">
        <v>0</v>
      </c>
      <c r="K57" s="19">
        <v>87.785053729223904</v>
      </c>
      <c r="L57" s="19">
        <v>278.26723552598287</v>
      </c>
      <c r="M57" s="19">
        <v>502.53384189887259</v>
      </c>
      <c r="N57" s="19">
        <v>707.90333107523304</v>
      </c>
      <c r="O57" s="19">
        <v>860.49119848286534</v>
      </c>
      <c r="P57" s="19">
        <v>1053.3107604508641</v>
      </c>
      <c r="Q57" s="19">
        <v>1024.7073463841762</v>
      </c>
      <c r="R57" s="19">
        <v>866.11942380817436</v>
      </c>
      <c r="S57" s="19">
        <v>554.6003577319309</v>
      </c>
      <c r="T57" s="19">
        <v>131.11305469660294</v>
      </c>
      <c r="U57" s="19">
        <v>0</v>
      </c>
      <c r="V57" s="19">
        <v>0</v>
      </c>
      <c r="W57" s="19">
        <v>0</v>
      </c>
      <c r="X57" s="19">
        <v>0</v>
      </c>
      <c r="Y57" s="19">
        <v>0</v>
      </c>
      <c r="Z57" s="19">
        <v>0</v>
      </c>
      <c r="AA57" s="19">
        <v>0</v>
      </c>
      <c r="AC57" s="76">
        <f t="shared" si="0"/>
        <v>6.0668316037839265</v>
      </c>
      <c r="AD57" s="77"/>
      <c r="AE57" s="72"/>
    </row>
    <row r="58" spans="2:31" x14ac:dyDescent="0.25">
      <c r="B58" s="108">
        <v>42423</v>
      </c>
      <c r="C58" s="72">
        <f t="shared" si="1"/>
        <v>54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9">
        <v>0</v>
      </c>
      <c r="J58" s="19">
        <v>0</v>
      </c>
      <c r="K58" s="19">
        <v>89.227304864286069</v>
      </c>
      <c r="L58" s="19">
        <v>280.40966240859689</v>
      </c>
      <c r="M58" s="19">
        <v>504.51415040309246</v>
      </c>
      <c r="N58" s="19">
        <v>710.00421684305559</v>
      </c>
      <c r="O58" s="19">
        <v>862.86118131476314</v>
      </c>
      <c r="P58" s="19">
        <v>1055.1401650133923</v>
      </c>
      <c r="Q58" s="19">
        <v>1027.4803712992684</v>
      </c>
      <c r="R58" s="19">
        <v>870.73448438809487</v>
      </c>
      <c r="S58" s="19">
        <v>562.38364286929345</v>
      </c>
      <c r="T58" s="19">
        <v>137.43395750970248</v>
      </c>
      <c r="U58" s="19">
        <v>0</v>
      </c>
      <c r="V58" s="19">
        <v>0</v>
      </c>
      <c r="W58" s="19">
        <v>0</v>
      </c>
      <c r="X58" s="19">
        <v>0</v>
      </c>
      <c r="Y58" s="19">
        <v>0</v>
      </c>
      <c r="Z58" s="19">
        <v>0</v>
      </c>
      <c r="AA58" s="19">
        <v>0</v>
      </c>
      <c r="AC58" s="76">
        <f t="shared" si="0"/>
        <v>6.1001891369135457</v>
      </c>
      <c r="AD58" s="77"/>
      <c r="AE58" s="72"/>
    </row>
    <row r="59" spans="2:31" x14ac:dyDescent="0.25">
      <c r="B59" s="108">
        <v>42424</v>
      </c>
      <c r="C59" s="72">
        <f t="shared" si="1"/>
        <v>55</v>
      </c>
      <c r="D59" s="19">
        <v>0</v>
      </c>
      <c r="E59" s="19">
        <v>0</v>
      </c>
      <c r="F59" s="19">
        <v>0</v>
      </c>
      <c r="G59" s="19">
        <v>0</v>
      </c>
      <c r="H59" s="19">
        <v>0</v>
      </c>
      <c r="I59" s="19">
        <v>0</v>
      </c>
      <c r="J59" s="19">
        <v>0</v>
      </c>
      <c r="K59" s="19">
        <v>90.06171663660615</v>
      </c>
      <c r="L59" s="19">
        <v>281.38433537502232</v>
      </c>
      <c r="M59" s="19">
        <v>501.00583014113323</v>
      </c>
      <c r="N59" s="19">
        <v>705.13645084019424</v>
      </c>
      <c r="O59" s="19">
        <v>857.34769336466138</v>
      </c>
      <c r="P59" s="19">
        <v>1056.8463909433863</v>
      </c>
      <c r="Q59" s="19">
        <v>1030.1203217217885</v>
      </c>
      <c r="R59" s="19">
        <v>875.20940492201146</v>
      </c>
      <c r="S59" s="19">
        <v>570.03576200145051</v>
      </c>
      <c r="T59" s="19">
        <v>144.15343218251397</v>
      </c>
      <c r="U59" s="19">
        <v>0</v>
      </c>
      <c r="V59" s="19">
        <v>0</v>
      </c>
      <c r="W59" s="19">
        <v>0</v>
      </c>
      <c r="X59" s="19">
        <v>0</v>
      </c>
      <c r="Y59" s="19">
        <v>0</v>
      </c>
      <c r="Z59" s="19">
        <v>0</v>
      </c>
      <c r="AA59" s="19">
        <v>0</v>
      </c>
      <c r="AC59" s="76">
        <f t="shared" si="0"/>
        <v>6.1113013381287677</v>
      </c>
      <c r="AD59" s="77"/>
      <c r="AE59" s="72"/>
    </row>
    <row r="60" spans="2:31" x14ac:dyDescent="0.25">
      <c r="B60" s="108">
        <v>42425</v>
      </c>
      <c r="C60" s="72">
        <f t="shared" si="1"/>
        <v>56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9">
        <v>0</v>
      </c>
      <c r="J60" s="19">
        <v>0</v>
      </c>
      <c r="K60" s="19">
        <v>91.458882737147221</v>
      </c>
      <c r="L60" s="19">
        <v>284.00786772231749</v>
      </c>
      <c r="M60" s="19">
        <v>508.94496438586668</v>
      </c>
      <c r="N60" s="19">
        <v>715.39639639194968</v>
      </c>
      <c r="O60" s="19">
        <v>866.49475440785193</v>
      </c>
      <c r="P60" s="19">
        <v>1058.4270274275032</v>
      </c>
      <c r="Q60" s="19">
        <v>1032.6243098012183</v>
      </c>
      <c r="R60" s="19">
        <v>879.54045535092177</v>
      </c>
      <c r="S60" s="19">
        <v>577.54994168223493</v>
      </c>
      <c r="T60" s="19">
        <v>151.23234391869374</v>
      </c>
      <c r="U60" s="19">
        <v>0</v>
      </c>
      <c r="V60" s="19">
        <v>0</v>
      </c>
      <c r="W60" s="19">
        <v>0</v>
      </c>
      <c r="X60" s="19">
        <v>0</v>
      </c>
      <c r="Y60" s="19">
        <v>0</v>
      </c>
      <c r="Z60" s="19">
        <v>0</v>
      </c>
      <c r="AA60" s="19">
        <v>0</v>
      </c>
      <c r="AC60" s="76">
        <f t="shared" si="0"/>
        <v>6.1656769438257042</v>
      </c>
      <c r="AD60" s="77"/>
      <c r="AE60" s="72"/>
    </row>
    <row r="61" spans="2:31" x14ac:dyDescent="0.25">
      <c r="B61" s="108">
        <v>42426</v>
      </c>
      <c r="C61" s="72">
        <f t="shared" si="1"/>
        <v>57</v>
      </c>
      <c r="D61" s="19">
        <v>0</v>
      </c>
      <c r="E61" s="19">
        <v>0</v>
      </c>
      <c r="F61" s="19">
        <v>0</v>
      </c>
      <c r="G61" s="19">
        <v>0</v>
      </c>
      <c r="H61" s="19">
        <v>0</v>
      </c>
      <c r="I61" s="19">
        <v>0</v>
      </c>
      <c r="J61" s="19">
        <v>0</v>
      </c>
      <c r="K61" s="19">
        <v>92.619834002394057</v>
      </c>
      <c r="L61" s="19">
        <v>285.05638096791944</v>
      </c>
      <c r="M61" s="19">
        <v>506.64517955882712</v>
      </c>
      <c r="N61" s="19">
        <v>710.4935308925194</v>
      </c>
      <c r="O61" s="19">
        <v>861.22204329918895</v>
      </c>
      <c r="P61" s="19">
        <v>1059.879847250704</v>
      </c>
      <c r="Q61" s="19">
        <v>1034.9896575137273</v>
      </c>
      <c r="R61" s="19">
        <v>883.72415795579832</v>
      </c>
      <c r="S61" s="19">
        <v>584.91981157236671</v>
      </c>
      <c r="T61" s="19">
        <v>158.63298653476775</v>
      </c>
      <c r="U61" s="19">
        <v>0</v>
      </c>
      <c r="V61" s="19">
        <v>0</v>
      </c>
      <c r="W61" s="19">
        <v>0</v>
      </c>
      <c r="X61" s="19">
        <v>0</v>
      </c>
      <c r="Y61" s="19">
        <v>0</v>
      </c>
      <c r="Z61" s="19">
        <v>0</v>
      </c>
      <c r="AA61" s="19">
        <v>0</v>
      </c>
      <c r="AC61" s="76">
        <f t="shared" si="0"/>
        <v>6.1781834295482128</v>
      </c>
      <c r="AD61" s="77"/>
      <c r="AE61" s="72"/>
    </row>
    <row r="62" spans="2:31" x14ac:dyDescent="0.25">
      <c r="B62" s="108">
        <v>42427</v>
      </c>
      <c r="C62" s="72">
        <f t="shared" si="1"/>
        <v>58</v>
      </c>
      <c r="D62" s="19">
        <v>0</v>
      </c>
      <c r="E62" s="19">
        <v>0</v>
      </c>
      <c r="F62" s="19">
        <v>0</v>
      </c>
      <c r="G62" s="19">
        <v>0</v>
      </c>
      <c r="H62" s="19">
        <v>0</v>
      </c>
      <c r="I62" s="19">
        <v>0</v>
      </c>
      <c r="J62" s="19">
        <v>0</v>
      </c>
      <c r="K62" s="19">
        <v>93.477428363507599</v>
      </c>
      <c r="L62" s="19">
        <v>286.63042725979352</v>
      </c>
      <c r="M62" s="19">
        <v>510.11673155927463</v>
      </c>
      <c r="N62" s="19">
        <v>717.79420996972681</v>
      </c>
      <c r="O62" s="19">
        <v>867.40040472277281</v>
      </c>
      <c r="P62" s="19">
        <v>1061.2028080560788</v>
      </c>
      <c r="Q62" s="19">
        <v>1037.2138977057148</v>
      </c>
      <c r="R62" s="19">
        <v>887.75728772537639</v>
      </c>
      <c r="S62" s="19">
        <v>592.13940444324601</v>
      </c>
      <c r="T62" s="19">
        <v>166.31882854258191</v>
      </c>
      <c r="U62" s="19">
        <v>0</v>
      </c>
      <c r="V62" s="19">
        <v>0</v>
      </c>
      <c r="W62" s="19">
        <v>0</v>
      </c>
      <c r="X62" s="19">
        <v>0</v>
      </c>
      <c r="Y62" s="19">
        <v>0</v>
      </c>
      <c r="Z62" s="19">
        <v>0</v>
      </c>
      <c r="AA62" s="19">
        <v>0</v>
      </c>
      <c r="AC62" s="76">
        <f t="shared" si="0"/>
        <v>6.2200514283480732</v>
      </c>
      <c r="AD62" s="77"/>
      <c r="AE62" s="72"/>
    </row>
    <row r="63" spans="2:31" x14ac:dyDescent="0.25">
      <c r="B63" s="108">
        <v>42428</v>
      </c>
      <c r="C63" s="72">
        <f t="shared" si="1"/>
        <v>59</v>
      </c>
      <c r="D63" s="19">
        <v>0</v>
      </c>
      <c r="E63" s="19">
        <v>0</v>
      </c>
      <c r="F63" s="19">
        <v>0</v>
      </c>
      <c r="G63" s="19">
        <v>0</v>
      </c>
      <c r="H63" s="19">
        <v>0</v>
      </c>
      <c r="I63" s="19">
        <v>0</v>
      </c>
      <c r="J63" s="19">
        <v>0</v>
      </c>
      <c r="K63" s="19">
        <v>94.907571648769846</v>
      </c>
      <c r="L63" s="19">
        <v>286.85705822597856</v>
      </c>
      <c r="M63" s="19">
        <v>509.26944788252712</v>
      </c>
      <c r="N63" s="19">
        <v>712.09185525841417</v>
      </c>
      <c r="O63" s="19">
        <v>862.38634962012907</v>
      </c>
      <c r="P63" s="19">
        <v>1062.3940532907022</v>
      </c>
      <c r="Q63" s="19">
        <v>1039.2947747778496</v>
      </c>
      <c r="R63" s="19">
        <v>891.63687225741864</v>
      </c>
      <c r="S63" s="19">
        <v>599.20315483399179</v>
      </c>
      <c r="T63" s="19">
        <v>174.25441290300918</v>
      </c>
      <c r="U63" s="19">
        <v>0</v>
      </c>
      <c r="V63" s="19">
        <v>0</v>
      </c>
      <c r="W63" s="19">
        <v>0</v>
      </c>
      <c r="X63" s="19">
        <v>0</v>
      </c>
      <c r="Y63" s="19">
        <v>0</v>
      </c>
      <c r="Z63" s="19">
        <v>0</v>
      </c>
      <c r="AA63" s="19">
        <v>0</v>
      </c>
      <c r="AC63" s="76">
        <f t="shared" si="0"/>
        <v>6.2322955506987912</v>
      </c>
      <c r="AD63" s="77"/>
      <c r="AE63" s="72"/>
    </row>
    <row r="64" spans="2:31" x14ac:dyDescent="0.25">
      <c r="B64" s="108">
        <v>42429</v>
      </c>
      <c r="C64" s="72">
        <f t="shared" si="1"/>
        <v>60</v>
      </c>
      <c r="D64" s="19">
        <v>0</v>
      </c>
      <c r="E64" s="19">
        <v>0</v>
      </c>
      <c r="F64" s="19">
        <v>0</v>
      </c>
      <c r="G64" s="19">
        <v>0</v>
      </c>
      <c r="H64" s="19">
        <v>0</v>
      </c>
      <c r="I64" s="19">
        <v>0</v>
      </c>
      <c r="J64" s="19">
        <v>0</v>
      </c>
      <c r="K64" s="19">
        <v>96.407113912050661</v>
      </c>
      <c r="L64" s="19">
        <v>290.27802112747361</v>
      </c>
      <c r="M64" s="19">
        <v>516.02559881189222</v>
      </c>
      <c r="N64" s="19">
        <v>723.48512189362975</v>
      </c>
      <c r="O64" s="19">
        <v>878.92573454891829</v>
      </c>
      <c r="P64" s="19">
        <v>1063.4519128425393</v>
      </c>
      <c r="Q64" s="19">
        <v>1041.2302450182624</v>
      </c>
      <c r="R64" s="19">
        <v>895.36019121473157</v>
      </c>
      <c r="S64" s="19">
        <v>606.10589648900668</v>
      </c>
      <c r="T64" s="19">
        <v>182.40535335906029</v>
      </c>
      <c r="U64" s="19">
        <v>0</v>
      </c>
      <c r="V64" s="19">
        <v>0</v>
      </c>
      <c r="W64" s="19">
        <v>0</v>
      </c>
      <c r="X64" s="19">
        <v>0</v>
      </c>
      <c r="Y64" s="19">
        <v>0</v>
      </c>
      <c r="Z64" s="19">
        <v>0</v>
      </c>
      <c r="AA64" s="19">
        <v>0</v>
      </c>
      <c r="AC64" s="76">
        <f t="shared" si="0"/>
        <v>6.2936751892175646</v>
      </c>
      <c r="AD64" s="77"/>
      <c r="AE64" s="72"/>
    </row>
    <row r="65" spans="2:31" x14ac:dyDescent="0.25">
      <c r="B65" s="108">
        <v>42430</v>
      </c>
      <c r="C65" s="72">
        <f t="shared" si="1"/>
        <v>61</v>
      </c>
      <c r="D65" s="19">
        <v>0</v>
      </c>
      <c r="E65" s="19">
        <v>0</v>
      </c>
      <c r="F65" s="19">
        <v>0</v>
      </c>
      <c r="G65" s="19">
        <v>0</v>
      </c>
      <c r="H65" s="19">
        <v>0</v>
      </c>
      <c r="I65" s="19">
        <v>0</v>
      </c>
      <c r="J65" s="19">
        <v>0</v>
      </c>
      <c r="K65" s="19">
        <v>97.649431614843053</v>
      </c>
      <c r="L65" s="19">
        <v>291.98986704427273</v>
      </c>
      <c r="M65" s="19">
        <v>516.05378550428941</v>
      </c>
      <c r="N65" s="19">
        <v>720.36703215019634</v>
      </c>
      <c r="O65" s="19">
        <v>871.95697069469816</v>
      </c>
      <c r="P65" s="19">
        <v>1064.3749033736501</v>
      </c>
      <c r="Q65" s="19">
        <v>1043.0184765936513</v>
      </c>
      <c r="R65" s="19">
        <v>898.92477535684566</v>
      </c>
      <c r="S65" s="19">
        <v>612.84285869767155</v>
      </c>
      <c r="T65" s="19">
        <v>190.73838673091751</v>
      </c>
      <c r="U65" s="19">
        <v>0</v>
      </c>
      <c r="V65" s="19">
        <v>0</v>
      </c>
      <c r="W65" s="19">
        <v>0</v>
      </c>
      <c r="X65" s="19">
        <v>0</v>
      </c>
      <c r="Y65" s="19">
        <v>0</v>
      </c>
      <c r="Z65" s="19">
        <v>0</v>
      </c>
      <c r="AA65" s="19">
        <v>0</v>
      </c>
      <c r="AC65" s="76">
        <f t="shared" si="0"/>
        <v>6.3079164877610356</v>
      </c>
      <c r="AD65" s="77"/>
      <c r="AE65" s="72"/>
    </row>
    <row r="66" spans="2:31" x14ac:dyDescent="0.25">
      <c r="B66" s="108">
        <v>42431</v>
      </c>
      <c r="C66" s="72">
        <f t="shared" si="1"/>
        <v>62</v>
      </c>
      <c r="D66" s="19">
        <v>0</v>
      </c>
      <c r="E66" s="19">
        <v>0</v>
      </c>
      <c r="F66" s="19">
        <v>0</v>
      </c>
      <c r="G66" s="19">
        <v>0</v>
      </c>
      <c r="H66" s="19">
        <v>0</v>
      </c>
      <c r="I66" s="19">
        <v>0</v>
      </c>
      <c r="J66" s="19">
        <v>0</v>
      </c>
      <c r="K66" s="19">
        <v>97.613032463971351</v>
      </c>
      <c r="L66" s="19">
        <v>292.01412433117196</v>
      </c>
      <c r="M66" s="19">
        <v>514.79740905508686</v>
      </c>
      <c r="N66" s="19">
        <v>723.77989775983372</v>
      </c>
      <c r="O66" s="19">
        <v>880.50510037343452</v>
      </c>
      <c r="P66" s="19">
        <v>1065.1617283552016</v>
      </c>
      <c r="Q66" s="19">
        <v>1044.6578492071992</v>
      </c>
      <c r="R66" s="19">
        <v>902.32840516785086</v>
      </c>
      <c r="S66" s="19">
        <v>619.4096616515601</v>
      </c>
      <c r="T66" s="19">
        <v>199.22145284875424</v>
      </c>
      <c r="U66" s="19">
        <v>0</v>
      </c>
      <c r="V66" s="19">
        <v>0</v>
      </c>
      <c r="W66" s="19">
        <v>0</v>
      </c>
      <c r="X66" s="19">
        <v>0</v>
      </c>
      <c r="Y66" s="19">
        <v>0</v>
      </c>
      <c r="Z66" s="19">
        <v>0</v>
      </c>
      <c r="AA66" s="19">
        <v>0</v>
      </c>
      <c r="AC66" s="76">
        <f t="shared" si="0"/>
        <v>6.3394886612140642</v>
      </c>
      <c r="AD66" s="77"/>
      <c r="AE66" s="72"/>
    </row>
    <row r="67" spans="2:31" x14ac:dyDescent="0.25">
      <c r="B67" s="108">
        <v>42432</v>
      </c>
      <c r="C67" s="72">
        <f t="shared" si="1"/>
        <v>63</v>
      </c>
      <c r="D67" s="19">
        <v>0</v>
      </c>
      <c r="E67" s="19">
        <v>0</v>
      </c>
      <c r="F67" s="19">
        <v>0</v>
      </c>
      <c r="G67" s="19">
        <v>0</v>
      </c>
      <c r="H67" s="19">
        <v>0</v>
      </c>
      <c r="I67" s="19">
        <v>0</v>
      </c>
      <c r="J67" s="19">
        <v>0</v>
      </c>
      <c r="K67" s="19">
        <v>99.846576221971375</v>
      </c>
      <c r="L67" s="19">
        <v>295.0069561429396</v>
      </c>
      <c r="M67" s="19">
        <v>519.25492887762289</v>
      </c>
      <c r="N67" s="19">
        <v>723.58907835574405</v>
      </c>
      <c r="O67" s="19">
        <v>873.12910945451165</v>
      </c>
      <c r="P67" s="19">
        <v>1065.8112778099917</v>
      </c>
      <c r="Q67" s="19">
        <v>1046.1469534322814</v>
      </c>
      <c r="R67" s="19">
        <v>905.56910910039426</v>
      </c>
      <c r="S67" s="19">
        <v>625.80231092793861</v>
      </c>
      <c r="T67" s="19">
        <v>207.82378292870857</v>
      </c>
      <c r="U67" s="19">
        <v>0</v>
      </c>
      <c r="V67" s="19">
        <v>0</v>
      </c>
      <c r="W67" s="19">
        <v>0</v>
      </c>
      <c r="X67" s="19">
        <v>0</v>
      </c>
      <c r="Y67" s="19">
        <v>0</v>
      </c>
      <c r="Z67" s="19">
        <v>0</v>
      </c>
      <c r="AA67" s="19">
        <v>0</v>
      </c>
      <c r="AC67" s="76">
        <f t="shared" si="0"/>
        <v>6.3619800832521038</v>
      </c>
      <c r="AD67" s="77"/>
      <c r="AE67" s="72"/>
    </row>
    <row r="68" spans="2:31" x14ac:dyDescent="0.25">
      <c r="B68" s="108">
        <v>42433</v>
      </c>
      <c r="C68" s="72">
        <f t="shared" si="1"/>
        <v>64</v>
      </c>
      <c r="D68" s="19">
        <v>0</v>
      </c>
      <c r="E68" s="19">
        <v>0</v>
      </c>
      <c r="F68" s="19">
        <v>0</v>
      </c>
      <c r="G68" s="19">
        <v>0</v>
      </c>
      <c r="H68" s="19">
        <v>0</v>
      </c>
      <c r="I68" s="19">
        <v>0</v>
      </c>
      <c r="J68" s="19">
        <v>0</v>
      </c>
      <c r="K68" s="19">
        <v>99.838749193894131</v>
      </c>
      <c r="L68" s="19">
        <v>292.67250186057731</v>
      </c>
      <c r="M68" s="19">
        <v>511.99739215455583</v>
      </c>
      <c r="N68" s="19">
        <v>712.18203974369976</v>
      </c>
      <c r="O68" s="19">
        <v>863.48943634010857</v>
      </c>
      <c r="P68" s="19">
        <v>1066.3226277684573</v>
      </c>
      <c r="Q68" s="19">
        <v>1047.4845897310308</v>
      </c>
      <c r="R68" s="19">
        <v>908.64516145529774</v>
      </c>
      <c r="S68" s="19">
        <v>632.01719120143196</v>
      </c>
      <c r="T68" s="19">
        <v>216.51598391442556</v>
      </c>
      <c r="U68" s="19">
        <v>0</v>
      </c>
      <c r="V68" s="19">
        <v>0</v>
      </c>
      <c r="W68" s="19">
        <v>0</v>
      </c>
      <c r="X68" s="19">
        <v>0</v>
      </c>
      <c r="Y68" s="19">
        <v>0</v>
      </c>
      <c r="Z68" s="19">
        <v>0</v>
      </c>
      <c r="AA68" s="19">
        <v>0</v>
      </c>
      <c r="AC68" s="76">
        <f t="shared" si="0"/>
        <v>6.3511656733634787</v>
      </c>
      <c r="AD68" s="77"/>
      <c r="AE68" s="72"/>
    </row>
    <row r="69" spans="2:31" x14ac:dyDescent="0.25">
      <c r="B69" s="108">
        <v>42434</v>
      </c>
      <c r="C69" s="72">
        <f t="shared" si="1"/>
        <v>65</v>
      </c>
      <c r="D69" s="19">
        <v>0</v>
      </c>
      <c r="E69" s="19">
        <v>0</v>
      </c>
      <c r="F69" s="19">
        <v>0</v>
      </c>
      <c r="G69" s="19">
        <v>0</v>
      </c>
      <c r="H69" s="19">
        <v>0</v>
      </c>
      <c r="I69" s="19">
        <v>0</v>
      </c>
      <c r="J69" s="19">
        <v>0</v>
      </c>
      <c r="K69" s="19">
        <v>102.04928092666646</v>
      </c>
      <c r="L69" s="19">
        <v>298.57237213197811</v>
      </c>
      <c r="M69" s="19">
        <v>522.76063592646187</v>
      </c>
      <c r="N69" s="19">
        <v>726.3856152258121</v>
      </c>
      <c r="O69" s="19">
        <v>879.87258572363851</v>
      </c>
      <c r="P69" s="19">
        <v>1066.6950394443247</v>
      </c>
      <c r="Q69" s="19">
        <v>1048.6697671669074</v>
      </c>
      <c r="R69" s="19">
        <v>911.55507991570425</v>
      </c>
      <c r="S69" s="19">
        <v>638.05105927872717</v>
      </c>
      <c r="T69" s="19">
        <v>225.27011118195099</v>
      </c>
      <c r="U69" s="19">
        <v>0</v>
      </c>
      <c r="V69" s="19">
        <v>0</v>
      </c>
      <c r="W69" s="19">
        <v>0</v>
      </c>
      <c r="X69" s="19">
        <v>0</v>
      </c>
      <c r="Y69" s="19">
        <v>0</v>
      </c>
      <c r="Z69" s="19">
        <v>0</v>
      </c>
      <c r="AA69" s="19">
        <v>0</v>
      </c>
      <c r="AC69" s="76">
        <f t="shared" si="0"/>
        <v>6.4198815469221708</v>
      </c>
      <c r="AD69" s="77"/>
      <c r="AE69" s="72"/>
    </row>
    <row r="70" spans="2:31" x14ac:dyDescent="0.25">
      <c r="B70" s="108">
        <v>42435</v>
      </c>
      <c r="C70" s="72">
        <f t="shared" si="1"/>
        <v>66</v>
      </c>
      <c r="D70" s="19">
        <v>0</v>
      </c>
      <c r="E70" s="19">
        <v>0</v>
      </c>
      <c r="F70" s="19">
        <v>0</v>
      </c>
      <c r="G70" s="19">
        <v>0</v>
      </c>
      <c r="H70" s="19">
        <v>0</v>
      </c>
      <c r="I70" s="19">
        <v>0</v>
      </c>
      <c r="J70" s="19">
        <v>0</v>
      </c>
      <c r="K70" s="19">
        <v>103.97692698217251</v>
      </c>
      <c r="L70" s="19">
        <v>302.81905462350841</v>
      </c>
      <c r="M70" s="19">
        <v>524.78786346952199</v>
      </c>
      <c r="N70" s="19">
        <v>728.40752499502526</v>
      </c>
      <c r="O70" s="19">
        <v>880.6633663855938</v>
      </c>
      <c r="P70" s="19">
        <v>1066.927958136295</v>
      </c>
      <c r="Q70" s="19">
        <v>1049.7017018204594</v>
      </c>
      <c r="R70" s="19">
        <v>914.29762275403812</v>
      </c>
      <c r="S70" s="19">
        <v>643.90103654421739</v>
      </c>
      <c r="T70" s="19">
        <v>234.05972548009163</v>
      </c>
      <c r="U70" s="19">
        <v>0</v>
      </c>
      <c r="V70" s="19">
        <v>0</v>
      </c>
      <c r="W70" s="19">
        <v>0</v>
      </c>
      <c r="X70" s="19">
        <v>0</v>
      </c>
      <c r="Y70" s="19">
        <v>0</v>
      </c>
      <c r="Z70" s="19">
        <v>0</v>
      </c>
      <c r="AA70" s="19">
        <v>0</v>
      </c>
      <c r="AC70" s="76">
        <f t="shared" ref="AC70:AC133" si="2">(SUM((D70:AA70))/1000)</f>
        <v>6.4495427811909236</v>
      </c>
      <c r="AD70" s="77"/>
      <c r="AE70" s="72"/>
    </row>
    <row r="71" spans="2:31" x14ac:dyDescent="0.25">
      <c r="B71" s="108">
        <v>42436</v>
      </c>
      <c r="C71" s="72">
        <f t="shared" ref="C71:C134" si="3">B71-$B$5+1</f>
        <v>67</v>
      </c>
      <c r="D71" s="19">
        <v>0</v>
      </c>
      <c r="E71" s="19">
        <v>0</v>
      </c>
      <c r="F71" s="19">
        <v>0</v>
      </c>
      <c r="G71" s="19">
        <v>0</v>
      </c>
      <c r="H71" s="19">
        <v>0</v>
      </c>
      <c r="I71" s="19">
        <v>0</v>
      </c>
      <c r="J71" s="19">
        <v>0</v>
      </c>
      <c r="K71" s="19">
        <v>103.40895952217195</v>
      </c>
      <c r="L71" s="19">
        <v>298.991880678874</v>
      </c>
      <c r="M71" s="19">
        <v>522.94711431179542</v>
      </c>
      <c r="N71" s="19">
        <v>723.76767055476773</v>
      </c>
      <c r="O71" s="19">
        <v>875.55793931124742</v>
      </c>
      <c r="P71" s="19">
        <v>1067.0210118623647</v>
      </c>
      <c r="Q71" s="19">
        <v>1050.5798149175639</v>
      </c>
      <c r="R71" s="19">
        <v>916.87178572950427</v>
      </c>
      <c r="S71" s="19">
        <v>649.56460089758502</v>
      </c>
      <c r="T71" s="19">
        <v>242.85993239517524</v>
      </c>
      <c r="U71" s="19">
        <v>625.38672770354015</v>
      </c>
      <c r="V71" s="19">
        <v>0</v>
      </c>
      <c r="W71" s="19">
        <v>0</v>
      </c>
      <c r="X71" s="19">
        <v>0</v>
      </c>
      <c r="Y71" s="19">
        <v>0</v>
      </c>
      <c r="Z71" s="19">
        <v>0</v>
      </c>
      <c r="AA71" s="19">
        <v>0</v>
      </c>
      <c r="AC71" s="76">
        <f t="shared" si="2"/>
        <v>7.0769574378845901</v>
      </c>
      <c r="AD71" s="77"/>
      <c r="AE71" s="72"/>
    </row>
    <row r="72" spans="2:31" x14ac:dyDescent="0.25">
      <c r="B72" s="108">
        <v>42437</v>
      </c>
      <c r="C72" s="72">
        <f t="shared" si="3"/>
        <v>68</v>
      </c>
      <c r="D72" s="19">
        <v>0</v>
      </c>
      <c r="E72" s="19">
        <v>0</v>
      </c>
      <c r="F72" s="19">
        <v>0</v>
      </c>
      <c r="G72" s="19">
        <v>0</v>
      </c>
      <c r="H72" s="19">
        <v>0</v>
      </c>
      <c r="I72" s="19">
        <v>0</v>
      </c>
      <c r="J72" s="19">
        <v>0</v>
      </c>
      <c r="K72" s="19">
        <v>106.87040358826836</v>
      </c>
      <c r="L72" s="19">
        <v>306.35339428471394</v>
      </c>
      <c r="M72" s="19">
        <v>532.18625672290466</v>
      </c>
      <c r="N72" s="19">
        <v>735.33922688355221</v>
      </c>
      <c r="O72" s="19">
        <v>884.21814907107739</v>
      </c>
      <c r="P72" s="19">
        <v>1066.9740097336132</v>
      </c>
      <c r="Q72" s="19">
        <v>1051.3037306794527</v>
      </c>
      <c r="R72" s="19">
        <v>919.27679869321662</v>
      </c>
      <c r="S72" s="19">
        <v>655.03957825761063</v>
      </c>
      <c r="T72" s="19">
        <v>251.64740425578447</v>
      </c>
      <c r="U72" s="19">
        <v>337.99771720954635</v>
      </c>
      <c r="V72" s="19">
        <v>0</v>
      </c>
      <c r="W72" s="19">
        <v>0</v>
      </c>
      <c r="X72" s="19">
        <v>0</v>
      </c>
      <c r="Y72" s="19">
        <v>0</v>
      </c>
      <c r="Z72" s="19">
        <v>0</v>
      </c>
      <c r="AA72" s="19">
        <v>0</v>
      </c>
      <c r="AC72" s="76">
        <f t="shared" si="2"/>
        <v>6.8472066693797409</v>
      </c>
      <c r="AD72" s="77"/>
      <c r="AE72" s="72"/>
    </row>
    <row r="73" spans="2:31" x14ac:dyDescent="0.25">
      <c r="B73" s="108">
        <v>42438</v>
      </c>
      <c r="C73" s="72">
        <f t="shared" si="3"/>
        <v>69</v>
      </c>
      <c r="D73" s="19">
        <v>0</v>
      </c>
      <c r="E73" s="19">
        <v>0</v>
      </c>
      <c r="F73" s="19">
        <v>0</v>
      </c>
      <c r="G73" s="19">
        <v>0</v>
      </c>
      <c r="H73" s="19">
        <v>0</v>
      </c>
      <c r="I73" s="19">
        <v>0</v>
      </c>
      <c r="J73" s="19">
        <v>0</v>
      </c>
      <c r="K73" s="19">
        <v>104.67603575380414</v>
      </c>
      <c r="L73" s="19">
        <v>299.13652995247759</v>
      </c>
      <c r="M73" s="19">
        <v>523.34153950324094</v>
      </c>
      <c r="N73" s="19">
        <v>728.08569022110851</v>
      </c>
      <c r="O73" s="19">
        <v>881.3566091543795</v>
      </c>
      <c r="P73" s="19">
        <v>1066.7869400744844</v>
      </c>
      <c r="Q73" s="19">
        <v>1051.873273903934</v>
      </c>
      <c r="R73" s="19">
        <v>921.51212191749914</v>
      </c>
      <c r="S73" s="19">
        <v>660.32413370004724</v>
      </c>
      <c r="T73" s="19">
        <v>260.40038543752314</v>
      </c>
      <c r="U73" s="19">
        <v>157.85582546744172</v>
      </c>
      <c r="V73" s="19">
        <v>0</v>
      </c>
      <c r="W73" s="19">
        <v>0</v>
      </c>
      <c r="X73" s="19">
        <v>0</v>
      </c>
      <c r="Y73" s="19">
        <v>0</v>
      </c>
      <c r="Z73" s="19">
        <v>0</v>
      </c>
      <c r="AA73" s="19">
        <v>0</v>
      </c>
      <c r="AC73" s="76">
        <f t="shared" si="2"/>
        <v>6.6553490850859394</v>
      </c>
      <c r="AD73" s="77"/>
      <c r="AE73" s="72"/>
    </row>
    <row r="74" spans="2:31" x14ac:dyDescent="0.25">
      <c r="B74" s="108">
        <v>42439</v>
      </c>
      <c r="C74" s="72">
        <f t="shared" si="3"/>
        <v>70</v>
      </c>
      <c r="D74" s="19">
        <v>0</v>
      </c>
      <c r="E74" s="19">
        <v>0</v>
      </c>
      <c r="F74" s="19">
        <v>0</v>
      </c>
      <c r="G74" s="19">
        <v>0</v>
      </c>
      <c r="H74" s="19">
        <v>0</v>
      </c>
      <c r="I74" s="19">
        <v>0</v>
      </c>
      <c r="J74" s="19">
        <v>0</v>
      </c>
      <c r="K74" s="19">
        <v>107.98445318818393</v>
      </c>
      <c r="L74" s="19">
        <v>307.62108601320608</v>
      </c>
      <c r="M74" s="19">
        <v>529.50512377624796</v>
      </c>
      <c r="N74" s="19">
        <v>721.91319691668764</v>
      </c>
      <c r="O74" s="19">
        <v>873.85846873759692</v>
      </c>
      <c r="P74" s="19">
        <v>1066.4599682968174</v>
      </c>
      <c r="Q74" s="19">
        <v>1052.288467287256</v>
      </c>
      <c r="R74" s="19">
        <v>923.57744216528374</v>
      </c>
      <c r="S74" s="19">
        <v>665.41676229118275</v>
      </c>
      <c r="T74" s="19">
        <v>269.09868265015086</v>
      </c>
      <c r="U74" s="19">
        <v>76.199600484090396</v>
      </c>
      <c r="V74" s="19">
        <v>0</v>
      </c>
      <c r="W74" s="19">
        <v>0</v>
      </c>
      <c r="X74" s="19">
        <v>0</v>
      </c>
      <c r="Y74" s="19">
        <v>0</v>
      </c>
      <c r="Z74" s="19">
        <v>0</v>
      </c>
      <c r="AA74" s="19">
        <v>0</v>
      </c>
      <c r="AC74" s="76">
        <f t="shared" si="2"/>
        <v>6.5939232518067037</v>
      </c>
      <c r="AD74" s="77"/>
      <c r="AE74" s="72"/>
    </row>
    <row r="75" spans="2:31" x14ac:dyDescent="0.25">
      <c r="B75" s="108">
        <v>42440</v>
      </c>
      <c r="C75" s="72">
        <f t="shared" si="3"/>
        <v>71</v>
      </c>
      <c r="D75" s="19">
        <v>0</v>
      </c>
      <c r="E75" s="19">
        <v>0</v>
      </c>
      <c r="F75" s="19">
        <v>0</v>
      </c>
      <c r="G75" s="19">
        <v>0</v>
      </c>
      <c r="H75" s="19">
        <v>0</v>
      </c>
      <c r="I75" s="19">
        <v>0</v>
      </c>
      <c r="J75" s="19">
        <v>0</v>
      </c>
      <c r="K75" s="19">
        <v>107.75365555398086</v>
      </c>
      <c r="L75" s="19">
        <v>304.07955402583724</v>
      </c>
      <c r="M75" s="19">
        <v>526.35829825297333</v>
      </c>
      <c r="N75" s="19">
        <v>719.63797561854108</v>
      </c>
      <c r="O75" s="19">
        <v>873.86878439866098</v>
      </c>
      <c r="P75" s="19">
        <v>1065.9934345351026</v>
      </c>
      <c r="Q75" s="19">
        <v>1052.5495284961448</v>
      </c>
      <c r="R75" s="19">
        <v>925.47266851503321</v>
      </c>
      <c r="S75" s="19">
        <v>670.31627967290342</v>
      </c>
      <c r="T75" s="19">
        <v>277.72364211203649</v>
      </c>
      <c r="U75" s="19">
        <v>51.929850284149296</v>
      </c>
      <c r="V75" s="19">
        <v>0</v>
      </c>
      <c r="W75" s="19">
        <v>0</v>
      </c>
      <c r="X75" s="19">
        <v>0</v>
      </c>
      <c r="Y75" s="19">
        <v>0</v>
      </c>
      <c r="Z75" s="19">
        <v>0</v>
      </c>
      <c r="AA75" s="19">
        <v>0</v>
      </c>
      <c r="AC75" s="76">
        <f t="shared" si="2"/>
        <v>6.575683671465363</v>
      </c>
      <c r="AD75" s="77"/>
      <c r="AE75" s="72"/>
    </row>
    <row r="76" spans="2:31" x14ac:dyDescent="0.25">
      <c r="B76" s="108">
        <v>42441</v>
      </c>
      <c r="C76" s="72">
        <f t="shared" si="3"/>
        <v>72</v>
      </c>
      <c r="D76" s="19">
        <v>0</v>
      </c>
      <c r="E76" s="19">
        <v>0</v>
      </c>
      <c r="F76" s="19">
        <v>0</v>
      </c>
      <c r="G76" s="19">
        <v>0</v>
      </c>
      <c r="H76" s="19">
        <v>0</v>
      </c>
      <c r="I76" s="19">
        <v>0</v>
      </c>
      <c r="J76" s="19">
        <v>0</v>
      </c>
      <c r="K76" s="19">
        <v>108.66379450840574</v>
      </c>
      <c r="L76" s="19">
        <v>305.85119891106382</v>
      </c>
      <c r="M76" s="19">
        <v>525.54539450322295</v>
      </c>
      <c r="N76" s="19">
        <v>721.54520280319343</v>
      </c>
      <c r="O76" s="19">
        <v>874.8546634446061</v>
      </c>
      <c r="P76" s="19">
        <v>1065.3878510506395</v>
      </c>
      <c r="Q76" s="19">
        <v>1052.6568669996129</v>
      </c>
      <c r="R76" s="19">
        <v>927.19792795603507</v>
      </c>
      <c r="S76" s="19">
        <v>675.02181244952669</v>
      </c>
      <c r="T76" s="19">
        <v>286.2581156319556</v>
      </c>
      <c r="U76" s="19">
        <v>53.182557697495312</v>
      </c>
      <c r="V76" s="19">
        <v>0</v>
      </c>
      <c r="W76" s="19">
        <v>0</v>
      </c>
      <c r="X76" s="19">
        <v>0</v>
      </c>
      <c r="Y76" s="19">
        <v>0</v>
      </c>
      <c r="Z76" s="19">
        <v>0</v>
      </c>
      <c r="AA76" s="19">
        <v>0</v>
      </c>
      <c r="AC76" s="76">
        <f t="shared" si="2"/>
        <v>6.5961653859557581</v>
      </c>
      <c r="AD76" s="77"/>
      <c r="AE76" s="72"/>
    </row>
    <row r="77" spans="2:31" x14ac:dyDescent="0.25">
      <c r="B77" s="108">
        <v>42442</v>
      </c>
      <c r="C77" s="72">
        <f t="shared" si="3"/>
        <v>73</v>
      </c>
      <c r="D77" s="19">
        <v>0</v>
      </c>
      <c r="E77" s="19">
        <v>0</v>
      </c>
      <c r="F77" s="19">
        <v>0</v>
      </c>
      <c r="G77" s="19">
        <v>0</v>
      </c>
      <c r="H77" s="19">
        <v>0</v>
      </c>
      <c r="I77" s="19">
        <v>0</v>
      </c>
      <c r="J77" s="19">
        <v>0</v>
      </c>
      <c r="K77" s="19">
        <v>109.8488152512132</v>
      </c>
      <c r="L77" s="19">
        <v>304.68160126701275</v>
      </c>
      <c r="M77" s="19">
        <v>523.56042886198054</v>
      </c>
      <c r="N77" s="19">
        <v>722.67275068773449</v>
      </c>
      <c r="O77" s="19">
        <v>870.41474211345621</v>
      </c>
      <c r="P77" s="19">
        <v>1064.6438994125085</v>
      </c>
      <c r="Q77" s="19">
        <v>1052.6110806702193</v>
      </c>
      <c r="R77" s="19">
        <v>928.75356076848061</v>
      </c>
      <c r="S77" s="19">
        <v>679.53278842155316</v>
      </c>
      <c r="T77" s="19">
        <v>294.68641759471132</v>
      </c>
      <c r="U77" s="19">
        <v>69.140511694478064</v>
      </c>
      <c r="V77" s="19">
        <v>0</v>
      </c>
      <c r="W77" s="19">
        <v>0</v>
      </c>
      <c r="X77" s="19">
        <v>0</v>
      </c>
      <c r="Y77" s="19">
        <v>0</v>
      </c>
      <c r="Z77" s="19">
        <v>0</v>
      </c>
      <c r="AA77" s="19">
        <v>0</v>
      </c>
      <c r="AC77" s="76">
        <f t="shared" si="2"/>
        <v>6.6205465967433472</v>
      </c>
      <c r="AD77" s="77"/>
      <c r="AE77" s="72"/>
    </row>
    <row r="78" spans="2:31" x14ac:dyDescent="0.25">
      <c r="B78" s="108">
        <v>42443</v>
      </c>
      <c r="C78" s="72">
        <f t="shared" si="3"/>
        <v>74</v>
      </c>
      <c r="D78" s="19">
        <v>0</v>
      </c>
      <c r="E78" s="19">
        <v>0</v>
      </c>
      <c r="F78" s="19">
        <v>0</v>
      </c>
      <c r="G78" s="19">
        <v>0</v>
      </c>
      <c r="H78" s="19">
        <v>0</v>
      </c>
      <c r="I78" s="19">
        <v>0</v>
      </c>
      <c r="J78" s="19">
        <v>0</v>
      </c>
      <c r="K78" s="19">
        <v>108.80445988054083</v>
      </c>
      <c r="L78" s="19">
        <v>300.97897574161669</v>
      </c>
      <c r="M78" s="19">
        <v>520.03668410299122</v>
      </c>
      <c r="N78" s="19">
        <v>715.92731574896186</v>
      </c>
      <c r="O78" s="19">
        <v>865.05209748402808</v>
      </c>
      <c r="P78" s="19">
        <v>1063.7624274634643</v>
      </c>
      <c r="Q78" s="19">
        <v>1052.4129521645539</v>
      </c>
      <c r="R78" s="19">
        <v>930.14011570222897</v>
      </c>
      <c r="S78" s="19">
        <v>683.84892670671798</v>
      </c>
      <c r="T78" s="19">
        <v>302.99427473542119</v>
      </c>
      <c r="U78" s="19">
        <v>104.7781089319942</v>
      </c>
      <c r="V78" s="19">
        <v>0</v>
      </c>
      <c r="W78" s="19">
        <v>0</v>
      </c>
      <c r="X78" s="19">
        <v>0</v>
      </c>
      <c r="Y78" s="19">
        <v>0</v>
      </c>
      <c r="Z78" s="19">
        <v>0</v>
      </c>
      <c r="AA78" s="19">
        <v>0</v>
      </c>
      <c r="AC78" s="76">
        <f t="shared" si="2"/>
        <v>6.6487363386625198</v>
      </c>
      <c r="AD78" s="77"/>
      <c r="AE78" s="72"/>
    </row>
    <row r="79" spans="2:31" x14ac:dyDescent="0.25">
      <c r="B79" s="108">
        <v>42444</v>
      </c>
      <c r="C79" s="72">
        <f t="shared" si="3"/>
        <v>75</v>
      </c>
      <c r="D79" s="19">
        <v>0</v>
      </c>
      <c r="E79" s="19">
        <v>0</v>
      </c>
      <c r="F79" s="19">
        <v>0</v>
      </c>
      <c r="G79" s="19">
        <v>0</v>
      </c>
      <c r="H79" s="19">
        <v>0</v>
      </c>
      <c r="I79" s="19">
        <v>0</v>
      </c>
      <c r="J79" s="19">
        <v>0</v>
      </c>
      <c r="K79" s="19">
        <v>109.82644193595573</v>
      </c>
      <c r="L79" s="19">
        <v>303.66430185117446</v>
      </c>
      <c r="M79" s="19">
        <v>520.55774846043812</v>
      </c>
      <c r="N79" s="19">
        <v>717.92382925693983</v>
      </c>
      <c r="O79" s="19">
        <v>867.03121774477916</v>
      </c>
      <c r="P79" s="19">
        <v>1062.7444460790814</v>
      </c>
      <c r="Q79" s="19">
        <v>1052.063445092776</v>
      </c>
      <c r="R79" s="19">
        <v>931.35834496774407</v>
      </c>
      <c r="S79" s="19">
        <v>687.97022778429073</v>
      </c>
      <c r="T79" s="19">
        <v>311.16877042383584</v>
      </c>
      <c r="U79" s="19">
        <v>171.61078478902888</v>
      </c>
      <c r="V79" s="19">
        <v>0</v>
      </c>
      <c r="W79" s="19">
        <v>0</v>
      </c>
      <c r="X79" s="19">
        <v>0</v>
      </c>
      <c r="Y79" s="19">
        <v>0</v>
      </c>
      <c r="Z79" s="19">
        <v>0</v>
      </c>
      <c r="AA79" s="19">
        <v>0</v>
      </c>
      <c r="AC79" s="76">
        <f t="shared" si="2"/>
        <v>6.7359195583860449</v>
      </c>
      <c r="AD79" s="77"/>
      <c r="AE79" s="72"/>
    </row>
    <row r="80" spans="2:31" x14ac:dyDescent="0.25">
      <c r="B80" s="108">
        <v>42445</v>
      </c>
      <c r="C80" s="72">
        <f t="shared" si="3"/>
        <v>76</v>
      </c>
      <c r="D80" s="19">
        <v>0</v>
      </c>
      <c r="E80" s="19">
        <v>0</v>
      </c>
      <c r="F80" s="19">
        <v>0</v>
      </c>
      <c r="G80" s="19">
        <v>0</v>
      </c>
      <c r="H80" s="19">
        <v>0</v>
      </c>
      <c r="I80" s="19">
        <v>0</v>
      </c>
      <c r="J80" s="19">
        <v>0</v>
      </c>
      <c r="K80" s="19">
        <v>111.28027794856314</v>
      </c>
      <c r="L80" s="19">
        <v>305.83849862384716</v>
      </c>
      <c r="M80" s="19">
        <v>522.54911695584542</v>
      </c>
      <c r="N80" s="19">
        <v>716.72633626844458</v>
      </c>
      <c r="O80" s="19">
        <v>862.80453634981166</v>
      </c>
      <c r="P80" s="19">
        <v>1061.5911257287012</v>
      </c>
      <c r="Q80" s="19">
        <v>1051.5636999871681</v>
      </c>
      <c r="R80" s="19">
        <v>932.40919905231817</v>
      </c>
      <c r="S80" s="19">
        <v>691.89696349459621</v>
      </c>
      <c r="T80" s="19">
        <v>319.19828499078506</v>
      </c>
      <c r="U80" s="19">
        <v>263.53732316349448</v>
      </c>
      <c r="V80" s="19">
        <v>0</v>
      </c>
      <c r="W80" s="19">
        <v>0</v>
      </c>
      <c r="X80" s="19">
        <v>0</v>
      </c>
      <c r="Y80" s="19">
        <v>0</v>
      </c>
      <c r="Z80" s="19">
        <v>0</v>
      </c>
      <c r="AA80" s="19">
        <v>0</v>
      </c>
      <c r="AC80" s="76">
        <f t="shared" si="2"/>
        <v>6.8393953625635762</v>
      </c>
      <c r="AD80" s="77"/>
      <c r="AE80" s="72"/>
    </row>
    <row r="81" spans="2:31" x14ac:dyDescent="0.25">
      <c r="B81" s="108">
        <v>42446</v>
      </c>
      <c r="C81" s="72">
        <f t="shared" si="3"/>
        <v>77</v>
      </c>
      <c r="D81" s="19">
        <v>0</v>
      </c>
      <c r="E81" s="19">
        <v>0</v>
      </c>
      <c r="F81" s="19">
        <v>0</v>
      </c>
      <c r="G81" s="19">
        <v>0</v>
      </c>
      <c r="H81" s="19">
        <v>0</v>
      </c>
      <c r="I81" s="19">
        <v>0</v>
      </c>
      <c r="J81" s="19">
        <v>0</v>
      </c>
      <c r="K81" s="19">
        <v>112.02698141642551</v>
      </c>
      <c r="L81" s="19">
        <v>305.81518874102778</v>
      </c>
      <c r="M81" s="19">
        <v>521.00962729547268</v>
      </c>
      <c r="N81" s="19">
        <v>716.14702578425931</v>
      </c>
      <c r="O81" s="19">
        <v>861.8846269449615</v>
      </c>
      <c r="P81" s="19">
        <v>1060.3037928469059</v>
      </c>
      <c r="Q81" s="19">
        <v>1050.9150300797276</v>
      </c>
      <c r="R81" s="19">
        <v>933.29382137428365</v>
      </c>
      <c r="S81" s="19">
        <v>695.62966702197787</v>
      </c>
      <c r="T81" s="19">
        <v>327.07243343109889</v>
      </c>
      <c r="U81" s="19">
        <v>326.10984015704389</v>
      </c>
      <c r="V81" s="19">
        <v>0</v>
      </c>
      <c r="W81" s="19">
        <v>0</v>
      </c>
      <c r="X81" s="19">
        <v>0</v>
      </c>
      <c r="Y81" s="19">
        <v>0</v>
      </c>
      <c r="Z81" s="19">
        <v>0</v>
      </c>
      <c r="AA81" s="19">
        <v>0</v>
      </c>
      <c r="AC81" s="76">
        <f t="shared" si="2"/>
        <v>6.9102080350931843</v>
      </c>
      <c r="AD81" s="77"/>
      <c r="AE81" s="72"/>
    </row>
    <row r="82" spans="2:31" x14ac:dyDescent="0.25">
      <c r="B82" s="108">
        <v>42447</v>
      </c>
      <c r="C82" s="72">
        <f t="shared" si="3"/>
        <v>78</v>
      </c>
      <c r="D82" s="19">
        <v>0</v>
      </c>
      <c r="E82" s="19">
        <v>0</v>
      </c>
      <c r="F82" s="19">
        <v>0</v>
      </c>
      <c r="G82" s="19">
        <v>0</v>
      </c>
      <c r="H82" s="19">
        <v>0</v>
      </c>
      <c r="I82" s="19">
        <v>0</v>
      </c>
      <c r="J82" s="19">
        <v>0</v>
      </c>
      <c r="K82" s="19">
        <v>112.23488341114505</v>
      </c>
      <c r="L82" s="19">
        <v>305.33514505622236</v>
      </c>
      <c r="M82" s="19">
        <v>519.02926651487553</v>
      </c>
      <c r="N82" s="19">
        <v>712.33254294265646</v>
      </c>
      <c r="O82" s="19">
        <v>857.48913421671773</v>
      </c>
      <c r="P82" s="19">
        <v>1058.8839260244808</v>
      </c>
      <c r="Q82" s="19">
        <v>1050.1189168989295</v>
      </c>
      <c r="R82" s="19">
        <v>934.01354278762813</v>
      </c>
      <c r="S82" s="19">
        <v>699.16912288615742</v>
      </c>
      <c r="T82" s="19">
        <v>334.78200162328648</v>
      </c>
      <c r="U82" s="19">
        <v>319.44147791400411</v>
      </c>
      <c r="V82" s="19">
        <v>0</v>
      </c>
      <c r="W82" s="19">
        <v>0</v>
      </c>
      <c r="X82" s="19">
        <v>0</v>
      </c>
      <c r="Y82" s="19">
        <v>0</v>
      </c>
      <c r="Z82" s="19">
        <v>0</v>
      </c>
      <c r="AA82" s="19">
        <v>0</v>
      </c>
      <c r="AC82" s="76">
        <f t="shared" si="2"/>
        <v>6.9028299602761036</v>
      </c>
      <c r="AD82" s="77"/>
      <c r="AE82" s="72"/>
    </row>
    <row r="83" spans="2:31" x14ac:dyDescent="0.25">
      <c r="B83" s="108">
        <v>42448</v>
      </c>
      <c r="C83" s="72">
        <f t="shared" si="3"/>
        <v>79</v>
      </c>
      <c r="D83" s="19">
        <v>0</v>
      </c>
      <c r="E83" s="19">
        <v>0</v>
      </c>
      <c r="F83" s="19">
        <v>0</v>
      </c>
      <c r="G83" s="19">
        <v>0</v>
      </c>
      <c r="H83" s="19">
        <v>0</v>
      </c>
      <c r="I83" s="19">
        <v>0</v>
      </c>
      <c r="J83" s="19">
        <v>0</v>
      </c>
      <c r="K83" s="19">
        <v>112.16767759434337</v>
      </c>
      <c r="L83" s="19">
        <v>304.53519769767371</v>
      </c>
      <c r="M83" s="19">
        <v>516.40095957786752</v>
      </c>
      <c r="N83" s="19">
        <v>708.60310618867186</v>
      </c>
      <c r="O83" s="19">
        <v>852.71382862982671</v>
      </c>
      <c r="P83" s="19">
        <v>1057.3331520279883</v>
      </c>
      <c r="Q83" s="19">
        <v>1049.1770056958787</v>
      </c>
      <c r="R83" s="19">
        <v>934.56987594908946</v>
      </c>
      <c r="S83" s="19">
        <v>702.51635696388303</v>
      </c>
      <c r="T83" s="19">
        <v>342.31888202293328</v>
      </c>
      <c r="U83" s="19">
        <v>263.70438507847825</v>
      </c>
      <c r="V83" s="19">
        <v>0</v>
      </c>
      <c r="W83" s="19">
        <v>0</v>
      </c>
      <c r="X83" s="19">
        <v>0</v>
      </c>
      <c r="Y83" s="19">
        <v>0</v>
      </c>
      <c r="Z83" s="19">
        <v>0</v>
      </c>
      <c r="AA83" s="19">
        <v>0</v>
      </c>
      <c r="AC83" s="76">
        <f t="shared" si="2"/>
        <v>6.8440404274266342</v>
      </c>
      <c r="AD83" s="77"/>
      <c r="AE83" s="72"/>
    </row>
    <row r="84" spans="2:31" x14ac:dyDescent="0.25">
      <c r="B84" s="108">
        <v>42449</v>
      </c>
      <c r="C84" s="72">
        <f t="shared" si="3"/>
        <v>80</v>
      </c>
      <c r="D84" s="19">
        <v>0</v>
      </c>
      <c r="E84" s="19">
        <v>0</v>
      </c>
      <c r="F84" s="19">
        <v>0</v>
      </c>
      <c r="G84" s="19">
        <v>0</v>
      </c>
      <c r="H84" s="19">
        <v>0</v>
      </c>
      <c r="I84" s="19">
        <v>0</v>
      </c>
      <c r="J84" s="19">
        <v>0</v>
      </c>
      <c r="K84" s="19">
        <v>113.5207320573993</v>
      </c>
      <c r="L84" s="19">
        <v>304.86523231154149</v>
      </c>
      <c r="M84" s="19">
        <v>517.39451244306122</v>
      </c>
      <c r="N84" s="19">
        <v>709.06377933307215</v>
      </c>
      <c r="O84" s="19">
        <v>853.91738766354297</v>
      </c>
      <c r="P84" s="19">
        <v>1055.6532416572788</v>
      </c>
      <c r="Q84" s="19">
        <v>1048.0911007101727</v>
      </c>
      <c r="R84" s="19">
        <v>934.96450955955743</v>
      </c>
      <c r="S84" s="19">
        <v>705.67262656009018</v>
      </c>
      <c r="T84" s="19">
        <v>349.67600961877281</v>
      </c>
      <c r="U84" s="19">
        <v>198.52525480839628</v>
      </c>
      <c r="V84" s="19">
        <v>0</v>
      </c>
      <c r="W84" s="19">
        <v>0</v>
      </c>
      <c r="X84" s="19">
        <v>0</v>
      </c>
      <c r="Y84" s="19">
        <v>0</v>
      </c>
      <c r="Z84" s="19">
        <v>0</v>
      </c>
      <c r="AA84" s="19">
        <v>0</v>
      </c>
      <c r="AC84" s="76">
        <f t="shared" si="2"/>
        <v>6.7913443867228853</v>
      </c>
      <c r="AD84" s="77"/>
      <c r="AE84" s="72"/>
    </row>
    <row r="85" spans="2:31" x14ac:dyDescent="0.25">
      <c r="B85" s="108">
        <v>42450</v>
      </c>
      <c r="C85" s="72">
        <f t="shared" si="3"/>
        <v>81</v>
      </c>
      <c r="D85" s="19">
        <v>0</v>
      </c>
      <c r="E85" s="19">
        <v>0</v>
      </c>
      <c r="F85" s="19">
        <v>0</v>
      </c>
      <c r="G85" s="19">
        <v>0</v>
      </c>
      <c r="H85" s="19">
        <v>0</v>
      </c>
      <c r="I85" s="19">
        <v>0</v>
      </c>
      <c r="J85" s="19">
        <v>0</v>
      </c>
      <c r="K85" s="19">
        <v>114.2531677706082</v>
      </c>
      <c r="L85" s="19">
        <v>306.47165140636781</v>
      </c>
      <c r="M85" s="19">
        <v>518.58460257620345</v>
      </c>
      <c r="N85" s="19">
        <v>709.49230941531903</v>
      </c>
      <c r="O85" s="19">
        <v>854.42354787535476</v>
      </c>
      <c r="P85" s="19">
        <v>1053.8461054504435</v>
      </c>
      <c r="Q85" s="19">
        <v>1046.8631602858784</v>
      </c>
      <c r="R85" s="19">
        <v>935.19930249135462</v>
      </c>
      <c r="S85" s="19">
        <v>708.63941054538191</v>
      </c>
      <c r="T85" s="19">
        <v>356.84729878965277</v>
      </c>
      <c r="U85" s="19">
        <v>148.47398979346389</v>
      </c>
      <c r="V85" s="19">
        <v>0</v>
      </c>
      <c r="W85" s="19">
        <v>0</v>
      </c>
      <c r="X85" s="19">
        <v>0</v>
      </c>
      <c r="Y85" s="19">
        <v>0</v>
      </c>
      <c r="Z85" s="19">
        <v>0</v>
      </c>
      <c r="AA85" s="19">
        <v>0</v>
      </c>
      <c r="AC85" s="76">
        <f t="shared" si="2"/>
        <v>6.7530945464000292</v>
      </c>
      <c r="AD85" s="77"/>
      <c r="AE85" s="72"/>
    </row>
    <row r="86" spans="2:31" x14ac:dyDescent="0.25">
      <c r="B86" s="108">
        <v>42451</v>
      </c>
      <c r="C86" s="72">
        <f t="shared" si="3"/>
        <v>82</v>
      </c>
      <c r="D86" s="19">
        <v>0</v>
      </c>
      <c r="E86" s="19">
        <v>0</v>
      </c>
      <c r="F86" s="19">
        <v>0</v>
      </c>
      <c r="G86" s="19">
        <v>0</v>
      </c>
      <c r="H86" s="19">
        <v>0</v>
      </c>
      <c r="I86" s="19">
        <v>0</v>
      </c>
      <c r="J86" s="19">
        <v>0</v>
      </c>
      <c r="K86" s="19">
        <v>115.55038212532978</v>
      </c>
      <c r="L86" s="19">
        <v>307.48325248467614</v>
      </c>
      <c r="M86" s="19">
        <v>519.73304617055874</v>
      </c>
      <c r="N86" s="19">
        <v>713.66962188790069</v>
      </c>
      <c r="O86" s="19">
        <v>860.78594601386567</v>
      </c>
      <c r="P86" s="19">
        <v>1051.9137892458523</v>
      </c>
      <c r="Q86" s="19">
        <v>1045.4952918481085</v>
      </c>
      <c r="R86" s="19">
        <v>935.27627781272702</v>
      </c>
      <c r="S86" s="19">
        <v>711.41839957447542</v>
      </c>
      <c r="T86" s="19">
        <v>363.82758156782387</v>
      </c>
      <c r="U86" s="19">
        <v>114.96152202443892</v>
      </c>
      <c r="V86" s="19">
        <v>0</v>
      </c>
      <c r="W86" s="19">
        <v>0</v>
      </c>
      <c r="X86" s="19">
        <v>0</v>
      </c>
      <c r="Y86" s="19">
        <v>0</v>
      </c>
      <c r="Z86" s="19">
        <v>0</v>
      </c>
      <c r="AA86" s="19">
        <v>0</v>
      </c>
      <c r="AC86" s="76">
        <f t="shared" si="2"/>
        <v>6.740115110755756</v>
      </c>
      <c r="AD86" s="77"/>
      <c r="AE86" s="72"/>
    </row>
    <row r="87" spans="2:31" x14ac:dyDescent="0.25">
      <c r="B87" s="108">
        <v>42452</v>
      </c>
      <c r="C87" s="72">
        <f t="shared" si="3"/>
        <v>83</v>
      </c>
      <c r="D87" s="19">
        <v>0</v>
      </c>
      <c r="E87" s="19">
        <v>0</v>
      </c>
      <c r="F87" s="19">
        <v>0</v>
      </c>
      <c r="G87" s="19">
        <v>0</v>
      </c>
      <c r="H87" s="19">
        <v>0</v>
      </c>
      <c r="I87" s="19">
        <v>0</v>
      </c>
      <c r="J87" s="19">
        <v>0</v>
      </c>
      <c r="K87" s="19">
        <v>117.44172928947211</v>
      </c>
      <c r="L87" s="19">
        <v>312.03918075384047</v>
      </c>
      <c r="M87" s="19">
        <v>525.08222584439238</v>
      </c>
      <c r="N87" s="19">
        <v>717.33657414734091</v>
      </c>
      <c r="O87" s="19">
        <v>870.57544449472891</v>
      </c>
      <c r="P87" s="19">
        <v>1049.8584696111016</v>
      </c>
      <c r="Q87" s="19">
        <v>1043.9897467507797</v>
      </c>
      <c r="R87" s="19">
        <v>935.1976167207049</v>
      </c>
      <c r="S87" s="19">
        <v>714.01148639841392</v>
      </c>
      <c r="T87" s="19">
        <v>370.61254769882657</v>
      </c>
      <c r="U87" s="19">
        <v>93.646211982593471</v>
      </c>
      <c r="V87" s="19">
        <v>0</v>
      </c>
      <c r="W87" s="19">
        <v>0</v>
      </c>
      <c r="X87" s="19">
        <v>0</v>
      </c>
      <c r="Y87" s="19">
        <v>0</v>
      </c>
      <c r="Z87" s="19">
        <v>0</v>
      </c>
      <c r="AA87" s="19">
        <v>0</v>
      </c>
      <c r="AC87" s="76">
        <f t="shared" si="2"/>
        <v>6.7497912336921946</v>
      </c>
      <c r="AD87" s="77"/>
      <c r="AE87" s="72"/>
    </row>
    <row r="88" spans="2:31" x14ac:dyDescent="0.25">
      <c r="B88" s="108">
        <v>42453</v>
      </c>
      <c r="C88" s="72">
        <f t="shared" si="3"/>
        <v>84</v>
      </c>
      <c r="D88" s="19">
        <v>0</v>
      </c>
      <c r="E88" s="19">
        <v>0</v>
      </c>
      <c r="F88" s="19">
        <v>0</v>
      </c>
      <c r="G88" s="19">
        <v>0</v>
      </c>
      <c r="H88" s="19">
        <v>0</v>
      </c>
      <c r="I88" s="19">
        <v>0</v>
      </c>
      <c r="J88" s="19">
        <v>0</v>
      </c>
      <c r="K88" s="19">
        <v>118.08052926098108</v>
      </c>
      <c r="L88" s="19">
        <v>309.31171261435259</v>
      </c>
      <c r="M88" s="19">
        <v>518.57849816225132</v>
      </c>
      <c r="N88" s="19">
        <v>709.51006966756916</v>
      </c>
      <c r="O88" s="19">
        <v>851.81298292998201</v>
      </c>
      <c r="P88" s="19">
        <v>1047.6824491488219</v>
      </c>
      <c r="Q88" s="19">
        <v>1042.3489150061782</v>
      </c>
      <c r="R88" s="19">
        <v>934.96565239327492</v>
      </c>
      <c r="S88" s="19">
        <v>716.42075628163786</v>
      </c>
      <c r="T88" s="19">
        <v>377.19868678961217</v>
      </c>
      <c r="U88" s="19">
        <v>80.377345923425594</v>
      </c>
      <c r="V88" s="19">
        <v>0</v>
      </c>
      <c r="W88" s="19">
        <v>0</v>
      </c>
      <c r="X88" s="19">
        <v>0</v>
      </c>
      <c r="Y88" s="19">
        <v>0</v>
      </c>
      <c r="Z88" s="19">
        <v>0</v>
      </c>
      <c r="AA88" s="19">
        <v>0</v>
      </c>
      <c r="AC88" s="76">
        <f t="shared" si="2"/>
        <v>6.7062875981780863</v>
      </c>
      <c r="AD88" s="77"/>
      <c r="AE88" s="72"/>
    </row>
    <row r="89" spans="2:31" x14ac:dyDescent="0.25">
      <c r="B89" s="108">
        <v>42454</v>
      </c>
      <c r="C89" s="72">
        <f t="shared" si="3"/>
        <v>85</v>
      </c>
      <c r="D89" s="19">
        <v>0</v>
      </c>
      <c r="E89" s="19">
        <v>0</v>
      </c>
      <c r="F89" s="19">
        <v>0</v>
      </c>
      <c r="G89" s="19">
        <v>0</v>
      </c>
      <c r="H89" s="19">
        <v>0</v>
      </c>
      <c r="I89" s="19">
        <v>0</v>
      </c>
      <c r="J89" s="19">
        <v>0</v>
      </c>
      <c r="K89" s="19">
        <v>117.75120458212527</v>
      </c>
      <c r="L89" s="19">
        <v>308.44489292848078</v>
      </c>
      <c r="M89" s="19">
        <v>515.54089985338749</v>
      </c>
      <c r="N89" s="19">
        <v>703.95600092779455</v>
      </c>
      <c r="O89" s="19">
        <v>844.97654449514516</v>
      </c>
      <c r="P89" s="19">
        <v>1045.388151689408</v>
      </c>
      <c r="Q89" s="19">
        <v>1040.5753199070459</v>
      </c>
      <c r="R89" s="19">
        <v>934.58286377166689</v>
      </c>
      <c r="S89" s="19">
        <v>718.64847753359095</v>
      </c>
      <c r="T89" s="19">
        <v>383.58323275322527</v>
      </c>
      <c r="U89" s="19">
        <v>72.321512413529845</v>
      </c>
      <c r="V89" s="19">
        <v>0</v>
      </c>
      <c r="W89" s="19">
        <v>0</v>
      </c>
      <c r="X89" s="19">
        <v>0</v>
      </c>
      <c r="Y89" s="19">
        <v>0</v>
      </c>
      <c r="Z89" s="19">
        <v>0</v>
      </c>
      <c r="AA89" s="19">
        <v>0</v>
      </c>
      <c r="AC89" s="76">
        <f t="shared" si="2"/>
        <v>6.6857691008554001</v>
      </c>
      <c r="AD89" s="77"/>
      <c r="AE89" s="72"/>
    </row>
    <row r="90" spans="2:31" x14ac:dyDescent="0.25">
      <c r="B90" s="108">
        <v>42455</v>
      </c>
      <c r="C90" s="72">
        <f t="shared" si="3"/>
        <v>86</v>
      </c>
      <c r="D90" s="19">
        <v>0</v>
      </c>
      <c r="E90" s="19">
        <v>0</v>
      </c>
      <c r="F90" s="19">
        <v>0</v>
      </c>
      <c r="G90" s="19">
        <v>0</v>
      </c>
      <c r="H90" s="19">
        <v>0</v>
      </c>
      <c r="I90" s="19">
        <v>0</v>
      </c>
      <c r="J90" s="19">
        <v>0</v>
      </c>
      <c r="K90" s="19">
        <v>117.79239735841095</v>
      </c>
      <c r="L90" s="19">
        <v>307.81436426133394</v>
      </c>
      <c r="M90" s="19">
        <v>515.09753698194152</v>
      </c>
      <c r="N90" s="19">
        <v>702.18818717345721</v>
      </c>
      <c r="O90" s="19">
        <v>840.88239332004207</v>
      </c>
      <c r="P90" s="19">
        <v>1042.9781173808599</v>
      </c>
      <c r="Q90" s="19">
        <v>1038.6716125519313</v>
      </c>
      <c r="R90" s="19">
        <v>934.05186928337332</v>
      </c>
      <c r="S90" s="19">
        <v>720.69709216326737</v>
      </c>
      <c r="T90" s="19">
        <v>389.7641106887603</v>
      </c>
      <c r="U90" s="19">
        <v>67.712497565657785</v>
      </c>
      <c r="V90" s="19">
        <v>0</v>
      </c>
      <c r="W90" s="19">
        <v>0</v>
      </c>
      <c r="X90" s="19">
        <v>0</v>
      </c>
      <c r="Y90" s="19">
        <v>0</v>
      </c>
      <c r="Z90" s="19">
        <v>0</v>
      </c>
      <c r="AA90" s="19">
        <v>0</v>
      </c>
      <c r="AC90" s="76">
        <f t="shared" si="2"/>
        <v>6.677650178729035</v>
      </c>
      <c r="AD90" s="77"/>
      <c r="AE90" s="72"/>
    </row>
    <row r="91" spans="2:31" x14ac:dyDescent="0.25">
      <c r="B91" s="108">
        <v>42456</v>
      </c>
      <c r="C91" s="72">
        <f t="shared" si="3"/>
        <v>87</v>
      </c>
      <c r="D91" s="19">
        <v>0</v>
      </c>
      <c r="E91" s="19">
        <v>0</v>
      </c>
      <c r="F91" s="19">
        <v>0</v>
      </c>
      <c r="G91" s="19">
        <v>0</v>
      </c>
      <c r="H91" s="19">
        <v>0</v>
      </c>
      <c r="I91" s="19">
        <v>0</v>
      </c>
      <c r="J91" s="19">
        <v>0</v>
      </c>
      <c r="K91" s="19">
        <v>120.06631719652313</v>
      </c>
      <c r="L91" s="19">
        <v>314.45596176455859</v>
      </c>
      <c r="M91" s="19">
        <v>514.03123130480526</v>
      </c>
      <c r="N91" s="19">
        <v>700.67116708168658</v>
      </c>
      <c r="O91" s="19">
        <v>842.8364216431072</v>
      </c>
      <c r="P91" s="19">
        <v>1040.454997685996</v>
      </c>
      <c r="Q91" s="19">
        <v>1036.6405662846034</v>
      </c>
      <c r="R91" s="19">
        <v>933.37542051639889</v>
      </c>
      <c r="S91" s="19">
        <v>722.56920666401277</v>
      </c>
      <c r="T91" s="19">
        <v>395.73988627789782</v>
      </c>
      <c r="U91" s="19">
        <v>65.46600312512669</v>
      </c>
      <c r="V91" s="19">
        <v>0</v>
      </c>
      <c r="W91" s="19">
        <v>0</v>
      </c>
      <c r="X91" s="19">
        <v>0</v>
      </c>
      <c r="Y91" s="19">
        <v>0</v>
      </c>
      <c r="Z91" s="19">
        <v>0</v>
      </c>
      <c r="AA91" s="19">
        <v>0</v>
      </c>
      <c r="AC91" s="76">
        <f t="shared" si="2"/>
        <v>6.686307179544718</v>
      </c>
      <c r="AD91" s="77"/>
      <c r="AE91" s="72"/>
    </row>
    <row r="92" spans="2:31" x14ac:dyDescent="0.25">
      <c r="B92" s="108">
        <v>42457</v>
      </c>
      <c r="C92" s="72">
        <f t="shared" si="3"/>
        <v>88</v>
      </c>
      <c r="D92" s="19">
        <v>0</v>
      </c>
      <c r="E92" s="19">
        <v>0</v>
      </c>
      <c r="F92" s="19">
        <v>0</v>
      </c>
      <c r="G92" s="19">
        <v>0</v>
      </c>
      <c r="H92" s="19">
        <v>0</v>
      </c>
      <c r="I92" s="19">
        <v>0</v>
      </c>
      <c r="J92" s="19">
        <v>0</v>
      </c>
      <c r="K92" s="19">
        <v>120.38822574514074</v>
      </c>
      <c r="L92" s="19">
        <v>310.41228441441729</v>
      </c>
      <c r="M92" s="19">
        <v>517.36328912446834</v>
      </c>
      <c r="N92" s="19">
        <v>704.83638336758929</v>
      </c>
      <c r="O92" s="19">
        <v>845.78331556001251</v>
      </c>
      <c r="P92" s="19">
        <v>1037.8215502973751</v>
      </c>
      <c r="Q92" s="19">
        <v>1034.4850710583262</v>
      </c>
      <c r="R92" s="19">
        <v>932.5563958550714</v>
      </c>
      <c r="S92" s="19">
        <v>724.26758293496698</v>
      </c>
      <c r="T92" s="19">
        <v>401.50971773254821</v>
      </c>
      <c r="U92" s="19">
        <v>64.906073793277699</v>
      </c>
      <c r="V92" s="19">
        <v>0</v>
      </c>
      <c r="W92" s="19">
        <v>0</v>
      </c>
      <c r="X92" s="19">
        <v>0</v>
      </c>
      <c r="Y92" s="19">
        <v>0</v>
      </c>
      <c r="Z92" s="19">
        <v>0</v>
      </c>
      <c r="AA92" s="19">
        <v>0</v>
      </c>
      <c r="AC92" s="76">
        <f t="shared" si="2"/>
        <v>6.6943298898831936</v>
      </c>
      <c r="AD92" s="77"/>
      <c r="AE92" s="72"/>
    </row>
    <row r="93" spans="2:31" x14ac:dyDescent="0.25">
      <c r="B93" s="108">
        <v>42458</v>
      </c>
      <c r="C93" s="72">
        <f t="shared" si="3"/>
        <v>89</v>
      </c>
      <c r="D93" s="19">
        <v>0</v>
      </c>
      <c r="E93" s="19">
        <v>0</v>
      </c>
      <c r="F93" s="19">
        <v>0</v>
      </c>
      <c r="G93" s="19">
        <v>0</v>
      </c>
      <c r="H93" s="19">
        <v>0</v>
      </c>
      <c r="I93" s="19">
        <v>0</v>
      </c>
      <c r="J93" s="19">
        <v>5.6914191793021374E-2</v>
      </c>
      <c r="K93" s="19">
        <v>120.54274205494175</v>
      </c>
      <c r="L93" s="19">
        <v>309.54853344085342</v>
      </c>
      <c r="M93" s="19">
        <v>514.8030122401891</v>
      </c>
      <c r="N93" s="19">
        <v>698.4938639747661</v>
      </c>
      <c r="O93" s="19">
        <v>837.86942425700624</v>
      </c>
      <c r="P93" s="19">
        <v>1035.0806339803144</v>
      </c>
      <c r="Q93" s="19">
        <v>1032.2081277358309</v>
      </c>
      <c r="R93" s="19">
        <v>931.59779408764155</v>
      </c>
      <c r="S93" s="19">
        <v>725.79512934473587</v>
      </c>
      <c r="T93" s="19">
        <v>407.07331029059088</v>
      </c>
      <c r="U93" s="19">
        <v>65.598803635889581</v>
      </c>
      <c r="V93" s="19">
        <v>0</v>
      </c>
      <c r="W93" s="19">
        <v>0</v>
      </c>
      <c r="X93" s="19">
        <v>0</v>
      </c>
      <c r="Y93" s="19">
        <v>0</v>
      </c>
      <c r="Z93" s="19">
        <v>0</v>
      </c>
      <c r="AA93" s="19">
        <v>0</v>
      </c>
      <c r="AC93" s="76">
        <f t="shared" si="2"/>
        <v>6.6786682892345528</v>
      </c>
      <c r="AD93" s="77"/>
      <c r="AE93" s="72"/>
    </row>
    <row r="94" spans="2:31" x14ac:dyDescent="0.25">
      <c r="B94" s="108">
        <v>42459</v>
      </c>
      <c r="C94" s="72">
        <f t="shared" si="3"/>
        <v>90</v>
      </c>
      <c r="D94" s="19">
        <v>0</v>
      </c>
      <c r="E94" s="19">
        <v>0</v>
      </c>
      <c r="F94" s="19">
        <v>0</v>
      </c>
      <c r="G94" s="19">
        <v>0</v>
      </c>
      <c r="H94" s="19">
        <v>0</v>
      </c>
      <c r="I94" s="19">
        <v>0</v>
      </c>
      <c r="J94" s="19">
        <v>0.25562895650942075</v>
      </c>
      <c r="K94" s="19">
        <v>120.14239667323361</v>
      </c>
      <c r="L94" s="19">
        <v>307.66109519708408</v>
      </c>
      <c r="M94" s="19">
        <v>510.82573156836094</v>
      </c>
      <c r="N94" s="19">
        <v>694.93119683575799</v>
      </c>
      <c r="O94" s="19">
        <v>834.42190126151979</v>
      </c>
      <c r="P94" s="19">
        <v>1032.2352033544157</v>
      </c>
      <c r="Q94" s="19">
        <v>1029.8128423357773</v>
      </c>
      <c r="R94" s="19">
        <v>930.50272799572349</v>
      </c>
      <c r="S94" s="19">
        <v>727.15489194219992</v>
      </c>
      <c r="T94" s="19">
        <v>412.43087322699381</v>
      </c>
      <c r="U94" s="19">
        <v>67.255293643491981</v>
      </c>
      <c r="V94" s="19">
        <v>0</v>
      </c>
      <c r="W94" s="19">
        <v>0</v>
      </c>
      <c r="X94" s="19">
        <v>0</v>
      </c>
      <c r="Y94" s="19">
        <v>0</v>
      </c>
      <c r="Z94" s="19">
        <v>0</v>
      </c>
      <c r="AA94" s="19">
        <v>0</v>
      </c>
      <c r="AC94" s="76">
        <f t="shared" si="2"/>
        <v>6.6676297829910691</v>
      </c>
      <c r="AD94" s="77"/>
      <c r="AE94" s="72"/>
    </row>
    <row r="95" spans="2:31" x14ac:dyDescent="0.25">
      <c r="B95" s="108">
        <v>42460</v>
      </c>
      <c r="C95" s="72">
        <f t="shared" si="3"/>
        <v>91</v>
      </c>
      <c r="D95" s="19">
        <v>0</v>
      </c>
      <c r="E95" s="19">
        <v>0</v>
      </c>
      <c r="F95" s="19">
        <v>0</v>
      </c>
      <c r="G95" s="19">
        <v>0</v>
      </c>
      <c r="H95" s="19">
        <v>0</v>
      </c>
      <c r="I95" s="19">
        <v>0</v>
      </c>
      <c r="J95" s="19">
        <v>0.47210096547854485</v>
      </c>
      <c r="K95" s="19">
        <v>122.53570663653522</v>
      </c>
      <c r="L95" s="19">
        <v>314.16800991787579</v>
      </c>
      <c r="M95" s="19">
        <v>517.87178437798161</v>
      </c>
      <c r="N95" s="19">
        <v>704.79071470770782</v>
      </c>
      <c r="O95" s="19">
        <v>846.80714018464698</v>
      </c>
      <c r="P95" s="19">
        <v>1029.2883036240212</v>
      </c>
      <c r="Q95" s="19">
        <v>1027.3024202365013</v>
      </c>
      <c r="R95" s="19">
        <v>929.27441793554044</v>
      </c>
      <c r="S95" s="19">
        <v>728.35004581879923</v>
      </c>
      <c r="T95" s="19">
        <v>417.58307932463089</v>
      </c>
      <c r="U95" s="19">
        <v>69.675123667557827</v>
      </c>
      <c r="V95" s="19">
        <v>0</v>
      </c>
      <c r="W95" s="19">
        <v>0</v>
      </c>
      <c r="X95" s="19">
        <v>0</v>
      </c>
      <c r="Y95" s="19">
        <v>0</v>
      </c>
      <c r="Z95" s="19">
        <v>0</v>
      </c>
      <c r="AA95" s="19">
        <v>0</v>
      </c>
      <c r="AC95" s="76">
        <f t="shared" si="2"/>
        <v>6.7081188473972766</v>
      </c>
      <c r="AD95" s="77"/>
      <c r="AE95" s="72"/>
    </row>
    <row r="96" spans="2:31" x14ac:dyDescent="0.25">
      <c r="B96" s="108">
        <v>42461</v>
      </c>
      <c r="C96" s="72">
        <f t="shared" si="3"/>
        <v>92</v>
      </c>
      <c r="D96" s="19">
        <v>0</v>
      </c>
      <c r="E96" s="19">
        <v>0</v>
      </c>
      <c r="F96" s="19">
        <v>0</v>
      </c>
      <c r="G96" s="19">
        <v>0</v>
      </c>
      <c r="H96" s="19">
        <v>0</v>
      </c>
      <c r="I96" s="19">
        <v>0</v>
      </c>
      <c r="J96" s="19">
        <v>0.71489087716898903</v>
      </c>
      <c r="K96" s="19">
        <v>122.91201110063332</v>
      </c>
      <c r="L96" s="19">
        <v>310.40947364293163</v>
      </c>
      <c r="M96" s="19">
        <v>512.92133150839311</v>
      </c>
      <c r="N96" s="19">
        <v>695.62542027152483</v>
      </c>
      <c r="O96" s="19">
        <v>832.13921043226469</v>
      </c>
      <c r="P96" s="19">
        <v>1026.2430652680041</v>
      </c>
      <c r="Q96" s="19">
        <v>1024.6801603477688</v>
      </c>
      <c r="R96" s="19">
        <v>927.91618542075355</v>
      </c>
      <c r="S96" s="19">
        <v>729.38388662615569</v>
      </c>
      <c r="T96" s="19">
        <v>422.53102673171014</v>
      </c>
      <c r="U96" s="19">
        <v>72.713017442307631</v>
      </c>
      <c r="V96" s="19">
        <v>0</v>
      </c>
      <c r="W96" s="19">
        <v>0</v>
      </c>
      <c r="X96" s="19">
        <v>0</v>
      </c>
      <c r="Y96" s="19">
        <v>0</v>
      </c>
      <c r="Z96" s="19">
        <v>0</v>
      </c>
      <c r="AA96" s="19">
        <v>0</v>
      </c>
      <c r="AC96" s="76">
        <f t="shared" si="2"/>
        <v>6.6781896796696154</v>
      </c>
      <c r="AD96" s="77"/>
      <c r="AE96" s="72"/>
    </row>
    <row r="97" spans="2:31" x14ac:dyDescent="0.25">
      <c r="B97" s="108">
        <v>42462</v>
      </c>
      <c r="C97" s="72">
        <f t="shared" si="3"/>
        <v>93</v>
      </c>
      <c r="D97" s="19">
        <v>0</v>
      </c>
      <c r="E97" s="19">
        <v>0</v>
      </c>
      <c r="F97" s="19">
        <v>0</v>
      </c>
      <c r="G97" s="19">
        <v>0</v>
      </c>
      <c r="H97" s="19">
        <v>0</v>
      </c>
      <c r="I97" s="19">
        <v>0</v>
      </c>
      <c r="J97" s="19">
        <v>0.97100351940295671</v>
      </c>
      <c r="K97" s="19">
        <v>123.97855378798815</v>
      </c>
      <c r="L97" s="19">
        <v>312.03549103439411</v>
      </c>
      <c r="M97" s="19">
        <v>515.74052873809796</v>
      </c>
      <c r="N97" s="19">
        <v>695.279047376005</v>
      </c>
      <c r="O97" s="19">
        <v>829.58352723039638</v>
      </c>
      <c r="P97" s="19">
        <v>1023.1026986992617</v>
      </c>
      <c r="Q97" s="19">
        <v>1021.9494492612141</v>
      </c>
      <c r="R97" s="19">
        <v>926.43144671655045</v>
      </c>
      <c r="S97" s="19">
        <v>730.25982225249254</v>
      </c>
      <c r="T97" s="19">
        <v>427.27620312002091</v>
      </c>
      <c r="U97" s="19">
        <v>76.258872960662558</v>
      </c>
      <c r="V97" s="19">
        <v>0</v>
      </c>
      <c r="W97" s="19">
        <v>0</v>
      </c>
      <c r="X97" s="19">
        <v>0</v>
      </c>
      <c r="Y97" s="19">
        <v>0</v>
      </c>
      <c r="Z97" s="19">
        <v>0</v>
      </c>
      <c r="AA97" s="19">
        <v>0</v>
      </c>
      <c r="AC97" s="76">
        <f t="shared" si="2"/>
        <v>6.6828666446964871</v>
      </c>
      <c r="AD97" s="77"/>
      <c r="AE97" s="72"/>
    </row>
    <row r="98" spans="2:31" x14ac:dyDescent="0.25">
      <c r="B98" s="108">
        <v>42463</v>
      </c>
      <c r="C98" s="72">
        <f t="shared" si="3"/>
        <v>94</v>
      </c>
      <c r="D98" s="19">
        <v>0</v>
      </c>
      <c r="E98" s="19">
        <v>0</v>
      </c>
      <c r="F98" s="19">
        <v>0</v>
      </c>
      <c r="G98" s="19">
        <v>0</v>
      </c>
      <c r="H98" s="19">
        <v>0</v>
      </c>
      <c r="I98" s="19">
        <v>0</v>
      </c>
      <c r="J98" s="19">
        <v>1.2276391270263405</v>
      </c>
      <c r="K98" s="19">
        <v>123.12560501068755</v>
      </c>
      <c r="L98" s="19">
        <v>307.73097440591204</v>
      </c>
      <c r="M98" s="19">
        <v>508.21642723291563</v>
      </c>
      <c r="N98" s="19">
        <v>687.17054959635004</v>
      </c>
      <c r="O98" s="19">
        <v>822.20331413691031</v>
      </c>
      <c r="P98" s="19">
        <v>1019.8704889042074</v>
      </c>
      <c r="Q98" s="19">
        <v>1019.1137553900348</v>
      </c>
      <c r="R98" s="19">
        <v>924.82370645448805</v>
      </c>
      <c r="S98" s="19">
        <v>730.98136466097435</v>
      </c>
      <c r="T98" s="19">
        <v>431.82045204937924</v>
      </c>
      <c r="U98" s="19">
        <v>80.225625079257867</v>
      </c>
      <c r="V98" s="19">
        <v>0</v>
      </c>
      <c r="W98" s="19">
        <v>0</v>
      </c>
      <c r="X98" s="19">
        <v>0</v>
      </c>
      <c r="Y98" s="19">
        <v>0</v>
      </c>
      <c r="Z98" s="19">
        <v>0</v>
      </c>
      <c r="AA98" s="19">
        <v>0</v>
      </c>
      <c r="AC98" s="76">
        <f t="shared" si="2"/>
        <v>6.6565099020481435</v>
      </c>
      <c r="AD98" s="77"/>
      <c r="AE98" s="72"/>
    </row>
    <row r="99" spans="2:31" x14ac:dyDescent="0.25">
      <c r="B99" s="108">
        <v>42464</v>
      </c>
      <c r="C99" s="72">
        <f t="shared" si="3"/>
        <v>95</v>
      </c>
      <c r="D99" s="19">
        <v>0</v>
      </c>
      <c r="E99" s="19">
        <v>0</v>
      </c>
      <c r="F99" s="19">
        <v>0</v>
      </c>
      <c r="G99" s="19">
        <v>0</v>
      </c>
      <c r="H99" s="19">
        <v>0</v>
      </c>
      <c r="I99" s="19">
        <v>0</v>
      </c>
      <c r="J99" s="19">
        <v>1.5140780177931452</v>
      </c>
      <c r="K99" s="19">
        <v>123.46775238092799</v>
      </c>
      <c r="L99" s="19">
        <v>307.21643321023572</v>
      </c>
      <c r="M99" s="19">
        <v>504.16132201928446</v>
      </c>
      <c r="N99" s="19">
        <v>682.95768792660783</v>
      </c>
      <c r="O99" s="19">
        <v>819.49243921554728</v>
      </c>
      <c r="P99" s="19">
        <v>1016.5497900724968</v>
      </c>
      <c r="Q99" s="19">
        <v>1016.1766231084132</v>
      </c>
      <c r="R99" s="19">
        <v>923.0965512774369</v>
      </c>
      <c r="S99" s="19">
        <v>731.5521218928169</v>
      </c>
      <c r="T99" s="19">
        <v>436.1659414379186</v>
      </c>
      <c r="U99" s="19">
        <v>84.541782423834391</v>
      </c>
      <c r="V99" s="19">
        <v>0</v>
      </c>
      <c r="W99" s="19">
        <v>0</v>
      </c>
      <c r="X99" s="19">
        <v>0</v>
      </c>
      <c r="Y99" s="19">
        <v>0</v>
      </c>
      <c r="Z99" s="19">
        <v>0</v>
      </c>
      <c r="AA99" s="19">
        <v>0</v>
      </c>
      <c r="AC99" s="76">
        <f t="shared" si="2"/>
        <v>6.6468925229833129</v>
      </c>
      <c r="AD99" s="77"/>
      <c r="AE99" s="72"/>
    </row>
    <row r="100" spans="2:31" x14ac:dyDescent="0.25">
      <c r="B100" s="108">
        <v>42465</v>
      </c>
      <c r="C100" s="72">
        <f t="shared" si="3"/>
        <v>96</v>
      </c>
      <c r="D100" s="19">
        <v>0</v>
      </c>
      <c r="E100" s="19">
        <v>0</v>
      </c>
      <c r="F100" s="19">
        <v>0</v>
      </c>
      <c r="G100" s="19">
        <v>0</v>
      </c>
      <c r="H100" s="19">
        <v>0</v>
      </c>
      <c r="I100" s="19">
        <v>0</v>
      </c>
      <c r="J100" s="19">
        <v>1.8092464361527409</v>
      </c>
      <c r="K100" s="19">
        <v>123.71943628500438</v>
      </c>
      <c r="L100" s="19">
        <v>306.40729049643164</v>
      </c>
      <c r="M100" s="19">
        <v>504.20192423151985</v>
      </c>
      <c r="N100" s="19">
        <v>683.02758268469142</v>
      </c>
      <c r="O100" s="19">
        <v>818.99683466115835</v>
      </c>
      <c r="P100" s="19">
        <v>1013.1440202270728</v>
      </c>
      <c r="Q100" s="19">
        <v>1013.1416669010022</v>
      </c>
      <c r="R100" s="19">
        <v>921.25364352380632</v>
      </c>
      <c r="S100" s="19">
        <v>731.97579023779326</v>
      </c>
      <c r="T100" s="19">
        <v>440.31513403478641</v>
      </c>
      <c r="U100" s="19">
        <v>89.146797084862996</v>
      </c>
      <c r="V100" s="19">
        <v>0</v>
      </c>
      <c r="W100" s="19">
        <v>0</v>
      </c>
      <c r="X100" s="19">
        <v>0</v>
      </c>
      <c r="Y100" s="19">
        <v>0</v>
      </c>
      <c r="Z100" s="19">
        <v>0</v>
      </c>
      <c r="AA100" s="19">
        <v>0</v>
      </c>
      <c r="AC100" s="76">
        <f t="shared" si="2"/>
        <v>6.6471393668042822</v>
      </c>
      <c r="AD100" s="77"/>
      <c r="AE100" s="72"/>
    </row>
    <row r="101" spans="2:31" x14ac:dyDescent="0.25">
      <c r="B101" s="108">
        <v>42466</v>
      </c>
      <c r="C101" s="72">
        <f t="shared" si="3"/>
        <v>97</v>
      </c>
      <c r="D101" s="19">
        <v>0</v>
      </c>
      <c r="E101" s="19">
        <v>0</v>
      </c>
      <c r="F101" s="19">
        <v>0</v>
      </c>
      <c r="G101" s="19">
        <v>0</v>
      </c>
      <c r="H101" s="19">
        <v>0</v>
      </c>
      <c r="I101" s="19">
        <v>0</v>
      </c>
      <c r="J101" s="19">
        <v>2.1606795412285522</v>
      </c>
      <c r="K101" s="19">
        <v>125.54967981940703</v>
      </c>
      <c r="L101" s="19">
        <v>309.06747697658585</v>
      </c>
      <c r="M101" s="19">
        <v>506.6563534286546</v>
      </c>
      <c r="N101" s="19">
        <v>685.81217684423018</v>
      </c>
      <c r="O101" s="19">
        <v>822.77669829666218</v>
      </c>
      <c r="P101" s="19">
        <v>1009.6566558645242</v>
      </c>
      <c r="Q101" s="19">
        <v>1010.0125655326559</v>
      </c>
      <c r="R101" s="19">
        <v>919.29871496003943</v>
      </c>
      <c r="S101" s="19">
        <v>732.25614657454719</v>
      </c>
      <c r="T101" s="19">
        <v>444.27075979066484</v>
      </c>
      <c r="U101" s="19">
        <v>93.988169160512683</v>
      </c>
      <c r="V101" s="19">
        <v>0</v>
      </c>
      <c r="W101" s="19">
        <v>0</v>
      </c>
      <c r="X101" s="19">
        <v>0</v>
      </c>
      <c r="Y101" s="19">
        <v>0</v>
      </c>
      <c r="Z101" s="19">
        <v>0</v>
      </c>
      <c r="AA101" s="19">
        <v>0</v>
      </c>
      <c r="AC101" s="76">
        <f t="shared" si="2"/>
        <v>6.6615060767897125</v>
      </c>
      <c r="AD101" s="77"/>
      <c r="AE101" s="72"/>
    </row>
    <row r="102" spans="2:31" x14ac:dyDescent="0.25">
      <c r="B102" s="108">
        <v>42467</v>
      </c>
      <c r="C102" s="72">
        <f t="shared" si="3"/>
        <v>98</v>
      </c>
      <c r="D102" s="19">
        <v>0</v>
      </c>
      <c r="E102" s="19">
        <v>0</v>
      </c>
      <c r="F102" s="19">
        <v>0</v>
      </c>
      <c r="G102" s="19">
        <v>0</v>
      </c>
      <c r="H102" s="19">
        <v>0</v>
      </c>
      <c r="I102" s="19">
        <v>0</v>
      </c>
      <c r="J102" s="19">
        <v>2.5139668995320283</v>
      </c>
      <c r="K102" s="19">
        <v>126.61886440330679</v>
      </c>
      <c r="L102" s="19">
        <v>310.99767998057524</v>
      </c>
      <c r="M102" s="19">
        <v>509.36007815075283</v>
      </c>
      <c r="N102" s="19">
        <v>689.13709074128883</v>
      </c>
      <c r="O102" s="19">
        <v>828.51729719002606</v>
      </c>
      <c r="P102" s="19">
        <v>1006.0912266155569</v>
      </c>
      <c r="Q102" s="19">
        <v>1006.7930562484166</v>
      </c>
      <c r="R102" s="19">
        <v>917.2355605701681</v>
      </c>
      <c r="S102" s="19">
        <v>732.39704088298902</v>
      </c>
      <c r="T102" s="19">
        <v>448.03579002208812</v>
      </c>
      <c r="U102" s="19">
        <v>99.01961909705021</v>
      </c>
      <c r="V102" s="19">
        <v>0</v>
      </c>
      <c r="W102" s="19">
        <v>0</v>
      </c>
      <c r="X102" s="19">
        <v>0</v>
      </c>
      <c r="Y102" s="19">
        <v>0</v>
      </c>
      <c r="Z102" s="19">
        <v>0</v>
      </c>
      <c r="AA102" s="19">
        <v>0</v>
      </c>
      <c r="AC102" s="76">
        <f t="shared" si="2"/>
        <v>6.6767172708017508</v>
      </c>
      <c r="AD102" s="77"/>
      <c r="AE102" s="72"/>
    </row>
    <row r="103" spans="2:31" x14ac:dyDescent="0.25">
      <c r="B103" s="108">
        <v>42468</v>
      </c>
      <c r="C103" s="72">
        <f t="shared" si="3"/>
        <v>99</v>
      </c>
      <c r="D103" s="19">
        <v>0</v>
      </c>
      <c r="E103" s="19">
        <v>0</v>
      </c>
      <c r="F103" s="19">
        <v>0</v>
      </c>
      <c r="G103" s="19">
        <v>0</v>
      </c>
      <c r="H103" s="19">
        <v>0</v>
      </c>
      <c r="I103" s="19">
        <v>0</v>
      </c>
      <c r="J103" s="19">
        <v>2.91181053038874</v>
      </c>
      <c r="K103" s="19">
        <v>127.8292855126455</v>
      </c>
      <c r="L103" s="19">
        <v>310.8312582330351</v>
      </c>
      <c r="M103" s="19">
        <v>507.40431815877378</v>
      </c>
      <c r="N103" s="19">
        <v>684.48162502176422</v>
      </c>
      <c r="O103" s="19">
        <v>818.50854622329564</v>
      </c>
      <c r="P103" s="19">
        <v>1002.4513099352235</v>
      </c>
      <c r="Q103" s="19">
        <v>1003.4869290135539</v>
      </c>
      <c r="R103" s="19">
        <v>915.0680324110192</v>
      </c>
      <c r="S103" s="19">
        <v>732.40238893089486</v>
      </c>
      <c r="T103" s="19">
        <v>451.61341326728513</v>
      </c>
      <c r="U103" s="19">
        <v>104.1999170752301</v>
      </c>
      <c r="V103" s="19">
        <v>0</v>
      </c>
      <c r="W103" s="19">
        <v>0</v>
      </c>
      <c r="X103" s="19">
        <v>0</v>
      </c>
      <c r="Y103" s="19">
        <v>0</v>
      </c>
      <c r="Z103" s="19">
        <v>0</v>
      </c>
      <c r="AA103" s="19">
        <v>0</v>
      </c>
      <c r="AC103" s="76">
        <f t="shared" si="2"/>
        <v>6.6611888343131085</v>
      </c>
      <c r="AD103" s="77"/>
      <c r="AE103" s="72"/>
    </row>
    <row r="104" spans="2:31" x14ac:dyDescent="0.25">
      <c r="B104" s="108">
        <v>42469</v>
      </c>
      <c r="C104" s="72">
        <f t="shared" si="3"/>
        <v>100</v>
      </c>
      <c r="D104" s="19">
        <v>0</v>
      </c>
      <c r="E104" s="19">
        <v>0</v>
      </c>
      <c r="F104" s="19">
        <v>0</v>
      </c>
      <c r="G104" s="19">
        <v>0</v>
      </c>
      <c r="H104" s="19">
        <v>0</v>
      </c>
      <c r="I104" s="19">
        <v>0</v>
      </c>
      <c r="J104" s="19">
        <v>3.2900121214635858</v>
      </c>
      <c r="K104" s="19">
        <v>128.62481766295335</v>
      </c>
      <c r="L104" s="19">
        <v>311.56169580363888</v>
      </c>
      <c r="M104" s="19">
        <v>506.04904608856384</v>
      </c>
      <c r="N104" s="19">
        <v>683.30334464320401</v>
      </c>
      <c r="O104" s="19">
        <v>814.53121921340585</v>
      </c>
      <c r="P104" s="19">
        <v>998.74052583233083</v>
      </c>
      <c r="Q104" s="19">
        <v>1000.0980208032548</v>
      </c>
      <c r="R104" s="19">
        <v>912.80003354142821</v>
      </c>
      <c r="S104" s="19">
        <v>732.27616513670023</v>
      </c>
      <c r="T104" s="19">
        <v>455.00701273400909</v>
      </c>
      <c r="U104" s="19">
        <v>109.49211464027444</v>
      </c>
      <c r="V104" s="19">
        <v>0</v>
      </c>
      <c r="W104" s="19">
        <v>0</v>
      </c>
      <c r="X104" s="19">
        <v>0</v>
      </c>
      <c r="Y104" s="19">
        <v>0</v>
      </c>
      <c r="Z104" s="19">
        <v>0</v>
      </c>
      <c r="AA104" s="19">
        <v>0</v>
      </c>
      <c r="AC104" s="76">
        <f t="shared" si="2"/>
        <v>6.6557740082212264</v>
      </c>
      <c r="AD104" s="77"/>
      <c r="AE104" s="72"/>
    </row>
    <row r="105" spans="2:31" x14ac:dyDescent="0.25">
      <c r="B105" s="108">
        <v>42470</v>
      </c>
      <c r="C105" s="72">
        <f t="shared" si="3"/>
        <v>101</v>
      </c>
      <c r="D105" s="19">
        <v>0</v>
      </c>
      <c r="E105" s="19">
        <v>0</v>
      </c>
      <c r="F105" s="19">
        <v>0</v>
      </c>
      <c r="G105" s="19">
        <v>0</v>
      </c>
      <c r="H105" s="19">
        <v>0</v>
      </c>
      <c r="I105" s="19">
        <v>0</v>
      </c>
      <c r="J105" s="19">
        <v>3.6379227646393186</v>
      </c>
      <c r="K105" s="19">
        <v>127.26240377534509</v>
      </c>
      <c r="L105" s="19">
        <v>307.32429440452381</v>
      </c>
      <c r="M105" s="19">
        <v>500.53682957211424</v>
      </c>
      <c r="N105" s="19">
        <v>673.25070557227502</v>
      </c>
      <c r="O105" s="19">
        <v>805.16584519963703</v>
      </c>
      <c r="P105" s="19">
        <v>994.96253164722486</v>
      </c>
      <c r="Q105" s="19">
        <v>996.63020995129546</v>
      </c>
      <c r="R105" s="19">
        <v>910.43551203358038</v>
      </c>
      <c r="S105" s="19">
        <v>732.02239561038721</v>
      </c>
      <c r="T105" s="19">
        <v>458.22014524323617</v>
      </c>
      <c r="U105" s="19">
        <v>114.86302031597275</v>
      </c>
      <c r="V105" s="19">
        <v>0</v>
      </c>
      <c r="W105" s="19">
        <v>0</v>
      </c>
      <c r="X105" s="19">
        <v>0</v>
      </c>
      <c r="Y105" s="19">
        <v>0</v>
      </c>
      <c r="Z105" s="19">
        <v>0</v>
      </c>
      <c r="AA105" s="19">
        <v>0</v>
      </c>
      <c r="AC105" s="76">
        <f t="shared" si="2"/>
        <v>6.6243118160902315</v>
      </c>
      <c r="AD105" s="77"/>
      <c r="AE105" s="72"/>
    </row>
    <row r="106" spans="2:31" x14ac:dyDescent="0.25">
      <c r="B106" s="108">
        <v>42471</v>
      </c>
      <c r="C106" s="72">
        <f t="shared" si="3"/>
        <v>102</v>
      </c>
      <c r="D106" s="19">
        <v>0</v>
      </c>
      <c r="E106" s="19">
        <v>0</v>
      </c>
      <c r="F106" s="19">
        <v>0</v>
      </c>
      <c r="G106" s="19">
        <v>0</v>
      </c>
      <c r="H106" s="19">
        <v>0</v>
      </c>
      <c r="I106" s="19">
        <v>0</v>
      </c>
      <c r="J106" s="19">
        <v>4.0686571180640891</v>
      </c>
      <c r="K106" s="19">
        <v>128.50920810541223</v>
      </c>
      <c r="L106" s="19">
        <v>308.82834599403839</v>
      </c>
      <c r="M106" s="19">
        <v>500.76182917875019</v>
      </c>
      <c r="N106" s="19">
        <v>675.46316091929737</v>
      </c>
      <c r="O106" s="19">
        <v>806.84375378902723</v>
      </c>
      <c r="P106" s="19">
        <v>991.1210168869045</v>
      </c>
      <c r="Q106" s="19">
        <v>993.08741056677457</v>
      </c>
      <c r="R106" s="19">
        <v>907.97845507433351</v>
      </c>
      <c r="S106" s="19">
        <v>731.64515137423257</v>
      </c>
      <c r="T106" s="19">
        <v>461.25652157655338</v>
      </c>
      <c r="U106" s="19">
        <v>120.28282137802017</v>
      </c>
      <c r="V106" s="19">
        <v>0</v>
      </c>
      <c r="W106" s="19">
        <v>0</v>
      </c>
      <c r="X106" s="19">
        <v>0</v>
      </c>
      <c r="Y106" s="19">
        <v>0</v>
      </c>
      <c r="Z106" s="19">
        <v>0</v>
      </c>
      <c r="AA106" s="19">
        <v>0</v>
      </c>
      <c r="AC106" s="76">
        <f t="shared" si="2"/>
        <v>6.6298463319614083</v>
      </c>
      <c r="AD106" s="77"/>
      <c r="AE106" s="72"/>
    </row>
    <row r="107" spans="2:31" x14ac:dyDescent="0.25">
      <c r="B107" s="108">
        <v>42472</v>
      </c>
      <c r="C107" s="72">
        <f t="shared" si="3"/>
        <v>103</v>
      </c>
      <c r="D107" s="19">
        <v>0</v>
      </c>
      <c r="E107" s="19">
        <v>0</v>
      </c>
      <c r="F107" s="19">
        <v>0</v>
      </c>
      <c r="G107" s="19">
        <v>0</v>
      </c>
      <c r="H107" s="19">
        <v>0</v>
      </c>
      <c r="I107" s="19">
        <v>0</v>
      </c>
      <c r="J107" s="19">
        <v>4.4860616986920903</v>
      </c>
      <c r="K107" s="19">
        <v>128.27040303432895</v>
      </c>
      <c r="L107" s="19">
        <v>306.69550172373602</v>
      </c>
      <c r="M107" s="19">
        <v>500.02027460889366</v>
      </c>
      <c r="N107" s="19">
        <v>670.34790203614477</v>
      </c>
      <c r="O107" s="19">
        <v>800.59688752618206</v>
      </c>
      <c r="P107" s="19">
        <v>987.21969812613543</v>
      </c>
      <c r="Q107" s="19">
        <v>989.47356702769673</v>
      </c>
      <c r="R107" s="19">
        <v>905.43288316412713</v>
      </c>
      <c r="S107" s="19">
        <v>731.14854176510664</v>
      </c>
      <c r="T107" s="19">
        <v>464.11998813932473</v>
      </c>
      <c r="U107" s="19">
        <v>125.72479198251865</v>
      </c>
      <c r="V107" s="19">
        <v>0</v>
      </c>
      <c r="W107" s="19">
        <v>0</v>
      </c>
      <c r="X107" s="19">
        <v>0</v>
      </c>
      <c r="Y107" s="19">
        <v>0</v>
      </c>
      <c r="Z107" s="19">
        <v>0</v>
      </c>
      <c r="AA107" s="19">
        <v>0</v>
      </c>
      <c r="AC107" s="76">
        <f t="shared" si="2"/>
        <v>6.6135365008328861</v>
      </c>
      <c r="AD107" s="77"/>
      <c r="AE107" s="72"/>
    </row>
    <row r="108" spans="2:31" x14ac:dyDescent="0.25">
      <c r="B108" s="108">
        <v>42473</v>
      </c>
      <c r="C108" s="72">
        <f t="shared" si="3"/>
        <v>104</v>
      </c>
      <c r="D108" s="19">
        <v>0</v>
      </c>
      <c r="E108" s="19">
        <v>0</v>
      </c>
      <c r="F108" s="19">
        <v>0</v>
      </c>
      <c r="G108" s="19">
        <v>0</v>
      </c>
      <c r="H108" s="19">
        <v>0</v>
      </c>
      <c r="I108" s="19">
        <v>0</v>
      </c>
      <c r="J108" s="19">
        <v>5.0142529761339798</v>
      </c>
      <c r="K108" s="19">
        <v>130.55627584137821</v>
      </c>
      <c r="L108" s="19">
        <v>311.23984360860612</v>
      </c>
      <c r="M108" s="19">
        <v>504.38968219851296</v>
      </c>
      <c r="N108" s="19">
        <v>677.92511753499673</v>
      </c>
      <c r="O108" s="19">
        <v>805.67325535302291</v>
      </c>
      <c r="P108" s="19">
        <v>983.26231398294692</v>
      </c>
      <c r="Q108" s="19">
        <v>985.79264855989038</v>
      </c>
      <c r="R108" s="19">
        <v>902.80284442076231</v>
      </c>
      <c r="S108" s="19">
        <v>730.53670801988562</v>
      </c>
      <c r="T108" s="19">
        <v>466.81450985616607</v>
      </c>
      <c r="U108" s="19">
        <v>131.16505174545904</v>
      </c>
      <c r="V108" s="19">
        <v>0</v>
      </c>
      <c r="W108" s="19">
        <v>0</v>
      </c>
      <c r="X108" s="19">
        <v>0</v>
      </c>
      <c r="Y108" s="19">
        <v>0</v>
      </c>
      <c r="Z108" s="19">
        <v>0</v>
      </c>
      <c r="AA108" s="19">
        <v>0</v>
      </c>
      <c r="AC108" s="76">
        <f t="shared" si="2"/>
        <v>6.6351725040977616</v>
      </c>
      <c r="AD108" s="77"/>
      <c r="AE108" s="72"/>
    </row>
    <row r="109" spans="2:31" x14ac:dyDescent="0.25">
      <c r="B109" s="108">
        <v>42474</v>
      </c>
      <c r="C109" s="72">
        <f t="shared" si="3"/>
        <v>105</v>
      </c>
      <c r="D109" s="19">
        <v>0</v>
      </c>
      <c r="E109" s="19">
        <v>0</v>
      </c>
      <c r="F109" s="19">
        <v>0</v>
      </c>
      <c r="G109" s="19">
        <v>0</v>
      </c>
      <c r="H109" s="19">
        <v>0</v>
      </c>
      <c r="I109" s="19">
        <v>0</v>
      </c>
      <c r="J109" s="19">
        <v>5.5054600398483986</v>
      </c>
      <c r="K109" s="19">
        <v>131.3004756632165</v>
      </c>
      <c r="L109" s="19">
        <v>309.6453686269611</v>
      </c>
      <c r="M109" s="19">
        <v>499.12442500385862</v>
      </c>
      <c r="N109" s="19">
        <v>665.93709023482529</v>
      </c>
      <c r="O109" s="19">
        <v>793.50996955729511</v>
      </c>
      <c r="P109" s="19">
        <v>979.25262017657587</v>
      </c>
      <c r="Q109" s="19">
        <v>982.04864390940872</v>
      </c>
      <c r="R109" s="19">
        <v>900.09240899506221</v>
      </c>
      <c r="S109" s="19">
        <v>729.8138170454497</v>
      </c>
      <c r="T109" s="19">
        <v>469.34415421984727</v>
      </c>
      <c r="U109" s="19">
        <v>136.582353794715</v>
      </c>
      <c r="V109" s="19">
        <v>0</v>
      </c>
      <c r="W109" s="19">
        <v>0</v>
      </c>
      <c r="X109" s="19">
        <v>0</v>
      </c>
      <c r="Y109" s="19">
        <v>0</v>
      </c>
      <c r="Z109" s="19">
        <v>0</v>
      </c>
      <c r="AA109" s="19">
        <v>0</v>
      </c>
      <c r="AC109" s="76">
        <f t="shared" si="2"/>
        <v>6.602156787267063</v>
      </c>
      <c r="AD109" s="77"/>
      <c r="AE109" s="72"/>
    </row>
    <row r="110" spans="2:31" x14ac:dyDescent="0.25">
      <c r="B110" s="108">
        <v>42475</v>
      </c>
      <c r="C110" s="72">
        <f t="shared" si="3"/>
        <v>106</v>
      </c>
      <c r="D110" s="19">
        <v>0</v>
      </c>
      <c r="E110" s="19">
        <v>0</v>
      </c>
      <c r="F110" s="19">
        <v>0</v>
      </c>
      <c r="G110" s="19">
        <v>0</v>
      </c>
      <c r="H110" s="19">
        <v>0</v>
      </c>
      <c r="I110" s="19">
        <v>0</v>
      </c>
      <c r="J110" s="19">
        <v>5.9074906271742087</v>
      </c>
      <c r="K110" s="19">
        <v>129.66990448755701</v>
      </c>
      <c r="L110" s="19">
        <v>304.88946753348256</v>
      </c>
      <c r="M110" s="19">
        <v>491.66376589895555</v>
      </c>
      <c r="N110" s="19">
        <v>660.36142179607657</v>
      </c>
      <c r="O110" s="19">
        <v>788.60641001265799</v>
      </c>
      <c r="P110" s="19">
        <v>975.19438467559371</v>
      </c>
      <c r="Q110" s="19">
        <v>978.24555611623168</v>
      </c>
      <c r="R110" s="19">
        <v>897.30566360508374</v>
      </c>
      <c r="S110" s="19">
        <v>728.98405537460849</v>
      </c>
      <c r="T110" s="19">
        <v>471.7130764192849</v>
      </c>
      <c r="U110" s="19">
        <v>141.95789052050057</v>
      </c>
      <c r="V110" s="19">
        <v>0</v>
      </c>
      <c r="W110" s="19">
        <v>0</v>
      </c>
      <c r="X110" s="19">
        <v>0</v>
      </c>
      <c r="Y110" s="19">
        <v>0</v>
      </c>
      <c r="Z110" s="19">
        <v>0</v>
      </c>
      <c r="AA110" s="19">
        <v>0</v>
      </c>
      <c r="AC110" s="76">
        <f t="shared" si="2"/>
        <v>6.574499087067208</v>
      </c>
      <c r="AD110" s="77"/>
      <c r="AE110" s="72"/>
    </row>
    <row r="111" spans="2:31" x14ac:dyDescent="0.25">
      <c r="B111" s="108">
        <v>42476</v>
      </c>
      <c r="C111" s="72">
        <f t="shared" si="3"/>
        <v>107</v>
      </c>
      <c r="D111" s="19">
        <v>0</v>
      </c>
      <c r="E111" s="19">
        <v>0</v>
      </c>
      <c r="F111" s="19">
        <v>0</v>
      </c>
      <c r="G111" s="19">
        <v>0</v>
      </c>
      <c r="H111" s="19">
        <v>0</v>
      </c>
      <c r="I111" s="19">
        <v>0</v>
      </c>
      <c r="J111" s="19">
        <v>6.4038804799869578</v>
      </c>
      <c r="K111" s="19">
        <v>131.03439583508518</v>
      </c>
      <c r="L111" s="19">
        <v>305.40791213343351</v>
      </c>
      <c r="M111" s="19">
        <v>490.50965252413926</v>
      </c>
      <c r="N111" s="19">
        <v>658.0478744223401</v>
      </c>
      <c r="O111" s="19">
        <v>788.38011555257833</v>
      </c>
      <c r="P111" s="19">
        <v>971.09138294360037</v>
      </c>
      <c r="Q111" s="19">
        <v>974.38739739670541</v>
      </c>
      <c r="R111" s="19">
        <v>894.44670619523174</v>
      </c>
      <c r="S111" s="19">
        <v>728.0516233091887</v>
      </c>
      <c r="T111" s="19">
        <v>473.92550547680406</v>
      </c>
      <c r="U111" s="19">
        <v>147.27511081458252</v>
      </c>
      <c r="V111" s="19">
        <v>0</v>
      </c>
      <c r="W111" s="19">
        <v>0</v>
      </c>
      <c r="X111" s="19">
        <v>0</v>
      </c>
      <c r="Y111" s="19">
        <v>0</v>
      </c>
      <c r="Z111" s="19">
        <v>0</v>
      </c>
      <c r="AA111" s="19">
        <v>0</v>
      </c>
      <c r="AC111" s="76">
        <f t="shared" si="2"/>
        <v>6.568961557083675</v>
      </c>
      <c r="AD111" s="77"/>
      <c r="AE111" s="72"/>
    </row>
    <row r="112" spans="2:31" x14ac:dyDescent="0.25">
      <c r="B112" s="108">
        <v>42477</v>
      </c>
      <c r="C112" s="72">
        <f t="shared" si="3"/>
        <v>108</v>
      </c>
      <c r="D112" s="19">
        <v>0</v>
      </c>
      <c r="E112" s="19">
        <v>0</v>
      </c>
      <c r="F112" s="19">
        <v>0</v>
      </c>
      <c r="G112" s="19">
        <v>0</v>
      </c>
      <c r="H112" s="19">
        <v>0</v>
      </c>
      <c r="I112" s="19">
        <v>0</v>
      </c>
      <c r="J112" s="19">
        <v>7.0201434381057162</v>
      </c>
      <c r="K112" s="19">
        <v>133.17433987986269</v>
      </c>
      <c r="L112" s="19">
        <v>309.57262942729517</v>
      </c>
      <c r="M112" s="19">
        <v>492.21052368021225</v>
      </c>
      <c r="N112" s="19">
        <v>657.31074113386069</v>
      </c>
      <c r="O112" s="19">
        <v>785.37487085864927</v>
      </c>
      <c r="P112" s="19">
        <v>966.94739328949879</v>
      </c>
      <c r="Q112" s="19">
        <v>970.4781841417921</v>
      </c>
      <c r="R112" s="19">
        <v>891.51964072626822</v>
      </c>
      <c r="S112" s="19">
        <v>727.02072925137327</v>
      </c>
      <c r="T112" s="19">
        <v>475.98573132924224</v>
      </c>
      <c r="U112" s="19">
        <v>152.51954585277261</v>
      </c>
      <c r="V112" s="19">
        <v>0</v>
      </c>
      <c r="W112" s="19">
        <v>0</v>
      </c>
      <c r="X112" s="19">
        <v>0</v>
      </c>
      <c r="Y112" s="19">
        <v>0</v>
      </c>
      <c r="Z112" s="19">
        <v>0</v>
      </c>
      <c r="AA112" s="19">
        <v>0</v>
      </c>
      <c r="AC112" s="76">
        <f t="shared" si="2"/>
        <v>6.5691344730089325</v>
      </c>
      <c r="AD112" s="77"/>
      <c r="AE112" s="72"/>
    </row>
    <row r="113" spans="2:31" x14ac:dyDescent="0.25">
      <c r="B113" s="108">
        <v>42478</v>
      </c>
      <c r="C113" s="72">
        <f t="shared" si="3"/>
        <v>109</v>
      </c>
      <c r="D113" s="19">
        <v>0</v>
      </c>
      <c r="E113" s="19">
        <v>0</v>
      </c>
      <c r="F113" s="19">
        <v>0</v>
      </c>
      <c r="G113" s="19">
        <v>0</v>
      </c>
      <c r="H113" s="19">
        <v>0</v>
      </c>
      <c r="I113" s="19">
        <v>0</v>
      </c>
      <c r="J113" s="19">
        <v>7.530201842394014</v>
      </c>
      <c r="K113" s="19">
        <v>132.25256501941286</v>
      </c>
      <c r="L113" s="19">
        <v>306.19517666733594</v>
      </c>
      <c r="M113" s="19">
        <v>491.35265337747194</v>
      </c>
      <c r="N113" s="19">
        <v>656.20451108394593</v>
      </c>
      <c r="O113" s="19">
        <v>780.12024591188083</v>
      </c>
      <c r="P113" s="19">
        <v>962.76619232897951</v>
      </c>
      <c r="Q113" s="19">
        <v>966.52193203779586</v>
      </c>
      <c r="R113" s="19">
        <v>888.5285721018513</v>
      </c>
      <c r="S113" s="19">
        <v>725.89558422425011</v>
      </c>
      <c r="T113" s="19">
        <v>477.89809279173221</v>
      </c>
      <c r="U113" s="19">
        <v>157.67864230368843</v>
      </c>
      <c r="V113" s="19">
        <v>0</v>
      </c>
      <c r="W113" s="19">
        <v>0</v>
      </c>
      <c r="X113" s="19">
        <v>0</v>
      </c>
      <c r="Y113" s="19">
        <v>0</v>
      </c>
      <c r="Z113" s="19">
        <v>0</v>
      </c>
      <c r="AA113" s="19">
        <v>0</v>
      </c>
      <c r="AC113" s="76">
        <f t="shared" si="2"/>
        <v>6.5529443696907395</v>
      </c>
      <c r="AD113" s="77"/>
      <c r="AE113" s="72"/>
    </row>
    <row r="114" spans="2:31" x14ac:dyDescent="0.25">
      <c r="B114" s="108">
        <v>42479</v>
      </c>
      <c r="C114" s="72">
        <f t="shared" si="3"/>
        <v>110</v>
      </c>
      <c r="D114" s="19">
        <v>0</v>
      </c>
      <c r="E114" s="19">
        <v>0</v>
      </c>
      <c r="F114" s="19">
        <v>0</v>
      </c>
      <c r="G114" s="19">
        <v>0</v>
      </c>
      <c r="H114" s="19">
        <v>0</v>
      </c>
      <c r="I114" s="19">
        <v>0</v>
      </c>
      <c r="J114" s="19">
        <v>8.0924526042143725</v>
      </c>
      <c r="K114" s="19">
        <v>133.11518298581416</v>
      </c>
      <c r="L114" s="19">
        <v>307.31779534102895</v>
      </c>
      <c r="M114" s="19">
        <v>490.88777902830549</v>
      </c>
      <c r="N114" s="19">
        <v>659.01735656748292</v>
      </c>
      <c r="O114" s="19">
        <v>783.15270181282301</v>
      </c>
      <c r="P114" s="19">
        <v>958.55155056345666</v>
      </c>
      <c r="Q114" s="19">
        <v>962.52265131582976</v>
      </c>
      <c r="R114" s="19">
        <v>885.47760123687397</v>
      </c>
      <c r="S114" s="19">
        <v>724.68039658236069</v>
      </c>
      <c r="T114" s="19">
        <v>479.66696634706233</v>
      </c>
      <c r="U114" s="19">
        <v>162.74160279532538</v>
      </c>
      <c r="V114" s="19">
        <v>270.275948879233</v>
      </c>
      <c r="W114" s="19">
        <v>0</v>
      </c>
      <c r="X114" s="19">
        <v>0</v>
      </c>
      <c r="Y114" s="19">
        <v>0</v>
      </c>
      <c r="Z114" s="19">
        <v>0</v>
      </c>
      <c r="AA114" s="19">
        <v>0</v>
      </c>
      <c r="AC114" s="76">
        <f t="shared" si="2"/>
        <v>6.8254999860598096</v>
      </c>
      <c r="AD114" s="77"/>
      <c r="AE114" s="72"/>
    </row>
    <row r="115" spans="2:31" x14ac:dyDescent="0.25">
      <c r="B115" s="108">
        <v>42480</v>
      </c>
      <c r="C115" s="72">
        <f t="shared" si="3"/>
        <v>111</v>
      </c>
      <c r="D115" s="19">
        <v>0</v>
      </c>
      <c r="E115" s="19">
        <v>0</v>
      </c>
      <c r="F115" s="19">
        <v>0</v>
      </c>
      <c r="G115" s="19">
        <v>0</v>
      </c>
      <c r="H115" s="19">
        <v>0</v>
      </c>
      <c r="I115" s="19">
        <v>0</v>
      </c>
      <c r="J115" s="19">
        <v>8.7670995721232217</v>
      </c>
      <c r="K115" s="19">
        <v>133.255250217465</v>
      </c>
      <c r="L115" s="19">
        <v>306.54790717627719</v>
      </c>
      <c r="M115" s="19">
        <v>487.70606046583373</v>
      </c>
      <c r="N115" s="19">
        <v>650.55787267246899</v>
      </c>
      <c r="O115" s="19">
        <v>773.32092205276808</v>
      </c>
      <c r="P115" s="19">
        <v>954.30722808227927</v>
      </c>
      <c r="Q115" s="19">
        <v>958.48434213585313</v>
      </c>
      <c r="R115" s="19">
        <v>882.37082027246765</v>
      </c>
      <c r="S115" s="19">
        <v>723.37936691289349</v>
      </c>
      <c r="T115" s="19">
        <v>481.29675570741443</v>
      </c>
      <c r="U115" s="19">
        <v>167.69923389496972</v>
      </c>
      <c r="V115" s="19">
        <v>141.35414057790129</v>
      </c>
      <c r="W115" s="19">
        <v>0</v>
      </c>
      <c r="X115" s="19">
        <v>0</v>
      </c>
      <c r="Y115" s="19">
        <v>0</v>
      </c>
      <c r="Z115" s="19">
        <v>0</v>
      </c>
      <c r="AA115" s="19">
        <v>0</v>
      </c>
      <c r="AC115" s="76">
        <f t="shared" si="2"/>
        <v>6.6690469997407158</v>
      </c>
      <c r="AD115" s="77"/>
      <c r="AE115" s="72"/>
    </row>
    <row r="116" spans="2:31" x14ac:dyDescent="0.25">
      <c r="B116" s="108">
        <v>42481</v>
      </c>
      <c r="C116" s="72">
        <f t="shared" si="3"/>
        <v>112</v>
      </c>
      <c r="D116" s="19">
        <v>0</v>
      </c>
      <c r="E116" s="19">
        <v>0</v>
      </c>
      <c r="F116" s="19">
        <v>0</v>
      </c>
      <c r="G116" s="19">
        <v>0</v>
      </c>
      <c r="H116" s="19">
        <v>0</v>
      </c>
      <c r="I116" s="19">
        <v>0</v>
      </c>
      <c r="J116" s="19">
        <v>9.185601559774625</v>
      </c>
      <c r="K116" s="19">
        <v>132.87880534410542</v>
      </c>
      <c r="L116" s="19">
        <v>303.32360662671107</v>
      </c>
      <c r="M116" s="19">
        <v>483.20332551839635</v>
      </c>
      <c r="N116" s="19">
        <v>644.95448926841925</v>
      </c>
      <c r="O116" s="19">
        <v>765.37597201725453</v>
      </c>
      <c r="P116" s="19">
        <v>950.0369703936102</v>
      </c>
      <c r="Q116" s="19">
        <v>954.41099011068752</v>
      </c>
      <c r="R116" s="19">
        <v>879.21230794216387</v>
      </c>
      <c r="S116" s="19">
        <v>721.99668312796666</v>
      </c>
      <c r="T116" s="19">
        <v>482.79188209894949</v>
      </c>
      <c r="U116" s="19">
        <v>172.5438019817615</v>
      </c>
      <c r="V116" s="19">
        <v>60.481057857978392</v>
      </c>
      <c r="W116" s="19">
        <v>0</v>
      </c>
      <c r="X116" s="19">
        <v>0</v>
      </c>
      <c r="Y116" s="19">
        <v>0</v>
      </c>
      <c r="Z116" s="19">
        <v>0</v>
      </c>
      <c r="AA116" s="19">
        <v>0</v>
      </c>
      <c r="AC116" s="76">
        <f t="shared" si="2"/>
        <v>6.5603954938477793</v>
      </c>
      <c r="AD116" s="77"/>
      <c r="AE116" s="72"/>
    </row>
    <row r="117" spans="2:31" x14ac:dyDescent="0.25">
      <c r="B117" s="108">
        <v>42482</v>
      </c>
      <c r="C117" s="72">
        <f t="shared" si="3"/>
        <v>113</v>
      </c>
      <c r="D117" s="19">
        <v>0</v>
      </c>
      <c r="E117" s="19">
        <v>0</v>
      </c>
      <c r="F117" s="19">
        <v>0</v>
      </c>
      <c r="G117" s="19">
        <v>0</v>
      </c>
      <c r="H117" s="19">
        <v>0</v>
      </c>
      <c r="I117" s="19">
        <v>0</v>
      </c>
      <c r="J117" s="19">
        <v>9.7754907855340107</v>
      </c>
      <c r="K117" s="19">
        <v>133.40816061931949</v>
      </c>
      <c r="L117" s="19">
        <v>302.88328611497894</v>
      </c>
      <c r="M117" s="19">
        <v>482.0695173313444</v>
      </c>
      <c r="N117" s="19">
        <v>645.4731457525844</v>
      </c>
      <c r="O117" s="19">
        <v>766.41736495702798</v>
      </c>
      <c r="P117" s="19">
        <v>945.74450438896633</v>
      </c>
      <c r="Q117" s="19">
        <v>950.30656197497945</v>
      </c>
      <c r="R117" s="19">
        <v>876.00612509328732</v>
      </c>
      <c r="S117" s="19">
        <v>720.536515748282</v>
      </c>
      <c r="T117" s="19">
        <v>484.15677522318242</v>
      </c>
      <c r="U117" s="19">
        <v>177.26889735452394</v>
      </c>
      <c r="V117" s="19">
        <v>23.744148772405111</v>
      </c>
      <c r="W117" s="19">
        <v>0</v>
      </c>
      <c r="X117" s="19">
        <v>0</v>
      </c>
      <c r="Y117" s="19">
        <v>0</v>
      </c>
      <c r="Z117" s="19">
        <v>0</v>
      </c>
      <c r="AA117" s="19">
        <v>0</v>
      </c>
      <c r="AC117" s="76">
        <f t="shared" si="2"/>
        <v>6.517790494116416</v>
      </c>
      <c r="AD117" s="77"/>
      <c r="AE117" s="72"/>
    </row>
    <row r="118" spans="2:31" x14ac:dyDescent="0.25">
      <c r="B118" s="108">
        <v>42483</v>
      </c>
      <c r="C118" s="72">
        <f t="shared" si="3"/>
        <v>114</v>
      </c>
      <c r="D118" s="19">
        <v>0</v>
      </c>
      <c r="E118" s="19">
        <v>0</v>
      </c>
      <c r="F118" s="19">
        <v>0</v>
      </c>
      <c r="G118" s="19">
        <v>0</v>
      </c>
      <c r="H118" s="19">
        <v>0</v>
      </c>
      <c r="I118" s="19">
        <v>0</v>
      </c>
      <c r="J118" s="19">
        <v>10.481819619737376</v>
      </c>
      <c r="K118" s="19">
        <v>135.62511751580317</v>
      </c>
      <c r="L118" s="19">
        <v>304.01911256501387</v>
      </c>
      <c r="M118" s="19">
        <v>482.26615906964196</v>
      </c>
      <c r="N118" s="19">
        <v>644.19990795803051</v>
      </c>
      <c r="O118" s="19">
        <v>761.99393760587259</v>
      </c>
      <c r="P118" s="19">
        <v>941.43353444593276</v>
      </c>
      <c r="Q118" s="19">
        <v>946.17500140359402</v>
      </c>
      <c r="R118" s="19">
        <v>872.75631036724371</v>
      </c>
      <c r="S118" s="19">
        <v>719.00301337820633</v>
      </c>
      <c r="T118" s="19">
        <v>485.39586485235139</v>
      </c>
      <c r="U118" s="19">
        <v>181.86930680505424</v>
      </c>
      <c r="V118" s="19">
        <v>13.667751138835456</v>
      </c>
      <c r="W118" s="19">
        <v>0</v>
      </c>
      <c r="X118" s="19">
        <v>0</v>
      </c>
      <c r="Y118" s="19">
        <v>0</v>
      </c>
      <c r="Z118" s="19">
        <v>0</v>
      </c>
      <c r="AA118" s="19">
        <v>0</v>
      </c>
      <c r="AC118" s="76">
        <f t="shared" si="2"/>
        <v>6.4988868367253172</v>
      </c>
      <c r="AD118" s="77"/>
      <c r="AE118" s="72"/>
    </row>
    <row r="119" spans="2:31" x14ac:dyDescent="0.25">
      <c r="B119" s="108">
        <v>42484</v>
      </c>
      <c r="C119" s="72">
        <f t="shared" si="3"/>
        <v>115</v>
      </c>
      <c r="D119" s="19">
        <v>0</v>
      </c>
      <c r="E119" s="19">
        <v>0</v>
      </c>
      <c r="F119" s="19">
        <v>0</v>
      </c>
      <c r="G119" s="19">
        <v>0</v>
      </c>
      <c r="H119" s="19">
        <v>0</v>
      </c>
      <c r="I119" s="19">
        <v>0</v>
      </c>
      <c r="J119" s="19">
        <v>11.138797033629109</v>
      </c>
      <c r="K119" s="19">
        <v>136.72932242578275</v>
      </c>
      <c r="L119" s="19">
        <v>308.45015722790782</v>
      </c>
      <c r="M119" s="19">
        <v>489.08626962823985</v>
      </c>
      <c r="N119" s="19">
        <v>652.60101100914312</v>
      </c>
      <c r="O119" s="19">
        <v>776.12646908904128</v>
      </c>
      <c r="P119" s="19">
        <v>937.10773867314674</v>
      </c>
      <c r="Q119" s="19">
        <v>942.02022498351459</v>
      </c>
      <c r="R119" s="19">
        <v>869.46687604195654</v>
      </c>
      <c r="S119" s="19">
        <v>717.40029837215332</v>
      </c>
      <c r="T119" s="19">
        <v>486.51357301901356</v>
      </c>
      <c r="U119" s="19">
        <v>186.34089474880355</v>
      </c>
      <c r="V119" s="19">
        <v>15.401997500821427</v>
      </c>
      <c r="W119" s="19">
        <v>0</v>
      </c>
      <c r="X119" s="19">
        <v>0</v>
      </c>
      <c r="Y119" s="19">
        <v>0</v>
      </c>
      <c r="Z119" s="19">
        <v>0</v>
      </c>
      <c r="AA119" s="19">
        <v>0</v>
      </c>
      <c r="AC119" s="76">
        <f t="shared" si="2"/>
        <v>6.5283836297531526</v>
      </c>
      <c r="AD119" s="77"/>
      <c r="AE119" s="72"/>
    </row>
    <row r="120" spans="2:31" x14ac:dyDescent="0.25">
      <c r="B120" s="108">
        <v>42485</v>
      </c>
      <c r="C120" s="72">
        <f t="shared" si="3"/>
        <v>116</v>
      </c>
      <c r="D120" s="19">
        <v>0</v>
      </c>
      <c r="E120" s="19">
        <v>0</v>
      </c>
      <c r="F120" s="19">
        <v>0</v>
      </c>
      <c r="G120" s="19">
        <v>0</v>
      </c>
      <c r="H120" s="19">
        <v>0</v>
      </c>
      <c r="I120" s="19">
        <v>0</v>
      </c>
      <c r="J120" s="19">
        <v>11.866798734931686</v>
      </c>
      <c r="K120" s="19">
        <v>137.20232602429442</v>
      </c>
      <c r="L120" s="19">
        <v>306.07936831375298</v>
      </c>
      <c r="M120" s="19">
        <v>483.27742659527166</v>
      </c>
      <c r="N120" s="19">
        <v>641.5956385596794</v>
      </c>
      <c r="O120" s="19">
        <v>761.70870821325002</v>
      </c>
      <c r="P120" s="19">
        <v>932.77076530119234</v>
      </c>
      <c r="Q120" s="19">
        <v>937.84611834281282</v>
      </c>
      <c r="R120" s="19">
        <v>866.14180403926684</v>
      </c>
      <c r="S120" s="19">
        <v>715.73246269189769</v>
      </c>
      <c r="T120" s="19">
        <v>487.51430676295365</v>
      </c>
      <c r="U120" s="19">
        <v>190.68049286853639</v>
      </c>
      <c r="V120" s="19">
        <v>21.950007270262372</v>
      </c>
      <c r="W120" s="19">
        <v>0</v>
      </c>
      <c r="X120" s="19">
        <v>0</v>
      </c>
      <c r="Y120" s="19">
        <v>0</v>
      </c>
      <c r="Z120" s="19">
        <v>0</v>
      </c>
      <c r="AA120" s="19">
        <v>0</v>
      </c>
      <c r="AC120" s="76">
        <f t="shared" si="2"/>
        <v>6.4943662237181012</v>
      </c>
      <c r="AD120" s="77"/>
      <c r="AE120" s="72"/>
    </row>
    <row r="121" spans="2:31" x14ac:dyDescent="0.25">
      <c r="B121" s="108">
        <v>42486</v>
      </c>
      <c r="C121" s="72">
        <f t="shared" si="3"/>
        <v>117</v>
      </c>
      <c r="D121" s="19">
        <v>0</v>
      </c>
      <c r="E121" s="19">
        <v>0</v>
      </c>
      <c r="F121" s="19">
        <v>0</v>
      </c>
      <c r="G121" s="19">
        <v>0</v>
      </c>
      <c r="H121" s="19">
        <v>0</v>
      </c>
      <c r="I121" s="19">
        <v>0</v>
      </c>
      <c r="J121" s="19">
        <v>12.493617475478086</v>
      </c>
      <c r="K121" s="19">
        <v>136.77220525255581</v>
      </c>
      <c r="L121" s="19">
        <v>302.71338473110978</v>
      </c>
      <c r="M121" s="19">
        <v>477.76529472801923</v>
      </c>
      <c r="N121" s="19">
        <v>632.24110323417767</v>
      </c>
      <c r="O121" s="19">
        <v>750.770316494403</v>
      </c>
      <c r="P121" s="19">
        <v>928.42622922257056</v>
      </c>
      <c r="Q121" s="19">
        <v>933.65653243980853</v>
      </c>
      <c r="R121" s="19">
        <v>862.7850420997006</v>
      </c>
      <c r="S121" s="19">
        <v>714.00356395423898</v>
      </c>
      <c r="T121" s="19">
        <v>488.40245140110579</v>
      </c>
      <c r="U121" s="19">
        <v>194.88579810620109</v>
      </c>
      <c r="V121" s="19">
        <v>32.425168895318009</v>
      </c>
      <c r="W121" s="19">
        <v>0</v>
      </c>
      <c r="X121" s="19">
        <v>0</v>
      </c>
      <c r="Y121" s="19">
        <v>0</v>
      </c>
      <c r="Z121" s="19">
        <v>0</v>
      </c>
      <c r="AA121" s="19">
        <v>0</v>
      </c>
      <c r="AC121" s="76">
        <f t="shared" si="2"/>
        <v>6.4673407080346887</v>
      </c>
      <c r="AD121" s="77"/>
      <c r="AE121" s="72"/>
    </row>
    <row r="122" spans="2:31" x14ac:dyDescent="0.25">
      <c r="B122" s="108">
        <v>42487</v>
      </c>
      <c r="C122" s="72">
        <f t="shared" si="3"/>
        <v>118</v>
      </c>
      <c r="D122" s="19">
        <v>0</v>
      </c>
      <c r="E122" s="19">
        <v>0</v>
      </c>
      <c r="F122" s="19">
        <v>0</v>
      </c>
      <c r="G122" s="19">
        <v>0</v>
      </c>
      <c r="H122" s="19">
        <v>0</v>
      </c>
      <c r="I122" s="19">
        <v>0</v>
      </c>
      <c r="J122" s="19">
        <v>12.921332409719334</v>
      </c>
      <c r="K122" s="19">
        <v>135.97566559220073</v>
      </c>
      <c r="L122" s="19">
        <v>302.22307297975988</v>
      </c>
      <c r="M122" s="19">
        <v>476.73955182817042</v>
      </c>
      <c r="N122" s="19">
        <v>632.92577256386744</v>
      </c>
      <c r="O122" s="19">
        <v>748.55214476703497</v>
      </c>
      <c r="P122" s="19">
        <v>924.07770868348496</v>
      </c>
      <c r="Q122" s="19">
        <v>929.45528001507034</v>
      </c>
      <c r="R122" s="19">
        <v>859.40050012656263</v>
      </c>
      <c r="S122" s="19">
        <v>712.21762166819428</v>
      </c>
      <c r="T122" s="19">
        <v>489.18236428864367</v>
      </c>
      <c r="U122" s="19">
        <v>198.95527873988698</v>
      </c>
      <c r="V122" s="19">
        <v>49.274709261786754</v>
      </c>
      <c r="W122" s="19">
        <v>0</v>
      </c>
      <c r="X122" s="19">
        <v>0</v>
      </c>
      <c r="Y122" s="19">
        <v>0</v>
      </c>
      <c r="Z122" s="19">
        <v>0</v>
      </c>
      <c r="AA122" s="19">
        <v>0</v>
      </c>
      <c r="AC122" s="76">
        <f t="shared" si="2"/>
        <v>6.4719010029243824</v>
      </c>
      <c r="AD122" s="77"/>
      <c r="AE122" s="72"/>
    </row>
    <row r="123" spans="2:31" x14ac:dyDescent="0.25">
      <c r="B123" s="108">
        <v>42488</v>
      </c>
      <c r="C123" s="72">
        <f t="shared" si="3"/>
        <v>119</v>
      </c>
      <c r="D123" s="19">
        <v>0</v>
      </c>
      <c r="E123" s="19">
        <v>0</v>
      </c>
      <c r="F123" s="19">
        <v>0</v>
      </c>
      <c r="G123" s="19">
        <v>0</v>
      </c>
      <c r="H123" s="19">
        <v>0</v>
      </c>
      <c r="I123" s="19">
        <v>0</v>
      </c>
      <c r="J123" s="19">
        <v>13.588176560409192</v>
      </c>
      <c r="K123" s="19">
        <v>136.46511309964626</v>
      </c>
      <c r="L123" s="19">
        <v>301.06907392525267</v>
      </c>
      <c r="M123" s="19">
        <v>474.53123164718193</v>
      </c>
      <c r="N123" s="19">
        <v>631.33858308987612</v>
      </c>
      <c r="O123" s="19">
        <v>748.39361875809755</v>
      </c>
      <c r="P123" s="19">
        <v>919.72874212969441</v>
      </c>
      <c r="Q123" s="19">
        <v>925.24613220841877</v>
      </c>
      <c r="R123" s="19">
        <v>855.99204670089284</v>
      </c>
      <c r="S123" s="19">
        <v>710.37861366065056</v>
      </c>
      <c r="T123" s="19">
        <v>489.85836904163</v>
      </c>
      <c r="U123" s="19">
        <v>202.888088207408</v>
      </c>
      <c r="V123" s="19">
        <v>75.289368859558522</v>
      </c>
      <c r="W123" s="19">
        <v>0</v>
      </c>
      <c r="X123" s="19">
        <v>0</v>
      </c>
      <c r="Y123" s="19">
        <v>0</v>
      </c>
      <c r="Z123" s="19">
        <v>0</v>
      </c>
      <c r="AA123" s="19">
        <v>0</v>
      </c>
      <c r="AC123" s="76">
        <f t="shared" si="2"/>
        <v>6.4847671578887169</v>
      </c>
      <c r="AD123" s="77"/>
      <c r="AE123" s="72"/>
    </row>
    <row r="124" spans="2:31" x14ac:dyDescent="0.25">
      <c r="B124" s="108">
        <v>42489</v>
      </c>
      <c r="C124" s="72">
        <f t="shared" si="3"/>
        <v>120</v>
      </c>
      <c r="D124" s="19">
        <v>0</v>
      </c>
      <c r="E124" s="19">
        <v>0</v>
      </c>
      <c r="F124" s="19">
        <v>0</v>
      </c>
      <c r="G124" s="19">
        <v>0</v>
      </c>
      <c r="H124" s="19">
        <v>0</v>
      </c>
      <c r="I124" s="19">
        <v>0</v>
      </c>
      <c r="J124" s="19">
        <v>14.377158694305988</v>
      </c>
      <c r="K124" s="19">
        <v>138.32765715407817</v>
      </c>
      <c r="L124" s="19">
        <v>303.21291668385555</v>
      </c>
      <c r="M124" s="19">
        <v>474.53961575415354</v>
      </c>
      <c r="N124" s="19">
        <v>627.6717257145018</v>
      </c>
      <c r="O124" s="19">
        <v>742.85040617988864</v>
      </c>
      <c r="P124" s="19">
        <v>915.38282520824771</v>
      </c>
      <c r="Q124" s="19">
        <v>921.03281534264829</v>
      </c>
      <c r="R124" s="19">
        <v>852.56350576839338</v>
      </c>
      <c r="S124" s="19">
        <v>708.49047268917138</v>
      </c>
      <c r="T124" s="19">
        <v>490.43475019370743</v>
      </c>
      <c r="U124" s="19">
        <v>206.68398628444186</v>
      </c>
      <c r="V124" s="19">
        <v>108.05643184099037</v>
      </c>
      <c r="W124" s="19">
        <v>0</v>
      </c>
      <c r="X124" s="19">
        <v>0</v>
      </c>
      <c r="Y124" s="19">
        <v>0</v>
      </c>
      <c r="Z124" s="19">
        <v>0</v>
      </c>
      <c r="AA124" s="19">
        <v>0</v>
      </c>
      <c r="AC124" s="76">
        <f t="shared" si="2"/>
        <v>6.5036242675083829</v>
      </c>
      <c r="AD124" s="77"/>
      <c r="AE124" s="72"/>
    </row>
    <row r="125" spans="2:31" x14ac:dyDescent="0.25">
      <c r="B125" s="108">
        <v>42490</v>
      </c>
      <c r="C125" s="72">
        <f t="shared" si="3"/>
        <v>121</v>
      </c>
      <c r="D125" s="19">
        <v>0</v>
      </c>
      <c r="E125" s="19">
        <v>0</v>
      </c>
      <c r="F125" s="19">
        <v>0</v>
      </c>
      <c r="G125" s="19">
        <v>0</v>
      </c>
      <c r="H125" s="19">
        <v>0</v>
      </c>
      <c r="I125" s="19">
        <v>0</v>
      </c>
      <c r="J125" s="19">
        <v>14.95569268341243</v>
      </c>
      <c r="K125" s="19">
        <v>139.58195489554248</v>
      </c>
      <c r="L125" s="19">
        <v>305.51603406792191</v>
      </c>
      <c r="M125" s="19">
        <v>480.54936070764217</v>
      </c>
      <c r="N125" s="19">
        <v>624.67062607563037</v>
      </c>
      <c r="O125" s="19">
        <v>739.89683684194949</v>
      </c>
      <c r="P125" s="19">
        <v>911.04340792645098</v>
      </c>
      <c r="Q125" s="19">
        <v>916.81900787519226</v>
      </c>
      <c r="R125" s="19">
        <v>849.11865349899404</v>
      </c>
      <c r="S125" s="19">
        <v>706.5570832403871</v>
      </c>
      <c r="T125" s="19">
        <v>490.91574826120313</v>
      </c>
      <c r="U125" s="19">
        <v>210.34326719049298</v>
      </c>
      <c r="V125" s="19">
        <v>126.9997284374621</v>
      </c>
      <c r="W125" s="19">
        <v>0</v>
      </c>
      <c r="X125" s="19">
        <v>0</v>
      </c>
      <c r="Y125" s="19">
        <v>0</v>
      </c>
      <c r="Z125" s="19">
        <v>0</v>
      </c>
      <c r="AA125" s="19">
        <v>0</v>
      </c>
      <c r="AC125" s="76">
        <f t="shared" si="2"/>
        <v>6.5169674017022814</v>
      </c>
      <c r="AD125" s="77"/>
      <c r="AE125" s="72"/>
    </row>
    <row r="126" spans="2:31" x14ac:dyDescent="0.25">
      <c r="B126" s="108">
        <v>42491</v>
      </c>
      <c r="C126" s="72">
        <f t="shared" si="3"/>
        <v>122</v>
      </c>
      <c r="D126" s="19">
        <v>0</v>
      </c>
      <c r="E126" s="19">
        <v>0</v>
      </c>
      <c r="F126" s="19">
        <v>0</v>
      </c>
      <c r="G126" s="19">
        <v>0</v>
      </c>
      <c r="H126" s="19">
        <v>0</v>
      </c>
      <c r="I126" s="19">
        <v>0</v>
      </c>
      <c r="J126" s="19">
        <v>16.15857860522982</v>
      </c>
      <c r="K126" s="19">
        <v>142.73138262867366</v>
      </c>
      <c r="L126" s="19">
        <v>310.45229121418566</v>
      </c>
      <c r="M126" s="19">
        <v>485.60198208485593</v>
      </c>
      <c r="N126" s="19">
        <v>641.68667796762543</v>
      </c>
      <c r="O126" s="19">
        <v>757.4384013875333</v>
      </c>
      <c r="P126" s="19">
        <v>906.71389196897576</v>
      </c>
      <c r="Q126" s="19">
        <v>912.60833751850964</v>
      </c>
      <c r="R126" s="19">
        <v>845.66121531931208</v>
      </c>
      <c r="S126" s="19">
        <v>704.58227851215258</v>
      </c>
      <c r="T126" s="19">
        <v>491.30555519278755</v>
      </c>
      <c r="U126" s="19">
        <v>213.86669417723786</v>
      </c>
      <c r="V126" s="19">
        <v>141.61197106131584</v>
      </c>
      <c r="W126" s="19">
        <v>0</v>
      </c>
      <c r="X126" s="19">
        <v>0</v>
      </c>
      <c r="Y126" s="19">
        <v>0</v>
      </c>
      <c r="Z126" s="19">
        <v>0</v>
      </c>
      <c r="AA126" s="19">
        <v>0</v>
      </c>
      <c r="AC126" s="76">
        <f t="shared" si="2"/>
        <v>6.5704192576383944</v>
      </c>
      <c r="AD126" s="77"/>
      <c r="AE126" s="72"/>
    </row>
    <row r="127" spans="2:31" x14ac:dyDescent="0.25">
      <c r="B127" s="108">
        <v>42492</v>
      </c>
      <c r="C127" s="72">
        <f t="shared" si="3"/>
        <v>123</v>
      </c>
      <c r="D127" s="19">
        <v>0</v>
      </c>
      <c r="E127" s="19">
        <v>0</v>
      </c>
      <c r="F127" s="19">
        <v>0</v>
      </c>
      <c r="G127" s="19">
        <v>0</v>
      </c>
      <c r="H127" s="19">
        <v>0</v>
      </c>
      <c r="I127" s="19">
        <v>0</v>
      </c>
      <c r="J127" s="19">
        <v>16.604967177319494</v>
      </c>
      <c r="K127" s="19">
        <v>140.40650893487455</v>
      </c>
      <c r="L127" s="19">
        <v>304.15044375318138</v>
      </c>
      <c r="M127" s="19">
        <v>476.2730812367617</v>
      </c>
      <c r="N127" s="19">
        <v>621.96916994709522</v>
      </c>
      <c r="O127" s="19">
        <v>736.31003185495001</v>
      </c>
      <c r="P127" s="19">
        <v>902.39762817355574</v>
      </c>
      <c r="Q127" s="19">
        <v>908.40437852950549</v>
      </c>
      <c r="R127" s="19">
        <v>842.19486311783203</v>
      </c>
      <c r="S127" s="19">
        <v>702.56983757739908</v>
      </c>
      <c r="T127" s="19">
        <v>491.60831018141596</v>
      </c>
      <c r="U127" s="19">
        <v>217.25544014788002</v>
      </c>
      <c r="V127" s="19">
        <v>113.36439100205955</v>
      </c>
      <c r="W127" s="19">
        <v>0</v>
      </c>
      <c r="X127" s="19">
        <v>0</v>
      </c>
      <c r="Y127" s="19">
        <v>0</v>
      </c>
      <c r="Z127" s="19">
        <v>0</v>
      </c>
      <c r="AA127" s="19">
        <v>0</v>
      </c>
      <c r="AC127" s="76">
        <f t="shared" si="2"/>
        <v>6.4735090516338296</v>
      </c>
      <c r="AD127" s="77"/>
      <c r="AE127" s="72"/>
    </row>
    <row r="128" spans="2:31" x14ac:dyDescent="0.25">
      <c r="B128" s="108">
        <v>42493</v>
      </c>
      <c r="C128" s="72">
        <f t="shared" si="3"/>
        <v>124</v>
      </c>
      <c r="D128" s="19">
        <v>0</v>
      </c>
      <c r="E128" s="19">
        <v>0</v>
      </c>
      <c r="F128" s="19">
        <v>0</v>
      </c>
      <c r="G128" s="19">
        <v>0</v>
      </c>
      <c r="H128" s="19">
        <v>0</v>
      </c>
      <c r="I128" s="19">
        <v>0</v>
      </c>
      <c r="J128" s="19">
        <v>17.137272857529119</v>
      </c>
      <c r="K128" s="19">
        <v>139.60359459808413</v>
      </c>
      <c r="L128" s="19">
        <v>301.45564617585075</v>
      </c>
      <c r="M128" s="19">
        <v>468.34548753732611</v>
      </c>
      <c r="N128" s="19">
        <v>618.80091144020514</v>
      </c>
      <c r="O128" s="19">
        <v>732.27777782004921</v>
      </c>
      <c r="P128" s="19">
        <v>898.09791416530129</v>
      </c>
      <c r="Q128" s="19">
        <v>904.21064916784792</v>
      </c>
      <c r="R128" s="19">
        <v>838.72321262221965</v>
      </c>
      <c r="S128" s="19">
        <v>700.52348272734207</v>
      </c>
      <c r="T128" s="19">
        <v>491.82809581775848</v>
      </c>
      <c r="U128" s="19">
        <v>220.51103386019517</v>
      </c>
      <c r="V128" s="19">
        <v>110.33495487567433</v>
      </c>
      <c r="W128" s="19">
        <v>0</v>
      </c>
      <c r="X128" s="19">
        <v>0</v>
      </c>
      <c r="Y128" s="19">
        <v>0</v>
      </c>
      <c r="Z128" s="19">
        <v>0</v>
      </c>
      <c r="AA128" s="19">
        <v>0</v>
      </c>
      <c r="AC128" s="76">
        <f t="shared" si="2"/>
        <v>6.441850033665383</v>
      </c>
      <c r="AD128" s="77"/>
      <c r="AE128" s="72"/>
    </row>
    <row r="129" spans="2:31" x14ac:dyDescent="0.25">
      <c r="B129" s="108">
        <v>42494</v>
      </c>
      <c r="C129" s="72">
        <f t="shared" si="3"/>
        <v>125</v>
      </c>
      <c r="D129" s="19">
        <v>0</v>
      </c>
      <c r="E129" s="19">
        <v>0</v>
      </c>
      <c r="F129" s="19">
        <v>0</v>
      </c>
      <c r="G129" s="19">
        <v>0</v>
      </c>
      <c r="H129" s="19">
        <v>0</v>
      </c>
      <c r="I129" s="19">
        <v>0</v>
      </c>
      <c r="J129" s="19">
        <v>17.846004883591071</v>
      </c>
      <c r="K129" s="19">
        <v>140.31027747534324</v>
      </c>
      <c r="L129" s="19">
        <v>301.57862035881487</v>
      </c>
      <c r="M129" s="19">
        <v>468.03844205958023</v>
      </c>
      <c r="N129" s="19">
        <v>614.69386512058691</v>
      </c>
      <c r="O129" s="19">
        <v>726.1903169660867</v>
      </c>
      <c r="P129" s="19">
        <v>893.81799214921682</v>
      </c>
      <c r="Q129" s="19">
        <v>900.0306093226036</v>
      </c>
      <c r="R129" s="19">
        <v>835.24982094777818</v>
      </c>
      <c r="S129" s="19">
        <v>698.44687699145902</v>
      </c>
      <c r="T129" s="19">
        <v>491.9689345656588</v>
      </c>
      <c r="U129" s="19">
        <v>223.63531127749769</v>
      </c>
      <c r="V129" s="19">
        <v>88.430434571651205</v>
      </c>
      <c r="W129" s="19">
        <v>0</v>
      </c>
      <c r="X129" s="19">
        <v>0</v>
      </c>
      <c r="Y129" s="19">
        <v>0</v>
      </c>
      <c r="Z129" s="19">
        <v>0</v>
      </c>
      <c r="AA129" s="19">
        <v>0</v>
      </c>
      <c r="AC129" s="76">
        <f t="shared" si="2"/>
        <v>6.4002375066898685</v>
      </c>
      <c r="AD129" s="77"/>
      <c r="AE129" s="72"/>
    </row>
    <row r="130" spans="2:31" x14ac:dyDescent="0.25">
      <c r="B130" s="108">
        <v>42495</v>
      </c>
      <c r="C130" s="72">
        <f t="shared" si="3"/>
        <v>126</v>
      </c>
      <c r="D130" s="19">
        <v>0</v>
      </c>
      <c r="E130" s="19">
        <v>0</v>
      </c>
      <c r="F130" s="19">
        <v>0</v>
      </c>
      <c r="G130" s="19">
        <v>0</v>
      </c>
      <c r="H130" s="19">
        <v>0</v>
      </c>
      <c r="I130" s="19">
        <v>0</v>
      </c>
      <c r="J130" s="19">
        <v>18.47990472935151</v>
      </c>
      <c r="K130" s="19">
        <v>139.41512732744619</v>
      </c>
      <c r="L130" s="19">
        <v>297.49138650603078</v>
      </c>
      <c r="M130" s="19">
        <v>463.48377385167879</v>
      </c>
      <c r="N130" s="19">
        <v>612.3227896344215</v>
      </c>
      <c r="O130" s="19">
        <v>721.54927667189179</v>
      </c>
      <c r="P130" s="19">
        <v>889.5610468600895</v>
      </c>
      <c r="Q130" s="19">
        <v>895.86765830617526</v>
      </c>
      <c r="R130" s="19">
        <v>831.77818431565584</v>
      </c>
      <c r="S130" s="19">
        <v>696.34362183139478</v>
      </c>
      <c r="T130" s="19">
        <v>492.03478554138371</v>
      </c>
      <c r="U130" s="19">
        <v>226.63037164869803</v>
      </c>
      <c r="V130" s="19">
        <v>70.479582478004261</v>
      </c>
      <c r="W130" s="19">
        <v>0</v>
      </c>
      <c r="X130" s="19">
        <v>0</v>
      </c>
      <c r="Y130" s="19">
        <v>0</v>
      </c>
      <c r="Z130" s="19">
        <v>0</v>
      </c>
      <c r="AA130" s="19">
        <v>0</v>
      </c>
      <c r="AC130" s="76">
        <f t="shared" si="2"/>
        <v>6.3554375097022211</v>
      </c>
      <c r="AD130" s="77"/>
      <c r="AE130" s="72"/>
    </row>
    <row r="131" spans="2:31" x14ac:dyDescent="0.25">
      <c r="B131" s="108">
        <v>42496</v>
      </c>
      <c r="C131" s="72">
        <f t="shared" si="3"/>
        <v>127</v>
      </c>
      <c r="D131" s="19">
        <v>0</v>
      </c>
      <c r="E131" s="19">
        <v>0</v>
      </c>
      <c r="F131" s="19">
        <v>0</v>
      </c>
      <c r="G131" s="19">
        <v>0</v>
      </c>
      <c r="H131" s="19">
        <v>0</v>
      </c>
      <c r="I131" s="19">
        <v>0</v>
      </c>
      <c r="J131" s="19">
        <v>19.018253461583505</v>
      </c>
      <c r="K131" s="19">
        <v>140.03767318614842</v>
      </c>
      <c r="L131" s="19">
        <v>297.85774737571029</v>
      </c>
      <c r="M131" s="19">
        <v>461.05882680018533</v>
      </c>
      <c r="N131" s="19">
        <v>607.76984536131306</v>
      </c>
      <c r="O131" s="19">
        <v>717.15846405395632</v>
      </c>
      <c r="P131" s="19">
        <v>885.33020366850553</v>
      </c>
      <c r="Q131" s="19">
        <v>891.72513281411136</v>
      </c>
      <c r="R131" s="19">
        <v>828.31173593901883</v>
      </c>
      <c r="S131" s="19">
        <v>694.21725500569676</v>
      </c>
      <c r="T131" s="19">
        <v>492.02954157953513</v>
      </c>
      <c r="U131" s="19">
        <v>229.49853791926608</v>
      </c>
      <c r="V131" s="19">
        <v>57.092681403632106</v>
      </c>
      <c r="W131" s="19">
        <v>0</v>
      </c>
      <c r="X131" s="19">
        <v>0</v>
      </c>
      <c r="Y131" s="19">
        <v>0</v>
      </c>
      <c r="Z131" s="19">
        <v>0</v>
      </c>
      <c r="AA131" s="19">
        <v>0</v>
      </c>
      <c r="AC131" s="76">
        <f t="shared" si="2"/>
        <v>6.3211058985686623</v>
      </c>
      <c r="AD131" s="77"/>
      <c r="AE131" s="72"/>
    </row>
    <row r="132" spans="2:31" x14ac:dyDescent="0.25">
      <c r="B132" s="108">
        <v>42497</v>
      </c>
      <c r="C132" s="72">
        <f t="shared" si="3"/>
        <v>128</v>
      </c>
      <c r="D132" s="19">
        <v>0</v>
      </c>
      <c r="E132" s="19">
        <v>0</v>
      </c>
      <c r="F132" s="19">
        <v>0</v>
      </c>
      <c r="G132" s="19">
        <v>0</v>
      </c>
      <c r="H132" s="19">
        <v>0</v>
      </c>
      <c r="I132" s="19">
        <v>0</v>
      </c>
      <c r="J132" s="19">
        <v>19.629691512645923</v>
      </c>
      <c r="K132" s="19">
        <v>140.07074012438841</v>
      </c>
      <c r="L132" s="19">
        <v>299.09632977327476</v>
      </c>
      <c r="M132" s="19">
        <v>462.99952919856446</v>
      </c>
      <c r="N132" s="19">
        <v>604.19953161520084</v>
      </c>
      <c r="O132" s="19">
        <v>711.78972989435408</v>
      </c>
      <c r="P132" s="19">
        <v>881.12852684136044</v>
      </c>
      <c r="Q132" s="19">
        <v>887.60630504893641</v>
      </c>
      <c r="R132" s="19">
        <v>824.85384407503534</v>
      </c>
      <c r="S132" s="19">
        <v>692.07124860204169</v>
      </c>
      <c r="T132" s="19">
        <v>491.95702656951676</v>
      </c>
      <c r="U132" s="19">
        <v>232.24232109784847</v>
      </c>
      <c r="V132" s="19">
        <v>47.544333008107799</v>
      </c>
      <c r="W132" s="19">
        <v>0</v>
      </c>
      <c r="X132" s="19">
        <v>0</v>
      </c>
      <c r="Y132" s="19">
        <v>0</v>
      </c>
      <c r="Z132" s="19">
        <v>0</v>
      </c>
      <c r="AA132" s="19">
        <v>0</v>
      </c>
      <c r="AC132" s="76">
        <f t="shared" si="2"/>
        <v>6.2951891573612757</v>
      </c>
      <c r="AD132" s="77"/>
      <c r="AE132" s="72"/>
    </row>
    <row r="133" spans="2:31" x14ac:dyDescent="0.25">
      <c r="B133" s="108">
        <v>42498</v>
      </c>
      <c r="C133" s="72">
        <f t="shared" si="3"/>
        <v>129</v>
      </c>
      <c r="D133" s="19">
        <v>0</v>
      </c>
      <c r="E133" s="19">
        <v>0</v>
      </c>
      <c r="F133" s="19">
        <v>0</v>
      </c>
      <c r="G133" s="19">
        <v>0</v>
      </c>
      <c r="H133" s="19">
        <v>0</v>
      </c>
      <c r="I133" s="19">
        <v>0</v>
      </c>
      <c r="J133" s="19">
        <v>20.334259780390912</v>
      </c>
      <c r="K133" s="19">
        <v>139.37760787847955</v>
      </c>
      <c r="L133" s="19">
        <v>293.50824812196487</v>
      </c>
      <c r="M133" s="19">
        <v>454.70715548708455</v>
      </c>
      <c r="N133" s="19">
        <v>598.03788367515642</v>
      </c>
      <c r="O133" s="19">
        <v>706.71156562706369</v>
      </c>
      <c r="P133" s="19">
        <v>876.95901795482609</v>
      </c>
      <c r="Q133" s="19">
        <v>883.514381005769</v>
      </c>
      <c r="R133" s="19">
        <v>821.40781024014484</v>
      </c>
      <c r="S133" s="19">
        <v>689.90900723337211</v>
      </c>
      <c r="T133" s="19">
        <v>491.82099304735618</v>
      </c>
      <c r="U133" s="19">
        <v>234.86438822749415</v>
      </c>
      <c r="V133" s="19">
        <v>40.877268235905362</v>
      </c>
      <c r="W133" s="19">
        <v>0</v>
      </c>
      <c r="X133" s="19">
        <v>0</v>
      </c>
      <c r="Y133" s="19">
        <v>0</v>
      </c>
      <c r="Z133" s="19">
        <v>0</v>
      </c>
      <c r="AA133" s="19">
        <v>0</v>
      </c>
      <c r="AC133" s="76">
        <f t="shared" si="2"/>
        <v>6.2520295865150057</v>
      </c>
      <c r="AD133" s="77"/>
      <c r="AE133" s="72"/>
    </row>
    <row r="134" spans="2:31" x14ac:dyDescent="0.25">
      <c r="B134" s="108">
        <v>42499</v>
      </c>
      <c r="C134" s="72">
        <f t="shared" si="3"/>
        <v>130</v>
      </c>
      <c r="D134" s="19">
        <v>0</v>
      </c>
      <c r="E134" s="19">
        <v>0</v>
      </c>
      <c r="F134" s="19">
        <v>0</v>
      </c>
      <c r="G134" s="19">
        <v>0</v>
      </c>
      <c r="H134" s="19">
        <v>0</v>
      </c>
      <c r="I134" s="19">
        <v>0</v>
      </c>
      <c r="J134" s="19">
        <v>20.868119318556605</v>
      </c>
      <c r="K134" s="19">
        <v>138.89947176839547</v>
      </c>
      <c r="L134" s="19">
        <v>292.73646759040776</v>
      </c>
      <c r="M134" s="19">
        <v>452.2926458678977</v>
      </c>
      <c r="N134" s="19">
        <v>594.23428218831157</v>
      </c>
      <c r="O134" s="19">
        <v>706.99259162791998</v>
      </c>
      <c r="P134" s="19">
        <v>872.82461445738829</v>
      </c>
      <c r="Q134" s="19">
        <v>879.45249891709398</v>
      </c>
      <c r="R134" s="19">
        <v>817.97686758573218</v>
      </c>
      <c r="S134" s="19">
        <v>687.73386639412774</v>
      </c>
      <c r="T134" s="19">
        <v>491.62512002853106</v>
      </c>
      <c r="U134" s="19">
        <v>237.36753363502004</v>
      </c>
      <c r="V134" s="19">
        <v>36.289719613448419</v>
      </c>
      <c r="W134" s="19">
        <v>0</v>
      </c>
      <c r="X134" s="19">
        <v>0</v>
      </c>
      <c r="Y134" s="19">
        <v>0</v>
      </c>
      <c r="Z134" s="19">
        <v>0</v>
      </c>
      <c r="AA134" s="19">
        <v>0</v>
      </c>
      <c r="AC134" s="76">
        <f t="shared" ref="AC134:AC197" si="4">(SUM((D134:AA134))/1000)</f>
        <v>6.2292937989928303</v>
      </c>
      <c r="AD134" s="77"/>
      <c r="AE134" s="72"/>
    </row>
    <row r="135" spans="2:31" x14ac:dyDescent="0.25">
      <c r="B135" s="108">
        <v>42500</v>
      </c>
      <c r="C135" s="72">
        <f t="shared" ref="C135:C198" si="5">B135-$B$5+1</f>
        <v>131</v>
      </c>
      <c r="D135" s="19">
        <v>0</v>
      </c>
      <c r="E135" s="19">
        <v>0</v>
      </c>
      <c r="F135" s="19">
        <v>0</v>
      </c>
      <c r="G135" s="19">
        <v>0</v>
      </c>
      <c r="H135" s="19">
        <v>0</v>
      </c>
      <c r="I135" s="19">
        <v>0</v>
      </c>
      <c r="J135" s="19">
        <v>21.722083183721598</v>
      </c>
      <c r="K135" s="19">
        <v>140.47690918080158</v>
      </c>
      <c r="L135" s="19">
        <v>293.51695098080654</v>
      </c>
      <c r="M135" s="19">
        <v>451.91710275201177</v>
      </c>
      <c r="N135" s="19">
        <v>594.49416052615334</v>
      </c>
      <c r="O135" s="19">
        <v>703.12417343702953</v>
      </c>
      <c r="P135" s="19">
        <v>868.72818838019259</v>
      </c>
      <c r="Q135" s="19">
        <v>875.42372785370469</v>
      </c>
      <c r="R135" s="19">
        <v>814.56417943099495</v>
      </c>
      <c r="S135" s="19">
        <v>685.54909097253255</v>
      </c>
      <c r="T135" s="19">
        <v>491.37301106820166</v>
      </c>
      <c r="U135" s="19">
        <v>239.75465315647872</v>
      </c>
      <c r="V135" s="19">
        <v>33.194730534043408</v>
      </c>
      <c r="W135" s="19">
        <v>0</v>
      </c>
      <c r="X135" s="19">
        <v>0</v>
      </c>
      <c r="Y135" s="19">
        <v>0</v>
      </c>
      <c r="Z135" s="19">
        <v>0</v>
      </c>
      <c r="AA135" s="19">
        <v>0</v>
      </c>
      <c r="AC135" s="76">
        <f t="shared" si="4"/>
        <v>6.2138389614566725</v>
      </c>
      <c r="AD135" s="77"/>
      <c r="AE135" s="72"/>
    </row>
    <row r="136" spans="2:31" x14ac:dyDescent="0.25">
      <c r="B136" s="108">
        <v>42501</v>
      </c>
      <c r="C136" s="72">
        <f t="shared" si="5"/>
        <v>132</v>
      </c>
      <c r="D136" s="19">
        <v>0</v>
      </c>
      <c r="E136" s="19">
        <v>0</v>
      </c>
      <c r="F136" s="19">
        <v>0</v>
      </c>
      <c r="G136" s="19">
        <v>0</v>
      </c>
      <c r="H136" s="19">
        <v>0</v>
      </c>
      <c r="I136" s="19">
        <v>0</v>
      </c>
      <c r="J136" s="19">
        <v>22.541424741336535</v>
      </c>
      <c r="K136" s="19">
        <v>141.85856690141253</v>
      </c>
      <c r="L136" s="19">
        <v>293.54932847549333</v>
      </c>
      <c r="M136" s="19">
        <v>453.7107069010674</v>
      </c>
      <c r="N136" s="19">
        <v>595.71761783986756</v>
      </c>
      <c r="O136" s="19">
        <v>699.64032507532909</v>
      </c>
      <c r="P136" s="19">
        <v>864.67254519160861</v>
      </c>
      <c r="Q136" s="19">
        <v>871.43106647847139</v>
      </c>
      <c r="R136" s="19">
        <v>811.17283794945956</v>
      </c>
      <c r="S136" s="19">
        <v>683.35787391467579</v>
      </c>
      <c r="T136" s="19">
        <v>491.06819253594284</v>
      </c>
      <c r="U136" s="19">
        <v>242.02872106040991</v>
      </c>
      <c r="V136" s="19">
        <v>31.182015398998896</v>
      </c>
      <c r="W136" s="19">
        <v>0</v>
      </c>
      <c r="X136" s="19">
        <v>0</v>
      </c>
      <c r="Y136" s="19">
        <v>0</v>
      </c>
      <c r="Z136" s="19">
        <v>0</v>
      </c>
      <c r="AA136" s="19">
        <v>0</v>
      </c>
      <c r="AC136" s="76">
        <f t="shared" si="4"/>
        <v>6.2019312224640757</v>
      </c>
      <c r="AD136" s="77"/>
      <c r="AE136" s="72"/>
    </row>
    <row r="137" spans="2:31" x14ac:dyDescent="0.25">
      <c r="B137" s="108">
        <v>42502</v>
      </c>
      <c r="C137" s="72">
        <f t="shared" si="5"/>
        <v>133</v>
      </c>
      <c r="D137" s="19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23.251905785021556</v>
      </c>
      <c r="K137" s="19">
        <v>142.29819532990169</v>
      </c>
      <c r="L137" s="19">
        <v>295.50226359381026</v>
      </c>
      <c r="M137" s="19">
        <v>451.53632088245928</v>
      </c>
      <c r="N137" s="19">
        <v>592.00082007527783</v>
      </c>
      <c r="O137" s="19">
        <v>698.01838512556799</v>
      </c>
      <c r="P137" s="19">
        <v>860.66042279258477</v>
      </c>
      <c r="Q137" s="19">
        <v>867.4774419492602</v>
      </c>
      <c r="R137" s="19">
        <v>807.80586300530001</v>
      </c>
      <c r="S137" s="19">
        <v>681.16333503592841</v>
      </c>
      <c r="T137" s="19">
        <v>490.71411209270298</v>
      </c>
      <c r="U137" s="19">
        <v>244.19276941337574</v>
      </c>
      <c r="V137" s="19">
        <v>29.967367875613448</v>
      </c>
      <c r="W137" s="19">
        <v>0</v>
      </c>
      <c r="X137" s="19">
        <v>0</v>
      </c>
      <c r="Y137" s="19">
        <v>0</v>
      </c>
      <c r="Z137" s="19">
        <v>0</v>
      </c>
      <c r="AA137" s="19">
        <v>0</v>
      </c>
      <c r="AC137" s="76">
        <f t="shared" si="4"/>
        <v>6.1845892029568041</v>
      </c>
      <c r="AD137" s="77"/>
      <c r="AE137" s="72"/>
    </row>
    <row r="138" spans="2:31" x14ac:dyDescent="0.25">
      <c r="B138" s="108">
        <v>42503</v>
      </c>
      <c r="C138" s="72">
        <f t="shared" si="5"/>
        <v>134</v>
      </c>
      <c r="D138" s="19">
        <v>0</v>
      </c>
      <c r="E138" s="19">
        <v>0</v>
      </c>
      <c r="F138" s="19">
        <v>0</v>
      </c>
      <c r="G138" s="19">
        <v>0</v>
      </c>
      <c r="H138" s="19">
        <v>0</v>
      </c>
      <c r="I138" s="19">
        <v>0</v>
      </c>
      <c r="J138" s="19">
        <v>23.957606401187725</v>
      </c>
      <c r="K138" s="19">
        <v>142.72033319460391</v>
      </c>
      <c r="L138" s="19">
        <v>295.65045308195192</v>
      </c>
      <c r="M138" s="19">
        <v>450.9778436836886</v>
      </c>
      <c r="N138" s="19">
        <v>593.54558112396569</v>
      </c>
      <c r="O138" s="19">
        <v>700.65066335731308</v>
      </c>
      <c r="P138" s="19">
        <v>856.69449064907826</v>
      </c>
      <c r="Q138" s="19">
        <v>863.56570896701157</v>
      </c>
      <c r="R138" s="19">
        <v>804.46620113532344</v>
      </c>
      <c r="S138" s="19">
        <v>678.96851997502881</v>
      </c>
      <c r="T138" s="19">
        <v>490.31413735828028</v>
      </c>
      <c r="U138" s="19">
        <v>246.24986965388428</v>
      </c>
      <c r="V138" s="19">
        <v>29.352131411412412</v>
      </c>
      <c r="W138" s="19">
        <v>0</v>
      </c>
      <c r="X138" s="19">
        <v>0</v>
      </c>
      <c r="Y138" s="19">
        <v>0</v>
      </c>
      <c r="Z138" s="19">
        <v>0</v>
      </c>
      <c r="AA138" s="19">
        <v>0</v>
      </c>
      <c r="AC138" s="76">
        <f t="shared" si="4"/>
        <v>6.1771135399927308</v>
      </c>
      <c r="AD138" s="77"/>
      <c r="AE138" s="72"/>
    </row>
    <row r="139" spans="2:31" x14ac:dyDescent="0.25">
      <c r="B139" s="108">
        <v>42504</v>
      </c>
      <c r="C139" s="72">
        <f t="shared" si="5"/>
        <v>135</v>
      </c>
      <c r="D139" s="19">
        <v>0</v>
      </c>
      <c r="E139" s="19">
        <v>0</v>
      </c>
      <c r="F139" s="19">
        <v>0</v>
      </c>
      <c r="G139" s="19">
        <v>0</v>
      </c>
      <c r="H139" s="19">
        <v>0</v>
      </c>
      <c r="I139" s="19">
        <v>0</v>
      </c>
      <c r="J139" s="19">
        <v>24.5465777616173</v>
      </c>
      <c r="K139" s="19">
        <v>142.49454720596435</v>
      </c>
      <c r="L139" s="19">
        <v>294.00902451671976</v>
      </c>
      <c r="M139" s="19">
        <v>449.93485695217959</v>
      </c>
      <c r="N139" s="19">
        <v>590.77575466378744</v>
      </c>
      <c r="O139" s="19">
        <v>694.95551813543864</v>
      </c>
      <c r="P139" s="19">
        <v>852.77734905753186</v>
      </c>
      <c r="Q139" s="19">
        <v>859.69864896469062</v>
      </c>
      <c r="R139" s="19">
        <v>801.15672467220259</v>
      </c>
      <c r="S139" s="19">
        <v>676.77639928599353</v>
      </c>
      <c r="T139" s="19">
        <v>489.87155475813199</v>
      </c>
      <c r="U139" s="19">
        <v>248.2031161611271</v>
      </c>
      <c r="V139" s="19">
        <v>29.19489494783452</v>
      </c>
      <c r="W139" s="19">
        <v>0</v>
      </c>
      <c r="X139" s="19">
        <v>0</v>
      </c>
      <c r="Y139" s="19">
        <v>0</v>
      </c>
      <c r="Z139" s="19">
        <v>0</v>
      </c>
      <c r="AA139" s="19">
        <v>0</v>
      </c>
      <c r="AC139" s="76">
        <f t="shared" si="4"/>
        <v>6.1543949670832196</v>
      </c>
      <c r="AD139" s="77"/>
      <c r="AE139" s="72"/>
    </row>
    <row r="140" spans="2:31" x14ac:dyDescent="0.25">
      <c r="B140" s="108">
        <v>42505</v>
      </c>
      <c r="C140" s="72">
        <f t="shared" si="5"/>
        <v>136</v>
      </c>
      <c r="D140" s="19">
        <v>0</v>
      </c>
      <c r="E140" s="19">
        <v>0</v>
      </c>
      <c r="F140" s="19">
        <v>0</v>
      </c>
      <c r="G140" s="19">
        <v>0</v>
      </c>
      <c r="H140" s="19">
        <v>0</v>
      </c>
      <c r="I140" s="19">
        <v>0</v>
      </c>
      <c r="J140" s="19">
        <v>25.271372087011432</v>
      </c>
      <c r="K140" s="19">
        <v>142.84920043059125</v>
      </c>
      <c r="L140" s="19">
        <v>292.3764244845305</v>
      </c>
      <c r="M140" s="19">
        <v>445.75177157360326</v>
      </c>
      <c r="N140" s="19">
        <v>584.25660778454505</v>
      </c>
      <c r="O140" s="19">
        <v>687.53833114615952</v>
      </c>
      <c r="P140" s="19">
        <v>848.91152853911649</v>
      </c>
      <c r="Q140" s="19">
        <v>855.87896943254407</v>
      </c>
      <c r="R140" s="19">
        <v>797.88023100429496</v>
      </c>
      <c r="S140" s="19">
        <v>674.58986766283931</v>
      </c>
      <c r="T140" s="19">
        <v>489.3895685388128</v>
      </c>
      <c r="U140" s="19">
        <v>250.05561162395065</v>
      </c>
      <c r="V140" s="19">
        <v>29.392687246182902</v>
      </c>
      <c r="W140" s="19">
        <v>0</v>
      </c>
      <c r="X140" s="19">
        <v>0</v>
      </c>
      <c r="Y140" s="19">
        <v>0</v>
      </c>
      <c r="Z140" s="19">
        <v>0</v>
      </c>
      <c r="AA140" s="19">
        <v>0</v>
      </c>
      <c r="AC140" s="76">
        <f t="shared" si="4"/>
        <v>6.1241421715541806</v>
      </c>
      <c r="AD140" s="77"/>
      <c r="AE140" s="72"/>
    </row>
    <row r="141" spans="2:31" x14ac:dyDescent="0.25">
      <c r="B141" s="108">
        <v>42506</v>
      </c>
      <c r="C141" s="72">
        <f t="shared" si="5"/>
        <v>137</v>
      </c>
      <c r="D141" s="19">
        <v>0</v>
      </c>
      <c r="E141" s="19">
        <v>0</v>
      </c>
      <c r="F141" s="19">
        <v>0</v>
      </c>
      <c r="G141" s="19">
        <v>0</v>
      </c>
      <c r="H141" s="19">
        <v>0</v>
      </c>
      <c r="I141" s="19">
        <v>0</v>
      </c>
      <c r="J141" s="19">
        <v>26.143450190696829</v>
      </c>
      <c r="K141" s="19">
        <v>143.70304873752386</v>
      </c>
      <c r="L141" s="19">
        <v>293.98546361026979</v>
      </c>
      <c r="M141" s="19">
        <v>448.43163234368853</v>
      </c>
      <c r="N141" s="19">
        <v>586.30976457185659</v>
      </c>
      <c r="O141" s="19">
        <v>687.9037492498918</v>
      </c>
      <c r="P141" s="19">
        <v>845.09948935820364</v>
      </c>
      <c r="Q141" s="19">
        <v>852.10930337483558</v>
      </c>
      <c r="R141" s="19">
        <v>794.63944196713317</v>
      </c>
      <c r="S141" s="19">
        <v>672.41174329192995</v>
      </c>
      <c r="T141" s="19">
        <v>488.87129994175331</v>
      </c>
      <c r="U141" s="19">
        <v>251.81045403303551</v>
      </c>
      <c r="V141" s="19">
        <v>29.868675492052223</v>
      </c>
      <c r="W141" s="19">
        <v>0</v>
      </c>
      <c r="X141" s="19">
        <v>0</v>
      </c>
      <c r="Y141" s="19">
        <v>0</v>
      </c>
      <c r="Z141" s="19">
        <v>0</v>
      </c>
      <c r="AA141" s="19">
        <v>0</v>
      </c>
      <c r="AC141" s="76">
        <f t="shared" si="4"/>
        <v>6.1212875161628695</v>
      </c>
      <c r="AD141" s="77"/>
      <c r="AE141" s="72"/>
    </row>
    <row r="142" spans="2:31" x14ac:dyDescent="0.25">
      <c r="B142" s="108">
        <v>42507</v>
      </c>
      <c r="C142" s="72">
        <f t="shared" si="5"/>
        <v>138</v>
      </c>
      <c r="D142" s="19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26.477851353689584</v>
      </c>
      <c r="K142" s="19">
        <v>143.02287225384012</v>
      </c>
      <c r="L142" s="19">
        <v>290.55503538185934</v>
      </c>
      <c r="M142" s="19">
        <v>445.60611020305487</v>
      </c>
      <c r="N142" s="19">
        <v>582.08636251205121</v>
      </c>
      <c r="O142" s="19">
        <v>683.23628052765605</v>
      </c>
      <c r="P142" s="19">
        <v>841.34362116028615</v>
      </c>
      <c r="Q142" s="19">
        <v>848.39220889299907</v>
      </c>
      <c r="R142" s="19">
        <v>791.43700336146924</v>
      </c>
      <c r="S142" s="19">
        <v>670.24476732663106</v>
      </c>
      <c r="T142" s="19">
        <v>488.31978652551601</v>
      </c>
      <c r="U142" s="19">
        <v>253.47072513553437</v>
      </c>
      <c r="V142" s="19">
        <v>30.564114897634379</v>
      </c>
      <c r="W142" s="19">
        <v>0</v>
      </c>
      <c r="X142" s="19">
        <v>0</v>
      </c>
      <c r="Y142" s="19">
        <v>0</v>
      </c>
      <c r="Z142" s="19">
        <v>0</v>
      </c>
      <c r="AA142" s="19">
        <v>0</v>
      </c>
      <c r="AC142" s="76">
        <f t="shared" si="4"/>
        <v>6.0947567395322224</v>
      </c>
      <c r="AD142" s="77"/>
      <c r="AE142" s="72"/>
    </row>
    <row r="143" spans="2:31" x14ac:dyDescent="0.25">
      <c r="B143" s="108">
        <v>42508</v>
      </c>
      <c r="C143" s="72">
        <f t="shared" si="5"/>
        <v>139</v>
      </c>
      <c r="D143" s="19">
        <v>0</v>
      </c>
      <c r="E143" s="19">
        <v>0</v>
      </c>
      <c r="F143" s="19">
        <v>0</v>
      </c>
      <c r="G143" s="19">
        <v>0</v>
      </c>
      <c r="H143" s="19">
        <v>0</v>
      </c>
      <c r="I143" s="19">
        <v>0</v>
      </c>
      <c r="J143" s="19">
        <v>26.95110937592014</v>
      </c>
      <c r="K143" s="19">
        <v>142.15133900013825</v>
      </c>
      <c r="L143" s="19">
        <v>288.9309482230787</v>
      </c>
      <c r="M143" s="19">
        <v>439.60759000104923</v>
      </c>
      <c r="N143" s="19">
        <v>573.85903549272189</v>
      </c>
      <c r="O143" s="19">
        <v>677.71908156611175</v>
      </c>
      <c r="P143" s="19">
        <v>837.64624272437493</v>
      </c>
      <c r="Q143" s="19">
        <v>844.73016888993027</v>
      </c>
      <c r="R143" s="19">
        <v>788.27548459253876</v>
      </c>
      <c r="S143" s="19">
        <v>668.09160347881607</v>
      </c>
      <c r="T143" s="19">
        <v>487.73798162700535</v>
      </c>
      <c r="U143" s="19">
        <v>255.03948020630989</v>
      </c>
      <c r="V143" s="19">
        <v>31.433034923944916</v>
      </c>
      <c r="W143" s="19">
        <v>0</v>
      </c>
      <c r="X143" s="19">
        <v>0</v>
      </c>
      <c r="Y143" s="19">
        <v>0</v>
      </c>
      <c r="Z143" s="19">
        <v>0</v>
      </c>
      <c r="AA143" s="19">
        <v>0</v>
      </c>
      <c r="AC143" s="76">
        <f t="shared" si="4"/>
        <v>6.0621731001019405</v>
      </c>
      <c r="AD143" s="77"/>
      <c r="AE143" s="72"/>
    </row>
    <row r="144" spans="2:31" x14ac:dyDescent="0.25">
      <c r="B144" s="108">
        <v>42509</v>
      </c>
      <c r="C144" s="72">
        <f t="shared" si="5"/>
        <v>140</v>
      </c>
      <c r="D144" s="19">
        <v>0</v>
      </c>
      <c r="E144" s="19">
        <v>0</v>
      </c>
      <c r="F144" s="19">
        <v>0</v>
      </c>
      <c r="G144" s="19">
        <v>0</v>
      </c>
      <c r="H144" s="19">
        <v>0</v>
      </c>
      <c r="I144" s="19">
        <v>0</v>
      </c>
      <c r="J144" s="19">
        <v>27.997711523487634</v>
      </c>
      <c r="K144" s="19">
        <v>144.25202952779131</v>
      </c>
      <c r="L144" s="19">
        <v>291.72001362477994</v>
      </c>
      <c r="M144" s="19">
        <v>444.7753958200758</v>
      </c>
      <c r="N144" s="19">
        <v>574.35795768510741</v>
      </c>
      <c r="O144" s="19">
        <v>675.1448593393967</v>
      </c>
      <c r="P144" s="19">
        <v>834.00960182468498</v>
      </c>
      <c r="Q144" s="19">
        <v>841.12559088993237</v>
      </c>
      <c r="R144" s="19">
        <v>785.15737842504814</v>
      </c>
      <c r="S144" s="19">
        <v>665.95483772164437</v>
      </c>
      <c r="T144" s="19">
        <v>487.12875395246493</v>
      </c>
      <c r="U144" s="19">
        <v>256.51973900360161</v>
      </c>
      <c r="V144" s="19">
        <v>32.438686563141879</v>
      </c>
      <c r="W144" s="19">
        <v>0</v>
      </c>
      <c r="X144" s="19">
        <v>0</v>
      </c>
      <c r="Y144" s="19">
        <v>0</v>
      </c>
      <c r="Z144" s="19">
        <v>0</v>
      </c>
      <c r="AA144" s="19">
        <v>0</v>
      </c>
      <c r="AC144" s="76">
        <f t="shared" si="4"/>
        <v>6.0605825559011572</v>
      </c>
      <c r="AD144" s="77"/>
      <c r="AE144" s="72"/>
    </row>
    <row r="145" spans="2:31" x14ac:dyDescent="0.25">
      <c r="B145" s="108">
        <v>42510</v>
      </c>
      <c r="C145" s="72">
        <f t="shared" si="5"/>
        <v>141</v>
      </c>
      <c r="D145" s="19">
        <v>0</v>
      </c>
      <c r="E145" s="19">
        <v>0</v>
      </c>
      <c r="F145" s="19">
        <v>0</v>
      </c>
      <c r="G145" s="19">
        <v>0</v>
      </c>
      <c r="H145" s="19">
        <v>0</v>
      </c>
      <c r="I145" s="19">
        <v>0</v>
      </c>
      <c r="J145" s="19">
        <v>28.464253665252819</v>
      </c>
      <c r="K145" s="19">
        <v>143.56694025049882</v>
      </c>
      <c r="L145" s="19">
        <v>288.8929052305586</v>
      </c>
      <c r="M145" s="19">
        <v>439.44846002324675</v>
      </c>
      <c r="N145" s="19">
        <v>571.29381757725071</v>
      </c>
      <c r="O145" s="19">
        <v>669.2504012211225</v>
      </c>
      <c r="P145" s="19">
        <v>830.43587519626624</v>
      </c>
      <c r="Q145" s="19">
        <v>837.58080696866614</v>
      </c>
      <c r="R145" s="19">
        <v>782.08510084820966</v>
      </c>
      <c r="S145" s="19">
        <v>663.83697809794114</v>
      </c>
      <c r="T145" s="19">
        <v>486.4948872893965</v>
      </c>
      <c r="U145" s="19">
        <v>257.91447778941068</v>
      </c>
      <c r="V145" s="19">
        <v>33.551130794571073</v>
      </c>
      <c r="W145" s="19">
        <v>0</v>
      </c>
      <c r="X145" s="19">
        <v>0</v>
      </c>
      <c r="Y145" s="19">
        <v>0</v>
      </c>
      <c r="Z145" s="19">
        <v>0</v>
      </c>
      <c r="AA145" s="19">
        <v>0</v>
      </c>
      <c r="AC145" s="76">
        <f t="shared" si="4"/>
        <v>6.0328160349523916</v>
      </c>
      <c r="AD145" s="77"/>
      <c r="AE145" s="72"/>
    </row>
    <row r="146" spans="2:31" x14ac:dyDescent="0.25">
      <c r="B146" s="108">
        <v>42511</v>
      </c>
      <c r="C146" s="72">
        <f t="shared" si="5"/>
        <v>142</v>
      </c>
      <c r="D146" s="19">
        <v>0</v>
      </c>
      <c r="E146" s="19">
        <v>0</v>
      </c>
      <c r="F146" s="19">
        <v>0</v>
      </c>
      <c r="G146" s="19">
        <v>0</v>
      </c>
      <c r="H146" s="19">
        <v>0</v>
      </c>
      <c r="I146" s="19">
        <v>0</v>
      </c>
      <c r="J146" s="19">
        <v>28.8725039598283</v>
      </c>
      <c r="K146" s="19">
        <v>142.98159554396784</v>
      </c>
      <c r="L146" s="19">
        <v>288.32323662127681</v>
      </c>
      <c r="M146" s="19">
        <v>436.71397156364026</v>
      </c>
      <c r="N146" s="19">
        <v>568.69519362949893</v>
      </c>
      <c r="O146" s="19">
        <v>667.06832110001176</v>
      </c>
      <c r="P146" s="19">
        <v>826.92716859907671</v>
      </c>
      <c r="Q146" s="19">
        <v>834.09807378729374</v>
      </c>
      <c r="R146" s="19">
        <v>779.06099104502414</v>
      </c>
      <c r="S146" s="19">
        <v>661.74045462840991</v>
      </c>
      <c r="T146" s="19">
        <v>485.83908033083816</v>
      </c>
      <c r="U146" s="19">
        <v>259.22662230627327</v>
      </c>
      <c r="V146" s="19">
        <v>34.745574370192408</v>
      </c>
      <c r="W146" s="19">
        <v>0</v>
      </c>
      <c r="X146" s="19">
        <v>0</v>
      </c>
      <c r="Y146" s="19">
        <v>0</v>
      </c>
      <c r="Z146" s="19">
        <v>0</v>
      </c>
      <c r="AA146" s="19">
        <v>0</v>
      </c>
      <c r="AC146" s="76">
        <f t="shared" si="4"/>
        <v>6.0142927874853322</v>
      </c>
      <c r="AD146" s="77"/>
      <c r="AE146" s="72"/>
    </row>
    <row r="147" spans="2:31" x14ac:dyDescent="0.25">
      <c r="B147" s="108">
        <v>42512</v>
      </c>
      <c r="C147" s="72">
        <f t="shared" si="5"/>
        <v>143</v>
      </c>
      <c r="D147" s="19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29.415256350459543</v>
      </c>
      <c r="K147" s="19">
        <v>143.33135343881375</v>
      </c>
      <c r="L147" s="19">
        <v>286.74806728120649</v>
      </c>
      <c r="M147" s="19">
        <v>433.86041865608439</v>
      </c>
      <c r="N147" s="19">
        <v>572.90562127379837</v>
      </c>
      <c r="O147" s="19">
        <v>681.03500295212768</v>
      </c>
      <c r="P147" s="19">
        <v>823.48551697486414</v>
      </c>
      <c r="Q147" s="19">
        <v>830.67957272486603</v>
      </c>
      <c r="R147" s="19">
        <v>776.08731145987963</v>
      </c>
      <c r="S147" s="19">
        <v>659.6676193138436</v>
      </c>
      <c r="T147" s="19">
        <v>485.1639466036998</v>
      </c>
      <c r="U147" s="19">
        <v>260.45904161240838</v>
      </c>
      <c r="V147" s="19">
        <v>36.001201016246185</v>
      </c>
      <c r="W147" s="19">
        <v>0</v>
      </c>
      <c r="X147" s="19">
        <v>0</v>
      </c>
      <c r="Y147" s="19">
        <v>0</v>
      </c>
      <c r="Z147" s="19">
        <v>0</v>
      </c>
      <c r="AA147" s="19">
        <v>0</v>
      </c>
      <c r="AC147" s="76">
        <f t="shared" si="4"/>
        <v>6.0188399296582977</v>
      </c>
      <c r="AD147" s="77"/>
      <c r="AE147" s="72"/>
    </row>
    <row r="148" spans="2:31" x14ac:dyDescent="0.25">
      <c r="B148" s="108">
        <v>42513</v>
      </c>
      <c r="C148" s="72">
        <f t="shared" si="5"/>
        <v>144</v>
      </c>
      <c r="D148" s="19">
        <v>0</v>
      </c>
      <c r="E148" s="19">
        <v>0</v>
      </c>
      <c r="F148" s="19">
        <v>0</v>
      </c>
      <c r="G148" s="19">
        <v>0</v>
      </c>
      <c r="H148" s="19">
        <v>0</v>
      </c>
      <c r="I148" s="19">
        <v>0</v>
      </c>
      <c r="J148" s="19">
        <v>30.730683491759709</v>
      </c>
      <c r="K148" s="19">
        <v>146.33876498723083</v>
      </c>
      <c r="L148" s="19">
        <v>291.02036374518963</v>
      </c>
      <c r="M148" s="19">
        <v>438.52124241306444</v>
      </c>
      <c r="N148" s="19">
        <v>570.04321114607342</v>
      </c>
      <c r="O148" s="19">
        <v>669.71514089300933</v>
      </c>
      <c r="P148" s="19">
        <v>820.11288469110752</v>
      </c>
      <c r="Q148" s="19">
        <v>827.32741010290329</v>
      </c>
      <c r="R148" s="19">
        <v>773.16624795843722</v>
      </c>
      <c r="S148" s="19">
        <v>657.62074622543912</v>
      </c>
      <c r="T148" s="19">
        <v>484.47201449312792</v>
      </c>
      <c r="U148" s="19">
        <v>261.61454268661237</v>
      </c>
      <c r="V148" s="19">
        <v>37.300335302923855</v>
      </c>
      <c r="W148" s="19">
        <v>0</v>
      </c>
      <c r="X148" s="19">
        <v>0</v>
      </c>
      <c r="Y148" s="19">
        <v>0</v>
      </c>
      <c r="Z148" s="19">
        <v>0</v>
      </c>
      <c r="AA148" s="19">
        <v>0</v>
      </c>
      <c r="AC148" s="76">
        <f t="shared" si="4"/>
        <v>6.0079835881368782</v>
      </c>
      <c r="AD148" s="77"/>
      <c r="AE148" s="72"/>
    </row>
    <row r="149" spans="2:31" x14ac:dyDescent="0.25">
      <c r="B149" s="108">
        <v>42514</v>
      </c>
      <c r="C149" s="72">
        <f t="shared" si="5"/>
        <v>145</v>
      </c>
      <c r="D149" s="19">
        <v>0</v>
      </c>
      <c r="E149" s="19">
        <v>0</v>
      </c>
      <c r="F149" s="19">
        <v>0</v>
      </c>
      <c r="G149" s="19">
        <v>0</v>
      </c>
      <c r="H149" s="19">
        <v>0</v>
      </c>
      <c r="I149" s="19">
        <v>0</v>
      </c>
      <c r="J149" s="19">
        <v>30.988430906568222</v>
      </c>
      <c r="K149" s="19">
        <v>144.35390272465787</v>
      </c>
      <c r="L149" s="19">
        <v>286.32117656660654</v>
      </c>
      <c r="M149" s="19">
        <v>432.85415735607114</v>
      </c>
      <c r="N149" s="19">
        <v>563.35456067338146</v>
      </c>
      <c r="O149" s="19">
        <v>661.84961891239516</v>
      </c>
      <c r="P149" s="19">
        <v>816.81116586618305</v>
      </c>
      <c r="Q149" s="19">
        <v>824.04361749600935</v>
      </c>
      <c r="R149" s="19">
        <v>770.29991007369222</v>
      </c>
      <c r="S149" s="19">
        <v>655.60203167727764</v>
      </c>
      <c r="T149" s="19">
        <v>483.76572735510075</v>
      </c>
      <c r="U149" s="19">
        <v>262.6958657227533</v>
      </c>
      <c r="V149" s="19">
        <v>38.627832842367042</v>
      </c>
      <c r="W149" s="19">
        <v>0</v>
      </c>
      <c r="X149" s="19">
        <v>0</v>
      </c>
      <c r="Y149" s="19">
        <v>0</v>
      </c>
      <c r="Z149" s="19">
        <v>0</v>
      </c>
      <c r="AA149" s="19">
        <v>0</v>
      </c>
      <c r="AC149" s="76">
        <f t="shared" si="4"/>
        <v>5.9715679981730636</v>
      </c>
      <c r="AD149" s="77"/>
      <c r="AE149" s="72"/>
    </row>
    <row r="150" spans="2:31" x14ac:dyDescent="0.25">
      <c r="B150" s="108">
        <v>42515</v>
      </c>
      <c r="C150" s="72">
        <f t="shared" si="5"/>
        <v>146</v>
      </c>
      <c r="D150" s="19">
        <v>0</v>
      </c>
      <c r="E150" s="19">
        <v>0</v>
      </c>
      <c r="F150" s="19">
        <v>0</v>
      </c>
      <c r="G150" s="19">
        <v>0</v>
      </c>
      <c r="H150" s="19">
        <v>0</v>
      </c>
      <c r="I150" s="19">
        <v>0</v>
      </c>
      <c r="J150" s="19">
        <v>31.163714196395286</v>
      </c>
      <c r="K150" s="19">
        <v>143.57141186095853</v>
      </c>
      <c r="L150" s="19">
        <v>284.65606402162842</v>
      </c>
      <c r="M150" s="19">
        <v>430.60041123150899</v>
      </c>
      <c r="N150" s="19">
        <v>560.37941338755479</v>
      </c>
      <c r="O150" s="19">
        <v>657.84475541069014</v>
      </c>
      <c r="P150" s="19">
        <v>813.58218476984791</v>
      </c>
      <c r="Q150" s="19">
        <v>820.83015212230714</v>
      </c>
      <c r="R150" s="19">
        <v>767.49033133204125</v>
      </c>
      <c r="S150" s="19">
        <v>653.61359447501104</v>
      </c>
      <c r="T150" s="19">
        <v>483.04744370969854</v>
      </c>
      <c r="U150" s="19">
        <v>263.70568004141944</v>
      </c>
      <c r="V150" s="19">
        <v>39.970626525756472</v>
      </c>
      <c r="W150" s="19">
        <v>0</v>
      </c>
      <c r="X150" s="19">
        <v>0</v>
      </c>
      <c r="Y150" s="19">
        <v>0</v>
      </c>
      <c r="Z150" s="19">
        <v>0</v>
      </c>
      <c r="AA150" s="19">
        <v>0</v>
      </c>
      <c r="AC150" s="76">
        <f t="shared" si="4"/>
        <v>5.9504557830848182</v>
      </c>
      <c r="AD150" s="77"/>
      <c r="AE150" s="72"/>
    </row>
    <row r="151" spans="2:31" x14ac:dyDescent="0.25">
      <c r="B151" s="108">
        <v>42516</v>
      </c>
      <c r="C151" s="72">
        <f t="shared" si="5"/>
        <v>147</v>
      </c>
      <c r="D151" s="19">
        <v>0</v>
      </c>
      <c r="E151" s="19">
        <v>0</v>
      </c>
      <c r="F151" s="19">
        <v>0</v>
      </c>
      <c r="G151" s="19">
        <v>0</v>
      </c>
      <c r="H151" s="19">
        <v>0</v>
      </c>
      <c r="I151" s="19">
        <v>0</v>
      </c>
      <c r="J151" s="19">
        <v>31.734080155836402</v>
      </c>
      <c r="K151" s="19">
        <v>143.84291475548338</v>
      </c>
      <c r="L151" s="19">
        <v>285.26795094999073</v>
      </c>
      <c r="M151" s="19">
        <v>428.56484160579748</v>
      </c>
      <c r="N151" s="19">
        <v>558.1481918474343</v>
      </c>
      <c r="O151" s="19">
        <v>654.81224797807761</v>
      </c>
      <c r="P151" s="19">
        <v>810.42769629307372</v>
      </c>
      <c r="Q151" s="19">
        <v>817.68889730740864</v>
      </c>
      <c r="R151" s="19">
        <v>764.73946965313837</v>
      </c>
      <c r="S151" s="19">
        <v>651.6574762347858</v>
      </c>
      <c r="T151" s="19">
        <v>482.31943750771592</v>
      </c>
      <c r="U151" s="19">
        <v>264.64658055321019</v>
      </c>
      <c r="V151" s="19">
        <v>41.317381814915244</v>
      </c>
      <c r="W151" s="19">
        <v>0</v>
      </c>
      <c r="X151" s="19">
        <v>0</v>
      </c>
      <c r="Y151" s="19">
        <v>0</v>
      </c>
      <c r="Z151" s="19">
        <v>0</v>
      </c>
      <c r="AA151" s="19">
        <v>0</v>
      </c>
      <c r="AC151" s="76">
        <f t="shared" si="4"/>
        <v>5.9351671666568668</v>
      </c>
      <c r="AD151" s="77"/>
      <c r="AE151" s="72"/>
    </row>
    <row r="152" spans="2:31" x14ac:dyDescent="0.25">
      <c r="B152" s="108">
        <v>42517</v>
      </c>
      <c r="C152" s="72">
        <f t="shared" si="5"/>
        <v>148</v>
      </c>
      <c r="D152" s="19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32.324426342136967</v>
      </c>
      <c r="K152" s="19">
        <v>144.0008552323082</v>
      </c>
      <c r="L152" s="19">
        <v>284.94589962851882</v>
      </c>
      <c r="M152" s="19">
        <v>429.14295718816754</v>
      </c>
      <c r="N152" s="19">
        <v>556.09601293956564</v>
      </c>
      <c r="O152" s="19">
        <v>652.8036666733517</v>
      </c>
      <c r="P152" s="19">
        <v>807.3493864812466</v>
      </c>
      <c r="Q152" s="19">
        <v>814.62166301562911</v>
      </c>
      <c r="R152" s="19">
        <v>762.04920781730368</v>
      </c>
      <c r="S152" s="19">
        <v>649.73564176643083</v>
      </c>
      <c r="T152" s="19">
        <v>481.58389846349877</v>
      </c>
      <c r="U152" s="19">
        <v>265.52108471445399</v>
      </c>
      <c r="V152" s="19">
        <v>42.658229344321519</v>
      </c>
      <c r="W152" s="19">
        <v>0</v>
      </c>
      <c r="X152" s="19">
        <v>0</v>
      </c>
      <c r="Y152" s="19">
        <v>0</v>
      </c>
      <c r="Z152" s="19">
        <v>0</v>
      </c>
      <c r="AA152" s="19">
        <v>0</v>
      </c>
      <c r="AC152" s="76">
        <f t="shared" si="4"/>
        <v>5.9228329296069324</v>
      </c>
      <c r="AD152" s="77"/>
      <c r="AE152" s="72"/>
    </row>
    <row r="153" spans="2:31" x14ac:dyDescent="0.25">
      <c r="B153" s="108">
        <v>42518</v>
      </c>
      <c r="C153" s="72">
        <f t="shared" si="5"/>
        <v>149</v>
      </c>
      <c r="D153" s="19">
        <v>0</v>
      </c>
      <c r="E153" s="19">
        <v>0</v>
      </c>
      <c r="F153" s="19">
        <v>0</v>
      </c>
      <c r="G153" s="19">
        <v>0</v>
      </c>
      <c r="H153" s="19">
        <v>0</v>
      </c>
      <c r="I153" s="19">
        <v>0</v>
      </c>
      <c r="J153" s="19">
        <v>32.696225591307837</v>
      </c>
      <c r="K153" s="19">
        <v>143.76199428224945</v>
      </c>
      <c r="L153" s="19">
        <v>282.50613617642239</v>
      </c>
      <c r="M153" s="19">
        <v>425.29380920825747</v>
      </c>
      <c r="N153" s="19">
        <v>552.93462933503486</v>
      </c>
      <c r="O153" s="19">
        <v>653.04091825652552</v>
      </c>
      <c r="P153" s="19">
        <v>804.34887312471562</v>
      </c>
      <c r="Q153" s="19">
        <v>811.63018644211775</v>
      </c>
      <c r="R153" s="19">
        <v>759.42135399424399</v>
      </c>
      <c r="S153" s="19">
        <v>647.84997951496791</v>
      </c>
      <c r="T153" s="19">
        <v>480.84293244710318</v>
      </c>
      <c r="U153" s="19">
        <v>266.33162992180331</v>
      </c>
      <c r="V153" s="19">
        <v>43.984553166936394</v>
      </c>
      <c r="W153" s="19">
        <v>0</v>
      </c>
      <c r="X153" s="19">
        <v>0</v>
      </c>
      <c r="Y153" s="19">
        <v>0</v>
      </c>
      <c r="Z153" s="19">
        <v>0</v>
      </c>
      <c r="AA153" s="19">
        <v>0</v>
      </c>
      <c r="AC153" s="76">
        <f t="shared" si="4"/>
        <v>5.9046432214616864</v>
      </c>
      <c r="AD153" s="77"/>
      <c r="AE153" s="72"/>
    </row>
    <row r="154" spans="2:31" x14ac:dyDescent="0.25">
      <c r="B154" s="108">
        <v>42519</v>
      </c>
      <c r="C154" s="72">
        <f t="shared" si="5"/>
        <v>150</v>
      </c>
      <c r="D154" s="19">
        <v>0</v>
      </c>
      <c r="E154" s="19">
        <v>0</v>
      </c>
      <c r="F154" s="19">
        <v>0</v>
      </c>
      <c r="G154" s="19">
        <v>0</v>
      </c>
      <c r="H154" s="19">
        <v>0</v>
      </c>
      <c r="I154" s="19">
        <v>0</v>
      </c>
      <c r="J154" s="19">
        <v>33.885096509952717</v>
      </c>
      <c r="K154" s="19">
        <v>146.97144006636478</v>
      </c>
      <c r="L154" s="19">
        <v>288.30840135484664</v>
      </c>
      <c r="M154" s="19">
        <v>430.53122607452445</v>
      </c>
      <c r="N154" s="19">
        <v>552.87372230044252</v>
      </c>
      <c r="O154" s="19">
        <v>649.44026798672587</v>
      </c>
      <c r="P154" s="19">
        <v>801.42770640069989</v>
      </c>
      <c r="Q154" s="19">
        <v>808.71613265960355</v>
      </c>
      <c r="R154" s="19">
        <v>756.85764232685665</v>
      </c>
      <c r="S154" s="19">
        <v>646.00230205453352</v>
      </c>
      <c r="T154" s="19">
        <v>480.09856192907426</v>
      </c>
      <c r="U154" s="19">
        <v>267.08057129726956</v>
      </c>
      <c r="V154" s="19">
        <v>45.288819709111742</v>
      </c>
      <c r="W154" s="19">
        <v>0</v>
      </c>
      <c r="X154" s="19">
        <v>0</v>
      </c>
      <c r="Y154" s="19">
        <v>0</v>
      </c>
      <c r="Z154" s="19">
        <v>0</v>
      </c>
      <c r="AA154" s="19">
        <v>0</v>
      </c>
      <c r="AC154" s="76">
        <f t="shared" si="4"/>
        <v>5.907481890670006</v>
      </c>
      <c r="AD154" s="77"/>
      <c r="AE154" s="72"/>
    </row>
    <row r="155" spans="2:31" x14ac:dyDescent="0.25">
      <c r="B155" s="108">
        <v>42520</v>
      </c>
      <c r="C155" s="72">
        <f t="shared" si="5"/>
        <v>151</v>
      </c>
      <c r="D155" s="19">
        <v>0</v>
      </c>
      <c r="E155" s="19">
        <v>0</v>
      </c>
      <c r="F155" s="19">
        <v>0</v>
      </c>
      <c r="G155" s="19">
        <v>0</v>
      </c>
      <c r="H155" s="19">
        <v>0</v>
      </c>
      <c r="I155" s="19">
        <v>0</v>
      </c>
      <c r="J155" s="19">
        <v>34.308694411475223</v>
      </c>
      <c r="K155" s="19">
        <v>146.52519350044585</v>
      </c>
      <c r="L155" s="19">
        <v>285.38813862849599</v>
      </c>
      <c r="M155" s="19">
        <v>427.87516512782804</v>
      </c>
      <c r="N155" s="19">
        <v>553.63890747018479</v>
      </c>
      <c r="O155" s="19">
        <v>648.93652261616478</v>
      </c>
      <c r="P155" s="19">
        <v>798.58736956057021</v>
      </c>
      <c r="Q155" s="19">
        <v>805.88109531347686</v>
      </c>
      <c r="R155" s="19">
        <v>754.35973356392924</v>
      </c>
      <c r="S155" s="19">
        <v>644.1943466288501</v>
      </c>
      <c r="T155" s="19">
        <v>479.35272647135679</v>
      </c>
      <c r="U155" s="19">
        <v>267.77017981990724</v>
      </c>
      <c r="V155" s="19">
        <v>46.564437038582589</v>
      </c>
      <c r="W155" s="19">
        <v>0</v>
      </c>
      <c r="X155" s="19">
        <v>0</v>
      </c>
      <c r="Y155" s="19">
        <v>0</v>
      </c>
      <c r="Z155" s="19">
        <v>0</v>
      </c>
      <c r="AA155" s="19">
        <v>0</v>
      </c>
      <c r="AC155" s="76">
        <f t="shared" si="4"/>
        <v>5.8933825101512669</v>
      </c>
      <c r="AD155" s="77"/>
      <c r="AE155" s="72"/>
    </row>
    <row r="156" spans="2:31" x14ac:dyDescent="0.25">
      <c r="B156" s="108">
        <v>42521</v>
      </c>
      <c r="C156" s="72">
        <f t="shared" si="5"/>
        <v>152</v>
      </c>
      <c r="D156" s="19">
        <v>0</v>
      </c>
      <c r="E156" s="19">
        <v>0</v>
      </c>
      <c r="F156" s="19">
        <v>0</v>
      </c>
      <c r="G156" s="19">
        <v>0</v>
      </c>
      <c r="H156" s="19">
        <v>0</v>
      </c>
      <c r="I156" s="19">
        <v>0</v>
      </c>
      <c r="J156" s="19">
        <v>34.749060609594061</v>
      </c>
      <c r="K156" s="19">
        <v>146.5267591739142</v>
      </c>
      <c r="L156" s="19">
        <v>286.32137618708106</v>
      </c>
      <c r="M156" s="19">
        <v>424.64161209655913</v>
      </c>
      <c r="N156" s="19">
        <v>549.77862046927771</v>
      </c>
      <c r="O156" s="19">
        <v>646.43935841593259</v>
      </c>
      <c r="P156" s="19">
        <v>795.82927965657586</v>
      </c>
      <c r="Q156" s="19">
        <v>803.1265973589708</v>
      </c>
      <c r="R156" s="19">
        <v>751.92921573558328</v>
      </c>
      <c r="S156" s="19">
        <v>642.42777573245644</v>
      </c>
      <c r="T156" s="19">
        <v>478.60728325804359</v>
      </c>
      <c r="U156" s="19">
        <v>268.40264076450302</v>
      </c>
      <c r="V156" s="19">
        <v>47.805637135277408</v>
      </c>
      <c r="W156" s="19">
        <v>0</v>
      </c>
      <c r="X156" s="19">
        <v>0</v>
      </c>
      <c r="Y156" s="19">
        <v>0</v>
      </c>
      <c r="Z156" s="19">
        <v>0</v>
      </c>
      <c r="AA156" s="19">
        <v>0</v>
      </c>
      <c r="AC156" s="76">
        <f t="shared" si="4"/>
        <v>5.8765852165937691</v>
      </c>
      <c r="AD156" s="77"/>
      <c r="AE156" s="72"/>
    </row>
    <row r="157" spans="2:31" x14ac:dyDescent="0.25">
      <c r="B157" s="108">
        <v>42522</v>
      </c>
      <c r="C157" s="72">
        <f t="shared" si="5"/>
        <v>153</v>
      </c>
      <c r="D157" s="19">
        <v>0</v>
      </c>
      <c r="E157" s="19">
        <v>0</v>
      </c>
      <c r="F157" s="19">
        <v>0</v>
      </c>
      <c r="G157" s="19">
        <v>0</v>
      </c>
      <c r="H157" s="19">
        <v>0</v>
      </c>
      <c r="I157" s="19">
        <v>0</v>
      </c>
      <c r="J157" s="19">
        <v>35.371391806597416</v>
      </c>
      <c r="K157" s="19">
        <v>147.28320361902061</v>
      </c>
      <c r="L157" s="19">
        <v>285.89175635933469</v>
      </c>
      <c r="M157" s="19">
        <v>427.30871422739176</v>
      </c>
      <c r="N157" s="19">
        <v>550.25938792550721</v>
      </c>
      <c r="O157" s="19">
        <v>645.34163101556624</v>
      </c>
      <c r="P157" s="19">
        <v>793.1547883021392</v>
      </c>
      <c r="Q157" s="19">
        <v>800.45409183427546</v>
      </c>
      <c r="R157" s="19">
        <v>749.56760486539656</v>
      </c>
      <c r="S157" s="19">
        <v>640.70417772697408</v>
      </c>
      <c r="T157" s="19">
        <v>477.86400765986929</v>
      </c>
      <c r="U157" s="19">
        <v>268.98005241141618</v>
      </c>
      <c r="V157" s="19">
        <v>49.007375968633461</v>
      </c>
      <c r="W157" s="19">
        <v>0</v>
      </c>
      <c r="X157" s="19">
        <v>0</v>
      </c>
      <c r="Y157" s="19">
        <v>0</v>
      </c>
      <c r="Z157" s="19">
        <v>0</v>
      </c>
      <c r="AA157" s="19">
        <v>0</v>
      </c>
      <c r="AC157" s="76">
        <f t="shared" si="4"/>
        <v>5.8711881837221229</v>
      </c>
      <c r="AD157" s="77"/>
      <c r="AE157" s="72"/>
    </row>
    <row r="158" spans="2:31" x14ac:dyDescent="0.25">
      <c r="B158" s="108">
        <v>42523</v>
      </c>
      <c r="C158" s="72">
        <f t="shared" si="5"/>
        <v>154</v>
      </c>
      <c r="D158" s="19">
        <v>0</v>
      </c>
      <c r="E158" s="19">
        <v>0</v>
      </c>
      <c r="F158" s="19">
        <v>0</v>
      </c>
      <c r="G158" s="19">
        <v>0</v>
      </c>
      <c r="H158" s="19">
        <v>0</v>
      </c>
      <c r="I158" s="19">
        <v>0</v>
      </c>
      <c r="J158" s="19">
        <v>35.665266116992939</v>
      </c>
      <c r="K158" s="19">
        <v>146.48332018147718</v>
      </c>
      <c r="L158" s="19">
        <v>283.21834836092813</v>
      </c>
      <c r="M158" s="19">
        <v>423.53160674909003</v>
      </c>
      <c r="N158" s="19">
        <v>547.4069261460802</v>
      </c>
      <c r="O158" s="19">
        <v>639.20566183378799</v>
      </c>
      <c r="P158" s="19">
        <v>790.56518245992208</v>
      </c>
      <c r="Q158" s="19">
        <v>797.86496266350059</v>
      </c>
      <c r="R158" s="19">
        <v>747.27634571320823</v>
      </c>
      <c r="S158" s="19">
        <v>639.02506748679866</v>
      </c>
      <c r="T158" s="19">
        <v>477.1245938265667</v>
      </c>
      <c r="U158" s="19">
        <v>269.50442499511314</v>
      </c>
      <c r="V158" s="19">
        <v>50.165247643686257</v>
      </c>
      <c r="W158" s="19">
        <v>0</v>
      </c>
      <c r="X158" s="19">
        <v>0</v>
      </c>
      <c r="Y158" s="19">
        <v>0</v>
      </c>
      <c r="Z158" s="19">
        <v>0</v>
      </c>
      <c r="AA158" s="19">
        <v>0</v>
      </c>
      <c r="AC158" s="76">
        <f t="shared" si="4"/>
        <v>5.8470369541771525</v>
      </c>
      <c r="AD158" s="77"/>
      <c r="AE158" s="72"/>
    </row>
    <row r="159" spans="2:31" x14ac:dyDescent="0.25">
      <c r="B159" s="108">
        <v>42524</v>
      </c>
      <c r="C159" s="72">
        <f t="shared" si="5"/>
        <v>155</v>
      </c>
      <c r="D159" s="19">
        <v>0</v>
      </c>
      <c r="E159" s="19">
        <v>0</v>
      </c>
      <c r="F159" s="19">
        <v>0</v>
      </c>
      <c r="G159" s="19">
        <v>0</v>
      </c>
      <c r="H159" s="19">
        <v>0</v>
      </c>
      <c r="I159" s="19">
        <v>0</v>
      </c>
      <c r="J159" s="19">
        <v>35.687253654548499</v>
      </c>
      <c r="K159" s="19">
        <v>145.5573374277825</v>
      </c>
      <c r="L159" s="19">
        <v>281.25782942268751</v>
      </c>
      <c r="M159" s="19">
        <v>423.52420559399451</v>
      </c>
      <c r="N159" s="19">
        <v>546.41800344082048</v>
      </c>
      <c r="O159" s="19">
        <v>638.39163021735294</v>
      </c>
      <c r="P159" s="19">
        <v>788.06168525195733</v>
      </c>
      <c r="Q159" s="19">
        <v>795.36052548349721</v>
      </c>
      <c r="R159" s="19">
        <v>745.05681254272395</v>
      </c>
      <c r="S159" s="19">
        <v>637.39188706869129</v>
      </c>
      <c r="T159" s="19">
        <v>476.39065530138816</v>
      </c>
      <c r="U159" s="19">
        <v>269.97767986201427</v>
      </c>
      <c r="V159" s="19">
        <v>51.275409891634013</v>
      </c>
      <c r="W159" s="19">
        <v>0</v>
      </c>
      <c r="X159" s="19">
        <v>0</v>
      </c>
      <c r="Y159" s="19">
        <v>0</v>
      </c>
      <c r="Z159" s="19">
        <v>0</v>
      </c>
      <c r="AA159" s="19">
        <v>0</v>
      </c>
      <c r="AC159" s="76">
        <f t="shared" si="4"/>
        <v>5.8343509151590922</v>
      </c>
      <c r="AD159" s="77"/>
      <c r="AE159" s="72"/>
    </row>
    <row r="160" spans="2:31" x14ac:dyDescent="0.25">
      <c r="B160" s="108">
        <v>42525</v>
      </c>
      <c r="C160" s="72">
        <f t="shared" si="5"/>
        <v>156</v>
      </c>
      <c r="D160" s="19">
        <v>0</v>
      </c>
      <c r="E160" s="19">
        <v>0</v>
      </c>
      <c r="F160" s="19">
        <v>0</v>
      </c>
      <c r="G160" s="19">
        <v>0</v>
      </c>
      <c r="H160" s="19">
        <v>0</v>
      </c>
      <c r="I160" s="19">
        <v>0</v>
      </c>
      <c r="J160" s="19">
        <v>36.199159595601131</v>
      </c>
      <c r="K160" s="19">
        <v>145.00844189630016</v>
      </c>
      <c r="L160" s="19">
        <v>280.41132437021434</v>
      </c>
      <c r="M160" s="19">
        <v>421.09384541472878</v>
      </c>
      <c r="N160" s="19">
        <v>540.15565566420503</v>
      </c>
      <c r="O160" s="19">
        <v>631.98433766714982</v>
      </c>
      <c r="P160" s="19">
        <v>785.64545678625666</v>
      </c>
      <c r="Q160" s="19">
        <v>792.94202848866644</v>
      </c>
      <c r="R160" s="19">
        <v>742.9103099081459</v>
      </c>
      <c r="S160" s="19">
        <v>635.80600639988438</v>
      </c>
      <c r="T160" s="19">
        <v>475.66372565231688</v>
      </c>
      <c r="U160" s="19">
        <v>270.40164881106523</v>
      </c>
      <c r="V160" s="19">
        <v>52.334518889800798</v>
      </c>
      <c r="W160" s="19">
        <v>0</v>
      </c>
      <c r="X160" s="19">
        <v>0</v>
      </c>
      <c r="Y160" s="19">
        <v>0</v>
      </c>
      <c r="Z160" s="19">
        <v>0</v>
      </c>
      <c r="AA160" s="19">
        <v>0</v>
      </c>
      <c r="AC160" s="76">
        <f t="shared" si="4"/>
        <v>5.8105564595443369</v>
      </c>
      <c r="AD160" s="77"/>
      <c r="AE160" s="72"/>
    </row>
    <row r="161" spans="2:31" x14ac:dyDescent="0.25">
      <c r="B161" s="108">
        <v>42526</v>
      </c>
      <c r="C161" s="72">
        <f t="shared" si="5"/>
        <v>157</v>
      </c>
      <c r="D161" s="19">
        <v>0</v>
      </c>
      <c r="E161" s="19">
        <v>0</v>
      </c>
      <c r="F161" s="19">
        <v>0</v>
      </c>
      <c r="G161" s="19">
        <v>0</v>
      </c>
      <c r="H161" s="19">
        <v>0</v>
      </c>
      <c r="I161" s="19">
        <v>0</v>
      </c>
      <c r="J161" s="19">
        <v>36.796243926734114</v>
      </c>
      <c r="K161" s="19">
        <v>145.99928220234841</v>
      </c>
      <c r="L161" s="19">
        <v>280.95850060955974</v>
      </c>
      <c r="M161" s="19">
        <v>418.57544896972439</v>
      </c>
      <c r="N161" s="19">
        <v>539.95680816083689</v>
      </c>
      <c r="O161" s="19">
        <v>632.09883629918306</v>
      </c>
      <c r="P161" s="19">
        <v>783.31759499441182</v>
      </c>
      <c r="Q161" s="19">
        <v>790.61065328801953</v>
      </c>
      <c r="R161" s="19">
        <v>740.83807345419041</v>
      </c>
      <c r="S161" s="19">
        <v>634.2687239794343</v>
      </c>
      <c r="T161" s="19">
        <v>474.94525911467719</v>
      </c>
      <c r="U161" s="19">
        <v>270.77807359295372</v>
      </c>
      <c r="V161" s="19">
        <v>53.339671896106893</v>
      </c>
      <c r="W161" s="19">
        <v>0</v>
      </c>
      <c r="X161" s="19">
        <v>0</v>
      </c>
      <c r="Y161" s="19">
        <v>0</v>
      </c>
      <c r="Z161" s="19">
        <v>0</v>
      </c>
      <c r="AA161" s="19">
        <v>0</v>
      </c>
      <c r="AC161" s="76">
        <f t="shared" si="4"/>
        <v>5.8024831704881796</v>
      </c>
      <c r="AD161" s="77"/>
      <c r="AE161" s="72"/>
    </row>
    <row r="162" spans="2:31" x14ac:dyDescent="0.25">
      <c r="B162" s="108">
        <v>42527</v>
      </c>
      <c r="C162" s="72">
        <f t="shared" si="5"/>
        <v>158</v>
      </c>
      <c r="D162" s="19">
        <v>0</v>
      </c>
      <c r="E162" s="19">
        <v>0</v>
      </c>
      <c r="F162" s="19">
        <v>0</v>
      </c>
      <c r="G162" s="19">
        <v>0</v>
      </c>
      <c r="H162" s="19">
        <v>0</v>
      </c>
      <c r="I162" s="19">
        <v>0</v>
      </c>
      <c r="J162" s="19">
        <v>37.170107593751332</v>
      </c>
      <c r="K162" s="19">
        <v>145.23369151983911</v>
      </c>
      <c r="L162" s="19">
        <v>279.03574096665199</v>
      </c>
      <c r="M162" s="19">
        <v>415.80656365811552</v>
      </c>
      <c r="N162" s="19">
        <v>537.85740370787335</v>
      </c>
      <c r="O162" s="19">
        <v>627.80137380995893</v>
      </c>
      <c r="P162" s="19">
        <v>781.07913647487101</v>
      </c>
      <c r="Q162" s="19">
        <v>788.36751576889571</v>
      </c>
      <c r="R162" s="19">
        <v>738.84127072400531</v>
      </c>
      <c r="S162" s="19">
        <v>632.78126758770975</v>
      </c>
      <c r="T162" s="19">
        <v>474.2366312400776</v>
      </c>
      <c r="U162" s="19">
        <v>271.10860554619103</v>
      </c>
      <c r="V162" s="19">
        <v>54.288356539067962</v>
      </c>
      <c r="W162" s="19">
        <v>0</v>
      </c>
      <c r="X162" s="19">
        <v>0</v>
      </c>
      <c r="Y162" s="19">
        <v>0</v>
      </c>
      <c r="Z162" s="19">
        <v>0</v>
      </c>
      <c r="AA162" s="19">
        <v>0</v>
      </c>
      <c r="AC162" s="76">
        <f t="shared" si="4"/>
        <v>5.7836076651370076</v>
      </c>
      <c r="AD162" s="77"/>
      <c r="AE162" s="72"/>
    </row>
    <row r="163" spans="2:31" x14ac:dyDescent="0.25">
      <c r="B163" s="108">
        <v>42528</v>
      </c>
      <c r="C163" s="72">
        <f t="shared" si="5"/>
        <v>159</v>
      </c>
      <c r="D163" s="19">
        <v>0</v>
      </c>
      <c r="E163" s="19">
        <v>0</v>
      </c>
      <c r="F163" s="19">
        <v>0</v>
      </c>
      <c r="G163" s="19">
        <v>0</v>
      </c>
      <c r="H163" s="19">
        <v>0</v>
      </c>
      <c r="I163" s="19">
        <v>0</v>
      </c>
      <c r="J163" s="19">
        <v>37.405670285444856</v>
      </c>
      <c r="K163" s="19">
        <v>145.13689582160441</v>
      </c>
      <c r="L163" s="19">
        <v>278.67454298685374</v>
      </c>
      <c r="M163" s="19">
        <v>417.09543591189441</v>
      </c>
      <c r="N163" s="19">
        <v>541.63075594236989</v>
      </c>
      <c r="O163" s="19">
        <v>631.39280222358491</v>
      </c>
      <c r="P163" s="19">
        <v>778.9310573366995</v>
      </c>
      <c r="Q163" s="19">
        <v>786.21366696190432</v>
      </c>
      <c r="R163" s="19">
        <v>736.92100196965021</v>
      </c>
      <c r="S163" s="19">
        <v>631.3447949990549</v>
      </c>
      <c r="T163" s="19">
        <v>473.5391395468103</v>
      </c>
      <c r="U163" s="19">
        <v>271.39480535034255</v>
      </c>
      <c r="V163" s="19">
        <v>55.178405860237206</v>
      </c>
      <c r="W163" s="19">
        <v>0</v>
      </c>
      <c r="X163" s="19">
        <v>0</v>
      </c>
      <c r="Y163" s="19">
        <v>0</v>
      </c>
      <c r="Z163" s="19">
        <v>0</v>
      </c>
      <c r="AA163" s="19">
        <v>0</v>
      </c>
      <c r="AC163" s="76">
        <f t="shared" si="4"/>
        <v>5.7848589751964514</v>
      </c>
      <c r="AD163" s="77"/>
      <c r="AE163" s="72"/>
    </row>
    <row r="164" spans="2:31" x14ac:dyDescent="0.25">
      <c r="B164" s="108">
        <v>42529</v>
      </c>
      <c r="C164" s="72">
        <f t="shared" si="5"/>
        <v>160</v>
      </c>
      <c r="D164" s="19">
        <v>0</v>
      </c>
      <c r="E164" s="19">
        <v>0</v>
      </c>
      <c r="F164" s="19">
        <v>0</v>
      </c>
      <c r="G164" s="19">
        <v>0</v>
      </c>
      <c r="H164" s="19">
        <v>0</v>
      </c>
      <c r="I164" s="19">
        <v>0</v>
      </c>
      <c r="J164" s="19">
        <v>37.497412099316222</v>
      </c>
      <c r="K164" s="19">
        <v>144.63845842048104</v>
      </c>
      <c r="L164" s="19">
        <v>279.26458964387461</v>
      </c>
      <c r="M164" s="19">
        <v>414.71454363180908</v>
      </c>
      <c r="N164" s="19">
        <v>535.7958918428493</v>
      </c>
      <c r="O164" s="19">
        <v>626.60738627663841</v>
      </c>
      <c r="P164" s="19">
        <v>776.87427403882168</v>
      </c>
      <c r="Q164" s="19">
        <v>784.15009390183911</v>
      </c>
      <c r="R164" s="19">
        <v>735.07830095998861</v>
      </c>
      <c r="S164" s="19">
        <v>629.96039469283835</v>
      </c>
      <c r="T164" s="19">
        <v>472.85400416706159</v>
      </c>
      <c r="U164" s="19">
        <v>271.6381428785869</v>
      </c>
      <c r="V164" s="19">
        <v>56.007958392283115</v>
      </c>
      <c r="W164" s="19">
        <v>0</v>
      </c>
      <c r="X164" s="19">
        <v>0</v>
      </c>
      <c r="Y164" s="19">
        <v>0</v>
      </c>
      <c r="Z164" s="19">
        <v>0</v>
      </c>
      <c r="AA164" s="19">
        <v>0</v>
      </c>
      <c r="AC164" s="76">
        <f t="shared" si="4"/>
        <v>5.7650814509463881</v>
      </c>
      <c r="AD164" s="77"/>
      <c r="AE164" s="72"/>
    </row>
    <row r="165" spans="2:31" x14ac:dyDescent="0.25">
      <c r="B165" s="108">
        <v>42530</v>
      </c>
      <c r="C165" s="72">
        <f t="shared" si="5"/>
        <v>161</v>
      </c>
      <c r="D165" s="19">
        <v>0</v>
      </c>
      <c r="E165" s="19">
        <v>0</v>
      </c>
      <c r="F165" s="19">
        <v>0</v>
      </c>
      <c r="G165" s="19">
        <v>0</v>
      </c>
      <c r="H165" s="19">
        <v>0</v>
      </c>
      <c r="I165" s="19">
        <v>0</v>
      </c>
      <c r="J165" s="19">
        <v>37.966435407173314</v>
      </c>
      <c r="K165" s="19">
        <v>145.22816330335561</v>
      </c>
      <c r="L165" s="19">
        <v>277.24184745977539</v>
      </c>
      <c r="M165" s="19">
        <v>413.47273760729456</v>
      </c>
      <c r="N165" s="19">
        <v>534.81314189693762</v>
      </c>
      <c r="O165" s="19">
        <v>626.64065784073136</v>
      </c>
      <c r="P165" s="19">
        <v>774.90964421990657</v>
      </c>
      <c r="Q165" s="19">
        <v>782.17772047949995</v>
      </c>
      <c r="R165" s="19">
        <v>733.31413578102115</v>
      </c>
      <c r="S165" s="19">
        <v>628.62908655827584</v>
      </c>
      <c r="T165" s="19">
        <v>472.18236848648485</v>
      </c>
      <c r="U165" s="19">
        <v>271.83999713349493</v>
      </c>
      <c r="V165" s="19">
        <v>56.775422693523609</v>
      </c>
      <c r="W165" s="19">
        <v>0</v>
      </c>
      <c r="X165" s="19">
        <v>0</v>
      </c>
      <c r="Y165" s="19">
        <v>0</v>
      </c>
      <c r="Z165" s="19">
        <v>0</v>
      </c>
      <c r="AA165" s="19">
        <v>0</v>
      </c>
      <c r="AC165" s="76">
        <f t="shared" si="4"/>
        <v>5.7551913588674752</v>
      </c>
      <c r="AD165" s="77"/>
      <c r="AE165" s="72"/>
    </row>
    <row r="166" spans="2:31" x14ac:dyDescent="0.25">
      <c r="B166" s="108">
        <v>42531</v>
      </c>
      <c r="C166" s="72">
        <f t="shared" si="5"/>
        <v>162</v>
      </c>
      <c r="D166" s="19">
        <v>0</v>
      </c>
      <c r="E166" s="19">
        <v>0</v>
      </c>
      <c r="F166" s="19">
        <v>0</v>
      </c>
      <c r="G166" s="19">
        <v>0</v>
      </c>
      <c r="H166" s="19">
        <v>0</v>
      </c>
      <c r="I166" s="19">
        <v>0</v>
      </c>
      <c r="J166" s="19">
        <v>38.419035832773183</v>
      </c>
      <c r="K166" s="19">
        <v>146.03262226383478</v>
      </c>
      <c r="L166" s="19">
        <v>278.61920839612463</v>
      </c>
      <c r="M166" s="19">
        <v>413.84417355599913</v>
      </c>
      <c r="N166" s="19">
        <v>534.65529099932917</v>
      </c>
      <c r="O166" s="19">
        <v>623.66225390809711</v>
      </c>
      <c r="P166" s="19">
        <v>773.03796751425375</v>
      </c>
      <c r="Q166" s="19">
        <v>780.29740827954936</v>
      </c>
      <c r="R166" s="19">
        <v>731.62940962388848</v>
      </c>
      <c r="S166" s="19">
        <v>627.35182258861096</v>
      </c>
      <c r="T166" s="19">
        <v>471.52529977191637</v>
      </c>
      <c r="U166" s="19">
        <v>272.00165625150299</v>
      </c>
      <c r="V166" s="19">
        <v>57.479445863228449</v>
      </c>
      <c r="W166" s="19">
        <v>0</v>
      </c>
      <c r="X166" s="19">
        <v>0</v>
      </c>
      <c r="Y166" s="19">
        <v>0</v>
      </c>
      <c r="Z166" s="19">
        <v>0</v>
      </c>
      <c r="AA166" s="19">
        <v>0</v>
      </c>
      <c r="AC166" s="76">
        <f t="shared" si="4"/>
        <v>5.7485555948491083</v>
      </c>
      <c r="AD166" s="77"/>
      <c r="AE166" s="72"/>
    </row>
    <row r="167" spans="2:31" x14ac:dyDescent="0.25">
      <c r="B167" s="108">
        <v>42532</v>
      </c>
      <c r="C167" s="72">
        <f t="shared" si="5"/>
        <v>163</v>
      </c>
      <c r="D167" s="19">
        <v>0</v>
      </c>
      <c r="E167" s="19">
        <v>0</v>
      </c>
      <c r="F167" s="19">
        <v>0</v>
      </c>
      <c r="G167" s="19">
        <v>0</v>
      </c>
      <c r="H167" s="19">
        <v>0</v>
      </c>
      <c r="I167" s="19">
        <v>0</v>
      </c>
      <c r="J167" s="19">
        <v>38.86977297585738</v>
      </c>
      <c r="K167" s="19">
        <v>146.30014747317057</v>
      </c>
      <c r="L167" s="19">
        <v>278.10752499548823</v>
      </c>
      <c r="M167" s="19">
        <v>414.25748598340874</v>
      </c>
      <c r="N167" s="19">
        <v>532.48523381155883</v>
      </c>
      <c r="O167" s="19">
        <v>623.35529764912337</v>
      </c>
      <c r="P167" s="19">
        <v>771.25998634924701</v>
      </c>
      <c r="Q167" s="19">
        <v>778.50995739976349</v>
      </c>
      <c r="R167" s="19">
        <v>730.02496155598783</v>
      </c>
      <c r="S167" s="19">
        <v>626.12948756042044</v>
      </c>
      <c r="T167" s="19">
        <v>470.88378978322635</v>
      </c>
      <c r="U167" s="19">
        <v>272.12431756297536</v>
      </c>
      <c r="V167" s="19">
        <v>58.118885641395664</v>
      </c>
      <c r="W167" s="19">
        <v>0</v>
      </c>
      <c r="X167" s="19">
        <v>0</v>
      </c>
      <c r="Y167" s="19">
        <v>0</v>
      </c>
      <c r="Z167" s="19">
        <v>0</v>
      </c>
      <c r="AA167" s="19">
        <v>0</v>
      </c>
      <c r="AC167" s="76">
        <f t="shared" si="4"/>
        <v>5.740426848741623</v>
      </c>
      <c r="AD167" s="77"/>
      <c r="AE167" s="72"/>
    </row>
    <row r="168" spans="2:31" x14ac:dyDescent="0.25">
      <c r="B168" s="108">
        <v>42533</v>
      </c>
      <c r="C168" s="72">
        <f t="shared" si="5"/>
        <v>164</v>
      </c>
      <c r="D168" s="19">
        <v>0</v>
      </c>
      <c r="E168" s="19">
        <v>0</v>
      </c>
      <c r="F168" s="19">
        <v>0</v>
      </c>
      <c r="G168" s="19">
        <v>0</v>
      </c>
      <c r="H168" s="19">
        <v>0</v>
      </c>
      <c r="I168" s="19">
        <v>0</v>
      </c>
      <c r="J168" s="19">
        <v>39.502563329318932</v>
      </c>
      <c r="K168" s="19">
        <v>147.62494169411465</v>
      </c>
      <c r="L168" s="19">
        <v>277.04926540420047</v>
      </c>
      <c r="M168" s="19">
        <v>410.15007775984463</v>
      </c>
      <c r="N168" s="19">
        <v>529.24254856935795</v>
      </c>
      <c r="O168" s="19">
        <v>620.14385076872577</v>
      </c>
      <c r="P168" s="19">
        <v>769.57638672014241</v>
      </c>
      <c r="Q168" s="19">
        <v>776.81610724723691</v>
      </c>
      <c r="R168" s="19">
        <v>728.50156727085971</v>
      </c>
      <c r="S168" s="19">
        <v>624.9628996940454</v>
      </c>
      <c r="T168" s="19">
        <v>470.25875536552911</v>
      </c>
      <c r="U168" s="19">
        <v>272.20908769609139</v>
      </c>
      <c r="V168" s="19">
        <v>58.692785759033526</v>
      </c>
      <c r="W168" s="19">
        <v>0</v>
      </c>
      <c r="X168" s="19">
        <v>0</v>
      </c>
      <c r="Y168" s="19">
        <v>0</v>
      </c>
      <c r="Z168" s="19">
        <v>0</v>
      </c>
      <c r="AA168" s="19">
        <v>0</v>
      </c>
      <c r="AC168" s="76">
        <f t="shared" si="4"/>
        <v>5.7247308372785009</v>
      </c>
      <c r="AD168" s="77"/>
      <c r="AE168" s="72"/>
    </row>
    <row r="169" spans="2:31" x14ac:dyDescent="0.25">
      <c r="B169" s="108">
        <v>42534</v>
      </c>
      <c r="C169" s="72">
        <f t="shared" si="5"/>
        <v>165</v>
      </c>
      <c r="D169" s="19">
        <v>0</v>
      </c>
      <c r="E169" s="19">
        <v>0</v>
      </c>
      <c r="F169" s="19">
        <v>0</v>
      </c>
      <c r="G169" s="19">
        <v>0</v>
      </c>
      <c r="H169" s="19">
        <v>0</v>
      </c>
      <c r="I169" s="19">
        <v>0</v>
      </c>
      <c r="J169" s="19">
        <v>39.390630225309238</v>
      </c>
      <c r="K169" s="19">
        <v>146.64728617340037</v>
      </c>
      <c r="L169" s="19">
        <v>279.57650355929042</v>
      </c>
      <c r="M169" s="19">
        <v>414.7084863145916</v>
      </c>
      <c r="N169" s="19">
        <v>535.21898487135877</v>
      </c>
      <c r="O169" s="19">
        <v>628.84641699405529</v>
      </c>
      <c r="P169" s="19">
        <v>767.98779893819619</v>
      </c>
      <c r="Q169" s="19">
        <v>775.2165373073633</v>
      </c>
      <c r="R169" s="19">
        <v>727.05993981274275</v>
      </c>
      <c r="S169" s="19">
        <v>623.85281129134216</v>
      </c>
      <c r="T169" s="19">
        <v>469.651039018196</v>
      </c>
      <c r="U169" s="19">
        <v>272.25698271399375</v>
      </c>
      <c r="V169" s="19">
        <v>59.200354255091796</v>
      </c>
      <c r="W169" s="19">
        <v>0</v>
      </c>
      <c r="X169" s="19">
        <v>0</v>
      </c>
      <c r="Y169" s="19">
        <v>0</v>
      </c>
      <c r="Z169" s="19">
        <v>0</v>
      </c>
      <c r="AA169" s="19">
        <v>0</v>
      </c>
      <c r="AC169" s="76">
        <f t="shared" si="4"/>
        <v>5.7396137714749313</v>
      </c>
      <c r="AD169" s="77"/>
      <c r="AE169" s="72"/>
    </row>
    <row r="170" spans="2:31" x14ac:dyDescent="0.25">
      <c r="B170" s="108">
        <v>42535</v>
      </c>
      <c r="C170" s="72">
        <f t="shared" si="5"/>
        <v>166</v>
      </c>
      <c r="D170" s="19">
        <v>0</v>
      </c>
      <c r="E170" s="19">
        <v>0</v>
      </c>
      <c r="F170" s="19">
        <v>0</v>
      </c>
      <c r="G170" s="19">
        <v>0</v>
      </c>
      <c r="H170" s="19">
        <v>0</v>
      </c>
      <c r="I170" s="19">
        <v>0</v>
      </c>
      <c r="J170" s="19">
        <v>40.189827699996776</v>
      </c>
      <c r="K170" s="19">
        <v>148.2005710591414</v>
      </c>
      <c r="L170" s="19">
        <v>281.20637230555354</v>
      </c>
      <c r="M170" s="19">
        <v>412.7529745991913</v>
      </c>
      <c r="N170" s="19">
        <v>530.42531716019937</v>
      </c>
      <c r="O170" s="19">
        <v>621.09453674081158</v>
      </c>
      <c r="P170" s="19">
        <v>766.49479834835836</v>
      </c>
      <c r="Q170" s="19">
        <v>773.7118678816305</v>
      </c>
      <c r="R170" s="19">
        <v>725.7007302719295</v>
      </c>
      <c r="S170" s="19">
        <v>622.79990934718455</v>
      </c>
      <c r="T170" s="19">
        <v>469.06140943734653</v>
      </c>
      <c r="U170" s="19">
        <v>272.26892827577194</v>
      </c>
      <c r="V170" s="19">
        <v>59.640944517537548</v>
      </c>
      <c r="W170" s="19">
        <v>0</v>
      </c>
      <c r="X170" s="19">
        <v>0</v>
      </c>
      <c r="Y170" s="19">
        <v>0</v>
      </c>
      <c r="Z170" s="19">
        <v>0</v>
      </c>
      <c r="AA170" s="19">
        <v>0</v>
      </c>
      <c r="AC170" s="76">
        <f t="shared" si="4"/>
        <v>5.7235481876446537</v>
      </c>
      <c r="AD170" s="77"/>
      <c r="AE170" s="72"/>
    </row>
    <row r="171" spans="2:31" x14ac:dyDescent="0.25">
      <c r="B171" s="108">
        <v>42536</v>
      </c>
      <c r="C171" s="72">
        <f t="shared" si="5"/>
        <v>167</v>
      </c>
      <c r="D171" s="19">
        <v>0</v>
      </c>
      <c r="E171" s="19">
        <v>0</v>
      </c>
      <c r="F171" s="19">
        <v>0</v>
      </c>
      <c r="G171" s="19">
        <v>0</v>
      </c>
      <c r="H171" s="19">
        <v>0</v>
      </c>
      <c r="I171" s="19">
        <v>0</v>
      </c>
      <c r="J171" s="19">
        <v>39.710971249472728</v>
      </c>
      <c r="K171" s="19">
        <v>145.19712463935912</v>
      </c>
      <c r="L171" s="19">
        <v>275.62751658844024</v>
      </c>
      <c r="M171" s="19">
        <v>409.35225793348781</v>
      </c>
      <c r="N171" s="19">
        <v>527.11831766355476</v>
      </c>
      <c r="O171" s="19">
        <v>615.5528241929843</v>
      </c>
      <c r="P171" s="19">
        <v>765.09790601300801</v>
      </c>
      <c r="Q171" s="19">
        <v>772.302660790544</v>
      </c>
      <c r="R171" s="19">
        <v>724.42452844730155</v>
      </c>
      <c r="S171" s="19">
        <v>621.80481613138102</v>
      </c>
      <c r="T171" s="19">
        <v>468.49056202872896</v>
      </c>
      <c r="U171" s="19">
        <v>272.24575981289735</v>
      </c>
      <c r="V171" s="19">
        <v>60.014038841040005</v>
      </c>
      <c r="W171" s="19">
        <v>0</v>
      </c>
      <c r="X171" s="19">
        <v>0</v>
      </c>
      <c r="Y171" s="19">
        <v>0</v>
      </c>
      <c r="Z171" s="19">
        <v>0</v>
      </c>
      <c r="AA171" s="19">
        <v>0</v>
      </c>
      <c r="AC171" s="76">
        <f t="shared" si="4"/>
        <v>5.6969392843322</v>
      </c>
      <c r="AD171" s="77"/>
      <c r="AE171" s="72"/>
    </row>
    <row r="172" spans="2:31" x14ac:dyDescent="0.25">
      <c r="B172" s="108">
        <v>42537</v>
      </c>
      <c r="C172" s="72">
        <f t="shared" si="5"/>
        <v>168</v>
      </c>
      <c r="D172" s="19">
        <v>0</v>
      </c>
      <c r="E172" s="19">
        <v>0</v>
      </c>
      <c r="F172" s="19">
        <v>0</v>
      </c>
      <c r="G172" s="19">
        <v>0</v>
      </c>
      <c r="H172" s="19">
        <v>0</v>
      </c>
      <c r="I172" s="19">
        <v>0</v>
      </c>
      <c r="J172" s="19">
        <v>40.685064190994972</v>
      </c>
      <c r="K172" s="19">
        <v>149.1458128442647</v>
      </c>
      <c r="L172" s="19">
        <v>280.5057819886153</v>
      </c>
      <c r="M172" s="19">
        <v>412.29506941616074</v>
      </c>
      <c r="N172" s="19">
        <v>531.92536461997827</v>
      </c>
      <c r="O172" s="19">
        <v>623.35084477355861</v>
      </c>
      <c r="P172" s="19">
        <v>763.79758935845155</v>
      </c>
      <c r="Q172" s="19">
        <v>770.98942003824766</v>
      </c>
      <c r="R172" s="19">
        <v>723.23186347269314</v>
      </c>
      <c r="S172" s="19">
        <v>620.86808973790653</v>
      </c>
      <c r="T172" s="19">
        <v>467.93911938813352</v>
      </c>
      <c r="U172" s="19">
        <v>272.18822271370055</v>
      </c>
      <c r="V172" s="19">
        <v>60.319234324039797</v>
      </c>
      <c r="W172" s="19">
        <v>0</v>
      </c>
      <c r="X172" s="19">
        <v>0</v>
      </c>
      <c r="Y172" s="19">
        <v>0</v>
      </c>
      <c r="Z172" s="19">
        <v>0</v>
      </c>
      <c r="AA172" s="19">
        <v>0</v>
      </c>
      <c r="AC172" s="76">
        <f t="shared" si="4"/>
        <v>5.7172414768667448</v>
      </c>
      <c r="AD172" s="77"/>
      <c r="AE172" s="72"/>
    </row>
    <row r="173" spans="2:31" x14ac:dyDescent="0.25">
      <c r="B173" s="108">
        <v>42538</v>
      </c>
      <c r="C173" s="72">
        <f t="shared" si="5"/>
        <v>169</v>
      </c>
      <c r="D173" s="19">
        <v>0</v>
      </c>
      <c r="E173" s="19">
        <v>0</v>
      </c>
      <c r="F173" s="19">
        <v>0</v>
      </c>
      <c r="G173" s="19">
        <v>0</v>
      </c>
      <c r="H173" s="19">
        <v>0</v>
      </c>
      <c r="I173" s="19">
        <v>0</v>
      </c>
      <c r="J173" s="19">
        <v>40.78350262366336</v>
      </c>
      <c r="K173" s="19">
        <v>148.77196694771285</v>
      </c>
      <c r="L173" s="19">
        <v>279.34120372891022</v>
      </c>
      <c r="M173" s="19">
        <v>411.72118912329063</v>
      </c>
      <c r="N173" s="19">
        <v>532.13705451523094</v>
      </c>
      <c r="O173" s="19">
        <v>619.61482404247897</v>
      </c>
      <c r="P173" s="19">
        <v>762.59426278116371</v>
      </c>
      <c r="Q173" s="19">
        <v>769.77259243567096</v>
      </c>
      <c r="R173" s="19">
        <v>722.12320440398162</v>
      </c>
      <c r="S173" s="19">
        <v>619.99022459859793</v>
      </c>
      <c r="T173" s="19">
        <v>467.4076317467202</v>
      </c>
      <c r="U173" s="19">
        <v>272.0969725094053</v>
      </c>
      <c r="V173" s="19">
        <v>60.556230954855295</v>
      </c>
      <c r="W173" s="19">
        <v>0</v>
      </c>
      <c r="X173" s="19">
        <v>0</v>
      </c>
      <c r="Y173" s="19">
        <v>0</v>
      </c>
      <c r="Z173" s="19">
        <v>0</v>
      </c>
      <c r="AA173" s="19">
        <v>0</v>
      </c>
      <c r="AC173" s="76">
        <f t="shared" si="4"/>
        <v>5.7069108604116829</v>
      </c>
      <c r="AD173" s="77"/>
      <c r="AE173" s="72"/>
    </row>
    <row r="174" spans="2:31" x14ac:dyDescent="0.25">
      <c r="B174" s="108">
        <v>42539</v>
      </c>
      <c r="C174" s="72">
        <f t="shared" si="5"/>
        <v>170</v>
      </c>
      <c r="D174" s="19">
        <v>0</v>
      </c>
      <c r="E174" s="19">
        <v>0</v>
      </c>
      <c r="F174" s="19">
        <v>0</v>
      </c>
      <c r="G174" s="19">
        <v>0</v>
      </c>
      <c r="H174" s="19">
        <v>0</v>
      </c>
      <c r="I174" s="19">
        <v>0</v>
      </c>
      <c r="J174" s="19">
        <v>41.014257739106242</v>
      </c>
      <c r="K174" s="19">
        <v>148.66606299770953</v>
      </c>
      <c r="L174" s="19">
        <v>281.35549212110129</v>
      </c>
      <c r="M174" s="19">
        <v>414.79045564655286</v>
      </c>
      <c r="N174" s="19">
        <v>529.44814455948472</v>
      </c>
      <c r="O174" s="19">
        <v>620.250306118705</v>
      </c>
      <c r="P174" s="19">
        <v>761.48828821101404</v>
      </c>
      <c r="Q174" s="19">
        <v>768.65256817932823</v>
      </c>
      <c r="R174" s="19">
        <v>721.09896076408495</v>
      </c>
      <c r="S174" s="19">
        <v>619.17165195871178</v>
      </c>
      <c r="T174" s="19">
        <v>466.89657737888916</v>
      </c>
      <c r="U174" s="19">
        <v>271.97257505609559</v>
      </c>
      <c r="V174" s="19">
        <v>60.724821760760747</v>
      </c>
      <c r="W174" s="19">
        <v>0</v>
      </c>
      <c r="X174" s="19">
        <v>0</v>
      </c>
      <c r="Y174" s="19">
        <v>0</v>
      </c>
      <c r="Z174" s="19">
        <v>0</v>
      </c>
      <c r="AA174" s="19">
        <v>0</v>
      </c>
      <c r="AC174" s="76">
        <f t="shared" si="4"/>
        <v>5.7055301624915442</v>
      </c>
      <c r="AD174" s="77"/>
      <c r="AE174" s="72"/>
    </row>
    <row r="175" spans="2:31" x14ac:dyDescent="0.25">
      <c r="B175" s="108">
        <v>42540</v>
      </c>
      <c r="C175" s="72">
        <f t="shared" si="5"/>
        <v>171</v>
      </c>
      <c r="D175" s="19">
        <v>0</v>
      </c>
      <c r="E175" s="19">
        <v>0</v>
      </c>
      <c r="F175" s="19">
        <v>0</v>
      </c>
      <c r="G175" s="19">
        <v>0</v>
      </c>
      <c r="H175" s="19">
        <v>0</v>
      </c>
      <c r="I175" s="19">
        <v>0</v>
      </c>
      <c r="J175" s="19">
        <v>41.309986773720524</v>
      </c>
      <c r="K175" s="19">
        <v>148.96408565403283</v>
      </c>
      <c r="L175" s="19">
        <v>281.25427745255649</v>
      </c>
      <c r="M175" s="19">
        <v>416.96800019103466</v>
      </c>
      <c r="N175" s="19">
        <v>529.65528559908944</v>
      </c>
      <c r="O175" s="19">
        <v>618.26483377077068</v>
      </c>
      <c r="P175" s="19">
        <v>760.47997562899513</v>
      </c>
      <c r="Q175" s="19">
        <v>767.62968138315773</v>
      </c>
      <c r="R175" s="19">
        <v>720.15948304332062</v>
      </c>
      <c r="S175" s="19">
        <v>618.41274031200169</v>
      </c>
      <c r="T175" s="19">
        <v>466.40636297055664</v>
      </c>
      <c r="U175" s="19">
        <v>271.81550670781172</v>
      </c>
      <c r="V175" s="19">
        <v>60.824884916379681</v>
      </c>
      <c r="W175" s="19">
        <v>0</v>
      </c>
      <c r="X175" s="19">
        <v>0</v>
      </c>
      <c r="Y175" s="19">
        <v>0</v>
      </c>
      <c r="Z175" s="19">
        <v>0</v>
      </c>
      <c r="AA175" s="19">
        <v>0</v>
      </c>
      <c r="AC175" s="76">
        <f t="shared" si="4"/>
        <v>5.702145104403427</v>
      </c>
      <c r="AD175" s="77"/>
      <c r="AE175" s="72"/>
    </row>
    <row r="176" spans="2:31" x14ac:dyDescent="0.25">
      <c r="B176" s="108">
        <v>42541</v>
      </c>
      <c r="C176" s="72">
        <f t="shared" si="5"/>
        <v>172</v>
      </c>
      <c r="D176" s="19">
        <v>0</v>
      </c>
      <c r="E176" s="19">
        <v>0</v>
      </c>
      <c r="F176" s="19">
        <v>0</v>
      </c>
      <c r="G176" s="19">
        <v>0</v>
      </c>
      <c r="H176" s="19">
        <v>0</v>
      </c>
      <c r="I176" s="19">
        <v>0</v>
      </c>
      <c r="J176" s="19">
        <v>41.238489169493619</v>
      </c>
      <c r="K176" s="19">
        <v>148.05080155283247</v>
      </c>
      <c r="L176" s="19">
        <v>278.1255895784447</v>
      </c>
      <c r="M176" s="19">
        <v>411.86471379586646</v>
      </c>
      <c r="N176" s="19">
        <v>529.55397829323033</v>
      </c>
      <c r="O176" s="19">
        <v>615.05500852357579</v>
      </c>
      <c r="P176" s="19">
        <v>759.56958353723417</v>
      </c>
      <c r="Q176" s="19">
        <v>766.70421056109444</v>
      </c>
      <c r="R176" s="19">
        <v>719.30506315286561</v>
      </c>
      <c r="S176" s="19">
        <v>617.71379579323388</v>
      </c>
      <c r="T176" s="19">
        <v>465.93732394596032</v>
      </c>
      <c r="U176" s="19">
        <v>271.62615447677217</v>
      </c>
      <c r="V176" s="19">
        <v>60.85637772868607</v>
      </c>
      <c r="W176" s="19">
        <v>0</v>
      </c>
      <c r="X176" s="19">
        <v>0</v>
      </c>
      <c r="Y176" s="19">
        <v>0</v>
      </c>
      <c r="Z176" s="19">
        <v>0</v>
      </c>
      <c r="AA176" s="19">
        <v>0</v>
      </c>
      <c r="AC176" s="76">
        <f t="shared" si="4"/>
        <v>5.6856010901092908</v>
      </c>
      <c r="AD176" s="77"/>
      <c r="AE176" s="72"/>
    </row>
    <row r="177" spans="2:31" x14ac:dyDescent="0.25">
      <c r="B177" s="108">
        <v>42542</v>
      </c>
      <c r="C177" s="72">
        <f t="shared" si="5"/>
        <v>173</v>
      </c>
      <c r="D177" s="19">
        <v>0</v>
      </c>
      <c r="E177" s="19">
        <v>0</v>
      </c>
      <c r="F177" s="19">
        <v>0</v>
      </c>
      <c r="G177" s="19">
        <v>0</v>
      </c>
      <c r="H177" s="19">
        <v>0</v>
      </c>
      <c r="I177" s="19">
        <v>0</v>
      </c>
      <c r="J177" s="19">
        <v>40.836775489438317</v>
      </c>
      <c r="K177" s="19">
        <v>146.21147795228944</v>
      </c>
      <c r="L177" s="19">
        <v>275.32102668617011</v>
      </c>
      <c r="M177" s="19">
        <v>407.96856768238359</v>
      </c>
      <c r="N177" s="19">
        <v>524.85228599564186</v>
      </c>
      <c r="O177" s="19">
        <v>613.54390463903155</v>
      </c>
      <c r="P177" s="19">
        <v>758.75731937936575</v>
      </c>
      <c r="Q177" s="19">
        <v>765.87637905834777</v>
      </c>
      <c r="R177" s="19">
        <v>718.53593482934002</v>
      </c>
      <c r="S177" s="19">
        <v>617.07506252632754</v>
      </c>
      <c r="T177" s="19">
        <v>465.4897247513457</v>
      </c>
      <c r="U177" s="19">
        <v>271.40481617745496</v>
      </c>
      <c r="V177" s="19">
        <v>60.819332435826873</v>
      </c>
      <c r="W177" s="19">
        <v>0</v>
      </c>
      <c r="X177" s="19">
        <v>0</v>
      </c>
      <c r="Y177" s="19">
        <v>0</v>
      </c>
      <c r="Z177" s="19">
        <v>0</v>
      </c>
      <c r="AA177" s="19">
        <v>0</v>
      </c>
      <c r="AC177" s="76">
        <f t="shared" si="4"/>
        <v>5.6666926076029638</v>
      </c>
      <c r="AD177" s="77"/>
      <c r="AE177" s="72"/>
    </row>
    <row r="178" spans="2:31" x14ac:dyDescent="0.25">
      <c r="B178" s="108">
        <v>42543</v>
      </c>
      <c r="C178" s="72">
        <f t="shared" si="5"/>
        <v>174</v>
      </c>
      <c r="D178" s="19">
        <v>0</v>
      </c>
      <c r="E178" s="19">
        <v>0</v>
      </c>
      <c r="F178" s="19">
        <v>0</v>
      </c>
      <c r="G178" s="19">
        <v>0</v>
      </c>
      <c r="H178" s="19">
        <v>0</v>
      </c>
      <c r="I178" s="19">
        <v>0</v>
      </c>
      <c r="J178" s="19">
        <v>41.16530407605832</v>
      </c>
      <c r="K178" s="19">
        <v>147.13447909561833</v>
      </c>
      <c r="L178" s="19">
        <v>277.07230864266921</v>
      </c>
      <c r="M178" s="19">
        <v>412.49709453755537</v>
      </c>
      <c r="N178" s="19">
        <v>528.33156461580097</v>
      </c>
      <c r="O178" s="19">
        <v>613.38963729973125</v>
      </c>
      <c r="P178" s="19">
        <v>758.04333990960686</v>
      </c>
      <c r="Q178" s="19">
        <v>765.14635542966948</v>
      </c>
      <c r="R178" s="19">
        <v>717.85227398883285</v>
      </c>
      <c r="S178" s="19">
        <v>616.49672292657067</v>
      </c>
      <c r="T178" s="19">
        <v>465.06375909415829</v>
      </c>
      <c r="U178" s="19">
        <v>271.1517005520368</v>
      </c>
      <c r="V178" s="19">
        <v>60.713853776151318</v>
      </c>
      <c r="W178" s="19">
        <v>0</v>
      </c>
      <c r="X178" s="19">
        <v>0</v>
      </c>
      <c r="Y178" s="19">
        <v>0</v>
      </c>
      <c r="Z178" s="19">
        <v>0</v>
      </c>
      <c r="AA178" s="19">
        <v>0</v>
      </c>
      <c r="AC178" s="76">
        <f t="shared" si="4"/>
        <v>5.6740583939444589</v>
      </c>
      <c r="AD178" s="77"/>
      <c r="AE178" s="72"/>
    </row>
    <row r="179" spans="2:31" x14ac:dyDescent="0.25">
      <c r="B179" s="108">
        <v>42544</v>
      </c>
      <c r="C179" s="72">
        <f t="shared" si="5"/>
        <v>175</v>
      </c>
      <c r="D179" s="19">
        <v>0</v>
      </c>
      <c r="E179" s="19">
        <v>0</v>
      </c>
      <c r="F179" s="19">
        <v>0</v>
      </c>
      <c r="G179" s="19">
        <v>0</v>
      </c>
      <c r="H179" s="19">
        <v>0</v>
      </c>
      <c r="I179" s="19">
        <v>0</v>
      </c>
      <c r="J179" s="19">
        <v>41.346919192456696</v>
      </c>
      <c r="K179" s="19">
        <v>147.20187217519899</v>
      </c>
      <c r="L179" s="19">
        <v>276.91617810514038</v>
      </c>
      <c r="M179" s="19">
        <v>409.60567575633871</v>
      </c>
      <c r="N179" s="19">
        <v>529.1469089019954</v>
      </c>
      <c r="O179" s="19">
        <v>616.31209622880999</v>
      </c>
      <c r="P179" s="19">
        <v>757.42775150918214</v>
      </c>
      <c r="Q179" s="19">
        <v>764.51425376318366</v>
      </c>
      <c r="R179" s="19">
        <v>717.2541990289842</v>
      </c>
      <c r="S179" s="19">
        <v>615.97889795564276</v>
      </c>
      <c r="T179" s="19">
        <v>464.65955013660073</v>
      </c>
      <c r="U179" s="19">
        <v>270.86692737538522</v>
      </c>
      <c r="V179" s="19">
        <v>60.540118302533166</v>
      </c>
      <c r="W179" s="19">
        <v>0</v>
      </c>
      <c r="X179" s="19">
        <v>0</v>
      </c>
      <c r="Y179" s="19">
        <v>0</v>
      </c>
      <c r="Z179" s="19">
        <v>0</v>
      </c>
      <c r="AA179" s="19">
        <v>0</v>
      </c>
      <c r="AC179" s="76">
        <f t="shared" si="4"/>
        <v>5.6717713484314514</v>
      </c>
      <c r="AD179" s="77"/>
      <c r="AE179" s="72"/>
    </row>
    <row r="180" spans="2:31" x14ac:dyDescent="0.25">
      <c r="B180" s="108">
        <v>42545</v>
      </c>
      <c r="C180" s="72">
        <f t="shared" si="5"/>
        <v>176</v>
      </c>
      <c r="D180" s="19">
        <v>0</v>
      </c>
      <c r="E180" s="19">
        <v>0</v>
      </c>
      <c r="F180" s="19">
        <v>0</v>
      </c>
      <c r="G180" s="19">
        <v>0</v>
      </c>
      <c r="H180" s="19">
        <v>0</v>
      </c>
      <c r="I180" s="19">
        <v>0</v>
      </c>
      <c r="J180" s="19">
        <v>40.948217480728374</v>
      </c>
      <c r="K180" s="19">
        <v>145.57289431326498</v>
      </c>
      <c r="L180" s="19">
        <v>273.49679155227494</v>
      </c>
      <c r="M180" s="19">
        <v>404.51525035340683</v>
      </c>
      <c r="N180" s="19">
        <v>523.12776522724687</v>
      </c>
      <c r="O180" s="19">
        <v>610.84387670044384</v>
      </c>
      <c r="P180" s="19">
        <v>756.91061044902415</v>
      </c>
      <c r="Q180" s="19">
        <v>763.98013394866382</v>
      </c>
      <c r="R180" s="19">
        <v>716.74177107803393</v>
      </c>
      <c r="S180" s="19">
        <v>615.52164732844324</v>
      </c>
      <c r="T180" s="19">
        <v>464.27715064268114</v>
      </c>
      <c r="U180" s="19">
        <v>270.55052753853147</v>
      </c>
      <c r="V180" s="19">
        <v>60.298375435497746</v>
      </c>
      <c r="W180" s="19">
        <v>0</v>
      </c>
      <c r="X180" s="19">
        <v>0</v>
      </c>
      <c r="Y180" s="19">
        <v>0</v>
      </c>
      <c r="Z180" s="19">
        <v>0</v>
      </c>
      <c r="AA180" s="19">
        <v>0</v>
      </c>
      <c r="AC180" s="76">
        <f t="shared" si="4"/>
        <v>5.6467850120482419</v>
      </c>
      <c r="AD180" s="77"/>
      <c r="AE180" s="72"/>
    </row>
    <row r="181" spans="2:31" x14ac:dyDescent="0.25">
      <c r="B181" s="108">
        <v>42546</v>
      </c>
      <c r="C181" s="72">
        <f t="shared" si="5"/>
        <v>177</v>
      </c>
      <c r="D181" s="19">
        <v>0</v>
      </c>
      <c r="E181" s="19">
        <v>0</v>
      </c>
      <c r="F181" s="19">
        <v>0</v>
      </c>
      <c r="G181" s="19">
        <v>0</v>
      </c>
      <c r="H181" s="19">
        <v>0</v>
      </c>
      <c r="I181" s="19">
        <v>0</v>
      </c>
      <c r="J181" s="19">
        <v>41.231853355339709</v>
      </c>
      <c r="K181" s="19">
        <v>146.17129807750192</v>
      </c>
      <c r="L181" s="19">
        <v>273.84444932522911</v>
      </c>
      <c r="M181" s="19">
        <v>407.27896497034027</v>
      </c>
      <c r="N181" s="19">
        <v>521.87558471240527</v>
      </c>
      <c r="O181" s="19">
        <v>607.73607297053536</v>
      </c>
      <c r="P181" s="19">
        <v>756.49192309796877</v>
      </c>
      <c r="Q181" s="19">
        <v>763.54400188944453</v>
      </c>
      <c r="R181" s="19">
        <v>716.31499419004365</v>
      </c>
      <c r="S181" s="19">
        <v>615.12496967100822</v>
      </c>
      <c r="T181" s="19">
        <v>463.91654307812109</v>
      </c>
      <c r="U181" s="19">
        <v>270.20244311025363</v>
      </c>
      <c r="V181" s="19">
        <v>59.988950267072305</v>
      </c>
      <c r="W181" s="19">
        <v>0</v>
      </c>
      <c r="X181" s="19">
        <v>0</v>
      </c>
      <c r="Y181" s="19">
        <v>0</v>
      </c>
      <c r="Z181" s="19">
        <v>0</v>
      </c>
      <c r="AA181" s="19">
        <v>0</v>
      </c>
      <c r="AC181" s="76">
        <f t="shared" si="4"/>
        <v>5.6437220487152633</v>
      </c>
      <c r="AD181" s="77"/>
      <c r="AE181" s="72"/>
    </row>
    <row r="182" spans="2:31" x14ac:dyDescent="0.25">
      <c r="B182" s="108">
        <v>42547</v>
      </c>
      <c r="C182" s="72">
        <f t="shared" si="5"/>
        <v>178</v>
      </c>
      <c r="D182" s="19">
        <v>0</v>
      </c>
      <c r="E182" s="19">
        <v>0</v>
      </c>
      <c r="F182" s="19">
        <v>0</v>
      </c>
      <c r="G182" s="19">
        <v>0</v>
      </c>
      <c r="H182" s="19">
        <v>0</v>
      </c>
      <c r="I182" s="19">
        <v>0</v>
      </c>
      <c r="J182" s="19">
        <v>41.342070761077665</v>
      </c>
      <c r="K182" s="19">
        <v>146.81747776189505</v>
      </c>
      <c r="L182" s="19">
        <v>275.51229885573275</v>
      </c>
      <c r="M182" s="19">
        <v>405.31470884881838</v>
      </c>
      <c r="N182" s="19">
        <v>521.25158636789547</v>
      </c>
      <c r="O182" s="19">
        <v>609.77360360563432</v>
      </c>
      <c r="P182" s="19">
        <v>756.17164607596351</v>
      </c>
      <c r="Q182" s="19">
        <v>763.20580965746376</v>
      </c>
      <c r="R182" s="19">
        <v>715.97381548581313</v>
      </c>
      <c r="S182" s="19">
        <v>614.78880262906966</v>
      </c>
      <c r="T182" s="19">
        <v>463.5776396627648</v>
      </c>
      <c r="U182" s="19">
        <v>269.82252737711821</v>
      </c>
      <c r="V182" s="19">
        <v>59.612248145837327</v>
      </c>
      <c r="W182" s="19">
        <v>0</v>
      </c>
      <c r="X182" s="19">
        <v>0</v>
      </c>
      <c r="Y182" s="19">
        <v>0</v>
      </c>
      <c r="Z182" s="19">
        <v>0</v>
      </c>
      <c r="AA182" s="19">
        <v>0</v>
      </c>
      <c r="AC182" s="76">
        <f t="shared" si="4"/>
        <v>5.6431642352350826</v>
      </c>
      <c r="AD182" s="77"/>
      <c r="AE182" s="72"/>
    </row>
    <row r="183" spans="2:31" x14ac:dyDescent="0.25">
      <c r="B183" s="108">
        <v>42548</v>
      </c>
      <c r="C183" s="72">
        <f t="shared" si="5"/>
        <v>179</v>
      </c>
      <c r="D183" s="19">
        <v>0</v>
      </c>
      <c r="E183" s="19">
        <v>0</v>
      </c>
      <c r="F183" s="19">
        <v>0</v>
      </c>
      <c r="G183" s="19">
        <v>0</v>
      </c>
      <c r="H183" s="19">
        <v>0</v>
      </c>
      <c r="I183" s="19">
        <v>0</v>
      </c>
      <c r="J183" s="19">
        <v>41.515219499563798</v>
      </c>
      <c r="K183" s="19">
        <v>147.10835635185649</v>
      </c>
      <c r="L183" s="19">
        <v>274.53319135667527</v>
      </c>
      <c r="M183" s="19">
        <v>405.82300051328502</v>
      </c>
      <c r="N183" s="19">
        <v>521.9936948603405</v>
      </c>
      <c r="O183" s="19">
        <v>610.47463177357463</v>
      </c>
      <c r="P183" s="19">
        <v>755.94968635209455</v>
      </c>
      <c r="Q183" s="19">
        <v>762.9654555912382</v>
      </c>
      <c r="R183" s="19">
        <v>715.71812523929339</v>
      </c>
      <c r="S183" s="19">
        <v>614.5130229270975</v>
      </c>
      <c r="T183" s="19">
        <v>463.26028237537219</v>
      </c>
      <c r="U183" s="19">
        <v>269.41054486304893</v>
      </c>
      <c r="V183" s="19">
        <v>59.168761092602203</v>
      </c>
      <c r="W183" s="19">
        <v>0</v>
      </c>
      <c r="X183" s="19">
        <v>0</v>
      </c>
      <c r="Y183" s="19">
        <v>0</v>
      </c>
      <c r="Z183" s="19">
        <v>0</v>
      </c>
      <c r="AA183" s="19">
        <v>0</v>
      </c>
      <c r="AC183" s="76">
        <f t="shared" si="4"/>
        <v>5.6424339727960415</v>
      </c>
      <c r="AD183" s="77"/>
      <c r="AE183" s="72"/>
    </row>
    <row r="184" spans="2:31" x14ac:dyDescent="0.25">
      <c r="B184" s="108">
        <v>42549</v>
      </c>
      <c r="C184" s="72">
        <f t="shared" si="5"/>
        <v>180</v>
      </c>
      <c r="D184" s="19">
        <v>0</v>
      </c>
      <c r="E184" s="19">
        <v>0</v>
      </c>
      <c r="F184" s="19">
        <v>0</v>
      </c>
      <c r="G184" s="19">
        <v>0</v>
      </c>
      <c r="H184" s="19">
        <v>0</v>
      </c>
      <c r="I184" s="19">
        <v>0</v>
      </c>
      <c r="J184" s="19">
        <v>40.910443074861384</v>
      </c>
      <c r="K184" s="19">
        <v>145.08104111972943</v>
      </c>
      <c r="L184" s="19">
        <v>273.86442280833705</v>
      </c>
      <c r="M184" s="19">
        <v>405.37982172938854</v>
      </c>
      <c r="N184" s="19">
        <v>525.13649059727118</v>
      </c>
      <c r="O184" s="19">
        <v>611.81254544931994</v>
      </c>
      <c r="P184" s="19">
        <v>755.82590128753554</v>
      </c>
      <c r="Q184" s="19">
        <v>762.82278433688805</v>
      </c>
      <c r="R184" s="19">
        <v>715.5477569096264</v>
      </c>
      <c r="S184" s="19">
        <v>614.29744637793669</v>
      </c>
      <c r="T184" s="19">
        <v>462.96424291094996</v>
      </c>
      <c r="U184" s="19">
        <v>268.96617133024097</v>
      </c>
      <c r="V184" s="19">
        <v>58.659076115718207</v>
      </c>
      <c r="W184" s="19">
        <v>0</v>
      </c>
      <c r="X184" s="19">
        <v>0</v>
      </c>
      <c r="Y184" s="19">
        <v>0</v>
      </c>
      <c r="Z184" s="19">
        <v>0</v>
      </c>
      <c r="AA184" s="19">
        <v>0</v>
      </c>
      <c r="AC184" s="76">
        <f t="shared" si="4"/>
        <v>5.6412681440478032</v>
      </c>
      <c r="AD184" s="77"/>
      <c r="AE184" s="72"/>
    </row>
    <row r="185" spans="2:31" x14ac:dyDescent="0.25">
      <c r="B185" s="108">
        <v>42550</v>
      </c>
      <c r="C185" s="72">
        <f t="shared" si="5"/>
        <v>181</v>
      </c>
      <c r="D185" s="19">
        <v>0</v>
      </c>
      <c r="E185" s="19">
        <v>0</v>
      </c>
      <c r="F185" s="19">
        <v>0</v>
      </c>
      <c r="G185" s="19">
        <v>0</v>
      </c>
      <c r="H185" s="19">
        <v>0</v>
      </c>
      <c r="I185" s="19">
        <v>0</v>
      </c>
      <c r="J185" s="19">
        <v>41.191869743999682</v>
      </c>
      <c r="K185" s="19">
        <v>146.15020446890242</v>
      </c>
      <c r="L185" s="19">
        <v>273.72336444202062</v>
      </c>
      <c r="M185" s="19">
        <v>405.04844420304528</v>
      </c>
      <c r="N185" s="19">
        <v>523.87221980234267</v>
      </c>
      <c r="O185" s="19">
        <v>607.54811656249103</v>
      </c>
      <c r="P185" s="19">
        <v>755.80009862381542</v>
      </c>
      <c r="Q185" s="19">
        <v>762.77758683262903</v>
      </c>
      <c r="R185" s="19">
        <v>715.46248711922067</v>
      </c>
      <c r="S185" s="19">
        <v>614.14182784343996</v>
      </c>
      <c r="T185" s="19">
        <v>462.68922259102425</v>
      </c>
      <c r="U185" s="19">
        <v>268.48899376399271</v>
      </c>
      <c r="V185" s="19">
        <v>58.083885515517281</v>
      </c>
      <c r="W185" s="19">
        <v>0</v>
      </c>
      <c r="X185" s="19">
        <v>0</v>
      </c>
      <c r="Y185" s="19">
        <v>0</v>
      </c>
      <c r="Z185" s="19">
        <v>0</v>
      </c>
      <c r="AA185" s="19">
        <v>0</v>
      </c>
      <c r="AC185" s="76">
        <f t="shared" si="4"/>
        <v>5.6349783215124409</v>
      </c>
      <c r="AD185" s="77"/>
      <c r="AE185" s="72"/>
    </row>
    <row r="186" spans="2:31" x14ac:dyDescent="0.25">
      <c r="B186" s="108">
        <v>42551</v>
      </c>
      <c r="C186" s="72">
        <f t="shared" si="5"/>
        <v>182</v>
      </c>
      <c r="D186" s="19">
        <v>0</v>
      </c>
      <c r="E186" s="19">
        <v>0</v>
      </c>
      <c r="F186" s="19">
        <v>0</v>
      </c>
      <c r="G186" s="19">
        <v>0</v>
      </c>
      <c r="H186" s="19">
        <v>0</v>
      </c>
      <c r="I186" s="19">
        <v>0</v>
      </c>
      <c r="J186" s="19">
        <v>40.802446439840146</v>
      </c>
      <c r="K186" s="19">
        <v>144.8375920298221</v>
      </c>
      <c r="L186" s="19">
        <v>272.93529020751481</v>
      </c>
      <c r="M186" s="19">
        <v>404.52300433073879</v>
      </c>
      <c r="N186" s="19">
        <v>520.80694347942438</v>
      </c>
      <c r="O186" s="19">
        <v>608.08188696583034</v>
      </c>
      <c r="P186" s="19">
        <v>755.87203641709334</v>
      </c>
      <c r="Q186" s="19">
        <v>762.82960023745591</v>
      </c>
      <c r="R186" s="19">
        <v>715.46203557858541</v>
      </c>
      <c r="S186" s="19">
        <v>614.04586114676363</v>
      </c>
      <c r="T186" s="19">
        <v>462.43485222752668</v>
      </c>
      <c r="U186" s="19">
        <v>267.97851034482704</v>
      </c>
      <c r="V186" s="19">
        <v>57.443999289112163</v>
      </c>
      <c r="W186" s="19">
        <v>0</v>
      </c>
      <c r="X186" s="19">
        <v>0</v>
      </c>
      <c r="Y186" s="19">
        <v>0</v>
      </c>
      <c r="Z186" s="19">
        <v>0</v>
      </c>
      <c r="AA186" s="19">
        <v>0</v>
      </c>
      <c r="AC186" s="76">
        <f t="shared" si="4"/>
        <v>5.6280540586945342</v>
      </c>
      <c r="AD186" s="77"/>
      <c r="AE186" s="72"/>
    </row>
    <row r="187" spans="2:31" x14ac:dyDescent="0.25">
      <c r="B187" s="108">
        <v>42552</v>
      </c>
      <c r="C187" s="72">
        <f t="shared" si="5"/>
        <v>183</v>
      </c>
      <c r="D187" s="19">
        <v>0</v>
      </c>
      <c r="E187" s="19">
        <v>0</v>
      </c>
      <c r="F187" s="19">
        <v>0</v>
      </c>
      <c r="G187" s="19">
        <v>0</v>
      </c>
      <c r="H187" s="19">
        <v>0</v>
      </c>
      <c r="I187" s="19">
        <v>0</v>
      </c>
      <c r="J187" s="19">
        <v>41.008637429700698</v>
      </c>
      <c r="K187" s="19">
        <v>145.43880496227416</v>
      </c>
      <c r="L187" s="19">
        <v>273.35851054739396</v>
      </c>
      <c r="M187" s="19">
        <v>405.31375451370286</v>
      </c>
      <c r="N187" s="19">
        <v>521.13416392976183</v>
      </c>
      <c r="O187" s="19">
        <v>607.01905654785435</v>
      </c>
      <c r="P187" s="19">
        <v>756.04142291942117</v>
      </c>
      <c r="Q187" s="19">
        <v>762.9785078050578</v>
      </c>
      <c r="R187" s="19">
        <v>715.5460649589462</v>
      </c>
      <c r="S187" s="19">
        <v>614.00917893728172</v>
      </c>
      <c r="T187" s="19">
        <v>462.20069194121697</v>
      </c>
      <c r="U187" s="19">
        <v>267.43413041210277</v>
      </c>
      <c r="V187" s="19">
        <v>56.74035977020592</v>
      </c>
      <c r="W187" s="19">
        <v>0</v>
      </c>
      <c r="X187" s="19">
        <v>0</v>
      </c>
      <c r="Y187" s="19">
        <v>0</v>
      </c>
      <c r="Z187" s="19">
        <v>0</v>
      </c>
      <c r="AA187" s="19">
        <v>0</v>
      </c>
      <c r="AC187" s="76">
        <f t="shared" si="4"/>
        <v>5.6282232846749203</v>
      </c>
      <c r="AD187" s="77"/>
      <c r="AE187" s="72"/>
    </row>
    <row r="188" spans="2:31" x14ac:dyDescent="0.25">
      <c r="B188" s="108">
        <v>42553</v>
      </c>
      <c r="C188" s="72">
        <f t="shared" si="5"/>
        <v>184</v>
      </c>
      <c r="D188" s="19">
        <v>0</v>
      </c>
      <c r="E188" s="19">
        <v>0</v>
      </c>
      <c r="F188" s="19">
        <v>0</v>
      </c>
      <c r="G188" s="19">
        <v>0</v>
      </c>
      <c r="H188" s="19">
        <v>0</v>
      </c>
      <c r="I188" s="19">
        <v>0</v>
      </c>
      <c r="J188" s="19">
        <v>40.822644712429089</v>
      </c>
      <c r="K188" s="19">
        <v>144.99960940399046</v>
      </c>
      <c r="L188" s="19">
        <v>272.42048406762103</v>
      </c>
      <c r="M188" s="19">
        <v>403.63744944819558</v>
      </c>
      <c r="N188" s="19">
        <v>519.43134337667959</v>
      </c>
      <c r="O188" s="19">
        <v>606.8784803300988</v>
      </c>
      <c r="P188" s="19">
        <v>756.30791640825998</v>
      </c>
      <c r="Q188" s="19">
        <v>763.22393870429244</v>
      </c>
      <c r="R188" s="19">
        <v>715.71418071395101</v>
      </c>
      <c r="S188" s="19">
        <v>614.03135250934133</v>
      </c>
      <c r="T188" s="19">
        <v>461.98623093583285</v>
      </c>
      <c r="U188" s="19">
        <v>266.855174424192</v>
      </c>
      <c r="V188" s="19">
        <v>55.974058664219655</v>
      </c>
      <c r="W188" s="19">
        <v>0</v>
      </c>
      <c r="X188" s="19">
        <v>0</v>
      </c>
      <c r="Y188" s="19">
        <v>0</v>
      </c>
      <c r="Z188" s="19">
        <v>0</v>
      </c>
      <c r="AA188" s="19">
        <v>0</v>
      </c>
      <c r="AC188" s="76">
        <f t="shared" si="4"/>
        <v>5.6222828636991045</v>
      </c>
      <c r="AD188" s="77"/>
      <c r="AE188" s="72"/>
    </row>
    <row r="189" spans="2:31" x14ac:dyDescent="0.25">
      <c r="B189" s="108">
        <v>42554</v>
      </c>
      <c r="C189" s="72">
        <f t="shared" si="5"/>
        <v>185</v>
      </c>
      <c r="D189" s="19">
        <v>0</v>
      </c>
      <c r="E189" s="19">
        <v>0</v>
      </c>
      <c r="F189" s="19">
        <v>0</v>
      </c>
      <c r="G189" s="19">
        <v>0</v>
      </c>
      <c r="H189" s="19">
        <v>0</v>
      </c>
      <c r="I189" s="19">
        <v>0</v>
      </c>
      <c r="J189" s="19">
        <v>41.182626854428833</v>
      </c>
      <c r="K189" s="19">
        <v>145.71999439679516</v>
      </c>
      <c r="L189" s="19">
        <v>272.68052681154563</v>
      </c>
      <c r="M189" s="19">
        <v>403.82394073016235</v>
      </c>
      <c r="N189" s="19">
        <v>520.59304674076429</v>
      </c>
      <c r="O189" s="19">
        <v>608.98610228699386</v>
      </c>
      <c r="P189" s="19">
        <v>756.6711249658033</v>
      </c>
      <c r="Q189" s="19">
        <v>763.56546778785423</v>
      </c>
      <c r="R189" s="19">
        <v>715.9659308520778</v>
      </c>
      <c r="S189" s="19">
        <v>614.11189157635556</v>
      </c>
      <c r="T189" s="19">
        <v>461.79088722941157</v>
      </c>
      <c r="U189" s="19">
        <v>266.24087392122397</v>
      </c>
      <c r="V189" s="19">
        <v>55.146356667717896</v>
      </c>
      <c r="W189" s="19">
        <v>0</v>
      </c>
      <c r="X189" s="19">
        <v>0</v>
      </c>
      <c r="Y189" s="19">
        <v>0</v>
      </c>
      <c r="Z189" s="19">
        <v>0</v>
      </c>
      <c r="AA189" s="19">
        <v>0</v>
      </c>
      <c r="AC189" s="76">
        <f t="shared" si="4"/>
        <v>5.6264787708211355</v>
      </c>
      <c r="AD189" s="77"/>
      <c r="AE189" s="72"/>
    </row>
    <row r="190" spans="2:31" x14ac:dyDescent="0.25">
      <c r="B190" s="108">
        <v>42555</v>
      </c>
      <c r="C190" s="72">
        <f t="shared" si="5"/>
        <v>186</v>
      </c>
      <c r="D190" s="19">
        <v>0</v>
      </c>
      <c r="E190" s="19">
        <v>0</v>
      </c>
      <c r="F190" s="19">
        <v>0</v>
      </c>
      <c r="G190" s="19">
        <v>0</v>
      </c>
      <c r="H190" s="19">
        <v>0</v>
      </c>
      <c r="I190" s="19">
        <v>0</v>
      </c>
      <c r="J190" s="19">
        <v>40.733307068898171</v>
      </c>
      <c r="K190" s="19">
        <v>144.7751024686057</v>
      </c>
      <c r="L190" s="19">
        <v>273.87178511645294</v>
      </c>
      <c r="M190" s="19">
        <v>405.11514600235608</v>
      </c>
      <c r="N190" s="19">
        <v>522.18244465707414</v>
      </c>
      <c r="O190" s="19">
        <v>610.00865141899067</v>
      </c>
      <c r="P190" s="19">
        <v>757.13060620994281</v>
      </c>
      <c r="Q190" s="19">
        <v>764.00261531106526</v>
      </c>
      <c r="R190" s="19">
        <v>716.30080566164452</v>
      </c>
      <c r="S190" s="19">
        <v>614.25024400200243</v>
      </c>
      <c r="T190" s="19">
        <v>461.61400734448972</v>
      </c>
      <c r="U190" s="19">
        <v>265.5903714973885</v>
      </c>
      <c r="V190" s="19">
        <v>54.258705893809882</v>
      </c>
      <c r="W190" s="19">
        <v>0</v>
      </c>
      <c r="X190" s="19">
        <v>0</v>
      </c>
      <c r="Y190" s="19">
        <v>0</v>
      </c>
      <c r="Z190" s="19">
        <v>0</v>
      </c>
      <c r="AA190" s="19">
        <v>0</v>
      </c>
      <c r="AC190" s="76">
        <f t="shared" si="4"/>
        <v>5.6298337926527209</v>
      </c>
      <c r="AD190" s="77"/>
      <c r="AE190" s="72"/>
    </row>
    <row r="191" spans="2:31" x14ac:dyDescent="0.25">
      <c r="B191" s="108">
        <v>42556</v>
      </c>
      <c r="C191" s="72">
        <f t="shared" si="5"/>
        <v>187</v>
      </c>
      <c r="D191" s="19">
        <v>0</v>
      </c>
      <c r="E191" s="19">
        <v>0</v>
      </c>
      <c r="F191" s="19">
        <v>0</v>
      </c>
      <c r="G191" s="19">
        <v>0</v>
      </c>
      <c r="H191" s="19">
        <v>0</v>
      </c>
      <c r="I191" s="19">
        <v>0</v>
      </c>
      <c r="J191" s="19">
        <v>40.631349028765904</v>
      </c>
      <c r="K191" s="19">
        <v>145.13187864469668</v>
      </c>
      <c r="L191" s="19">
        <v>273.14093926472674</v>
      </c>
      <c r="M191" s="19">
        <v>405.79061990458172</v>
      </c>
      <c r="N191" s="19">
        <v>523.33098690208806</v>
      </c>
      <c r="O191" s="19">
        <v>608.92568621648206</v>
      </c>
      <c r="P191" s="19">
        <v>757.68586697898365</v>
      </c>
      <c r="Q191" s="19">
        <v>764.53484660300774</v>
      </c>
      <c r="R191" s="19">
        <v>716.71823739060187</v>
      </c>
      <c r="S191" s="19">
        <v>614.44579549056027</v>
      </c>
      <c r="T191" s="19">
        <v>461.45486595915105</v>
      </c>
      <c r="U191" s="19">
        <v>264.90272079085094</v>
      </c>
      <c r="V191" s="19">
        <v>53.312775363409088</v>
      </c>
      <c r="W191" s="19">
        <v>0</v>
      </c>
      <c r="X191" s="19">
        <v>0</v>
      </c>
      <c r="Y191" s="19">
        <v>0</v>
      </c>
      <c r="Z191" s="19">
        <v>0</v>
      </c>
      <c r="AA191" s="19">
        <v>0</v>
      </c>
      <c r="AC191" s="76">
        <f t="shared" si="4"/>
        <v>5.6300065685379055</v>
      </c>
      <c r="AD191" s="77"/>
      <c r="AE191" s="72"/>
    </row>
    <row r="192" spans="2:31" x14ac:dyDescent="0.25">
      <c r="B192" s="108">
        <v>42557</v>
      </c>
      <c r="C192" s="72">
        <f t="shared" si="5"/>
        <v>188</v>
      </c>
      <c r="D192" s="19">
        <v>0</v>
      </c>
      <c r="E192" s="19">
        <v>0</v>
      </c>
      <c r="F192" s="19">
        <v>0</v>
      </c>
      <c r="G192" s="19">
        <v>0</v>
      </c>
      <c r="H192" s="19">
        <v>0</v>
      </c>
      <c r="I192" s="19">
        <v>0</v>
      </c>
      <c r="J192" s="19">
        <v>40.465173350621527</v>
      </c>
      <c r="K192" s="19">
        <v>144.90766522783238</v>
      </c>
      <c r="L192" s="19">
        <v>273.44717024683519</v>
      </c>
      <c r="M192" s="19">
        <v>405.32363919657547</v>
      </c>
      <c r="N192" s="19">
        <v>521.47267362387583</v>
      </c>
      <c r="O192" s="19">
        <v>608.85091133208255</v>
      </c>
      <c r="P192" s="19">
        <v>758.33636297249586</v>
      </c>
      <c r="Q192" s="19">
        <v>765.16157169249959</v>
      </c>
      <c r="R192" s="19">
        <v>717.21759988357519</v>
      </c>
      <c r="S192" s="19">
        <v>614.6978692386723</v>
      </c>
      <c r="T192" s="19">
        <v>461.31266552114022</v>
      </c>
      <c r="U192" s="19">
        <v>264.17688650047114</v>
      </c>
      <c r="V192" s="19">
        <v>52.310479867947471</v>
      </c>
      <c r="W192" s="19">
        <v>0</v>
      </c>
      <c r="X192" s="19">
        <v>0</v>
      </c>
      <c r="Y192" s="19">
        <v>0</v>
      </c>
      <c r="Z192" s="19">
        <v>0</v>
      </c>
      <c r="AA192" s="19">
        <v>0</v>
      </c>
      <c r="AC192" s="76">
        <f t="shared" si="4"/>
        <v>5.6276806686546248</v>
      </c>
      <c r="AD192" s="77"/>
      <c r="AE192" s="72"/>
    </row>
    <row r="193" spans="2:31" x14ac:dyDescent="0.25">
      <c r="B193" s="108">
        <v>42558</v>
      </c>
      <c r="C193" s="72">
        <f t="shared" si="5"/>
        <v>189</v>
      </c>
      <c r="D193" s="19">
        <v>0</v>
      </c>
      <c r="E193" s="19">
        <v>0</v>
      </c>
      <c r="F193" s="19">
        <v>0</v>
      </c>
      <c r="G193" s="19">
        <v>0</v>
      </c>
      <c r="H193" s="19">
        <v>0</v>
      </c>
      <c r="I193" s="19">
        <v>0</v>
      </c>
      <c r="J193" s="19">
        <v>39.88883428697892</v>
      </c>
      <c r="K193" s="19">
        <v>144.24496974125313</v>
      </c>
      <c r="L193" s="19">
        <v>273.43571412335717</v>
      </c>
      <c r="M193" s="19">
        <v>404.02462278026803</v>
      </c>
      <c r="N193" s="19">
        <v>520.46618302762454</v>
      </c>
      <c r="O193" s="19">
        <v>608.13472697594159</v>
      </c>
      <c r="P193" s="19">
        <v>759.08149835094446</v>
      </c>
      <c r="Q193" s="19">
        <v>765.88214489169707</v>
      </c>
      <c r="R193" s="19">
        <v>717.79820817888867</v>
      </c>
      <c r="S193" s="19">
        <v>615.00572555109375</v>
      </c>
      <c r="T193" s="19">
        <v>461.18653582753171</v>
      </c>
      <c r="U193" s="19">
        <v>263.41174443975626</v>
      </c>
      <c r="V193" s="19">
        <v>51.25401256527492</v>
      </c>
      <c r="W193" s="19">
        <v>0</v>
      </c>
      <c r="X193" s="19">
        <v>0</v>
      </c>
      <c r="Y193" s="19">
        <v>0</v>
      </c>
      <c r="Z193" s="19">
        <v>0</v>
      </c>
      <c r="AA193" s="19">
        <v>0</v>
      </c>
      <c r="AC193" s="76">
        <f t="shared" si="4"/>
        <v>5.6238149207406094</v>
      </c>
      <c r="AD193" s="77"/>
      <c r="AE193" s="72"/>
    </row>
    <row r="194" spans="2:31" x14ac:dyDescent="0.25">
      <c r="B194" s="108">
        <v>42559</v>
      </c>
      <c r="C194" s="72">
        <f t="shared" si="5"/>
        <v>190</v>
      </c>
      <c r="D194" s="19">
        <v>0</v>
      </c>
      <c r="E194" s="19">
        <v>0</v>
      </c>
      <c r="F194" s="19">
        <v>0</v>
      </c>
      <c r="G194" s="19">
        <v>0</v>
      </c>
      <c r="H194" s="19">
        <v>0</v>
      </c>
      <c r="I194" s="19">
        <v>0</v>
      </c>
      <c r="J194" s="19">
        <v>40.073226789795036</v>
      </c>
      <c r="K194" s="19">
        <v>144.41356474552578</v>
      </c>
      <c r="L194" s="19">
        <v>274.10432092209692</v>
      </c>
      <c r="M194" s="19">
        <v>405.20267933164024</v>
      </c>
      <c r="N194" s="19">
        <v>522.42366559482434</v>
      </c>
      <c r="O194" s="19">
        <v>611.38639253108408</v>
      </c>
      <c r="P194" s="19">
        <v>759.92062529700695</v>
      </c>
      <c r="Q194" s="19">
        <v>766.6958643403774</v>
      </c>
      <c r="R194" s="19">
        <v>718.45931806858539</v>
      </c>
      <c r="S194" s="19">
        <v>615.36856142321176</v>
      </c>
      <c r="T194" s="19">
        <v>461.07553357269182</v>
      </c>
      <c r="U194" s="19">
        <v>262.60608163981658</v>
      </c>
      <c r="V194" s="19">
        <v>50.145881741158703</v>
      </c>
      <c r="W194" s="19">
        <v>0</v>
      </c>
      <c r="X194" s="19">
        <v>0</v>
      </c>
      <c r="Y194" s="19">
        <v>0</v>
      </c>
      <c r="Z194" s="19">
        <v>0</v>
      </c>
      <c r="AA194" s="19">
        <v>0</v>
      </c>
      <c r="AC194" s="76">
        <f t="shared" si="4"/>
        <v>5.6318757159978148</v>
      </c>
      <c r="AD194" s="77"/>
      <c r="AE194" s="72"/>
    </row>
    <row r="195" spans="2:31" x14ac:dyDescent="0.25">
      <c r="B195" s="108">
        <v>42560</v>
      </c>
      <c r="C195" s="72">
        <f t="shared" si="5"/>
        <v>191</v>
      </c>
      <c r="D195" s="19">
        <v>0</v>
      </c>
      <c r="E195" s="19">
        <v>0</v>
      </c>
      <c r="F195" s="19">
        <v>0</v>
      </c>
      <c r="G195" s="19">
        <v>0</v>
      </c>
      <c r="H195" s="19">
        <v>0</v>
      </c>
      <c r="I195" s="19">
        <v>0</v>
      </c>
      <c r="J195" s="19">
        <v>39.924831433809146</v>
      </c>
      <c r="K195" s="19">
        <v>144.86615099590674</v>
      </c>
      <c r="L195" s="19">
        <v>274.39007078815274</v>
      </c>
      <c r="M195" s="19">
        <v>407.26931531675172</v>
      </c>
      <c r="N195" s="19">
        <v>523.89163474253075</v>
      </c>
      <c r="O195" s="19">
        <v>610.75386235917097</v>
      </c>
      <c r="P195" s="19">
        <v>760.85304354174241</v>
      </c>
      <c r="Q195" s="19">
        <v>767.60197151422108</v>
      </c>
      <c r="R195" s="19">
        <v>719.20012562470311</v>
      </c>
      <c r="S195" s="19">
        <v>615.78551009340129</v>
      </c>
      <c r="T195" s="19">
        <v>460.97864186753191</v>
      </c>
      <c r="U195" s="19">
        <v>261.75859651455596</v>
      </c>
      <c r="V195" s="19">
        <v>48.988952259878531</v>
      </c>
      <c r="W195" s="19">
        <v>0</v>
      </c>
      <c r="X195" s="19">
        <v>0</v>
      </c>
      <c r="Y195" s="19">
        <v>0</v>
      </c>
      <c r="Z195" s="19">
        <v>0</v>
      </c>
      <c r="AA195" s="19">
        <v>0</v>
      </c>
      <c r="AC195" s="76">
        <f t="shared" si="4"/>
        <v>5.6362627070523565</v>
      </c>
      <c r="AD195" s="77"/>
      <c r="AE195" s="72"/>
    </row>
    <row r="196" spans="2:31" x14ac:dyDescent="0.25">
      <c r="B196" s="108">
        <v>42561</v>
      </c>
      <c r="C196" s="72">
        <f t="shared" si="5"/>
        <v>192</v>
      </c>
      <c r="D196" s="19">
        <v>0</v>
      </c>
      <c r="E196" s="19">
        <v>0</v>
      </c>
      <c r="F196" s="19">
        <v>0</v>
      </c>
      <c r="G196" s="19">
        <v>0</v>
      </c>
      <c r="H196" s="19">
        <v>0</v>
      </c>
      <c r="I196" s="19">
        <v>0</v>
      </c>
      <c r="J196" s="19">
        <v>39.466158896304805</v>
      </c>
      <c r="K196" s="19">
        <v>143.82260056392869</v>
      </c>
      <c r="L196" s="19">
        <v>273.05730161753132</v>
      </c>
      <c r="M196" s="19">
        <v>406.05586700841116</v>
      </c>
      <c r="N196" s="19">
        <v>524.03178423300574</v>
      </c>
      <c r="O196" s="19">
        <v>612.71619978131639</v>
      </c>
      <c r="P196" s="19">
        <v>761.8779998590054</v>
      </c>
      <c r="Q196" s="19">
        <v>768.59965070067051</v>
      </c>
      <c r="R196" s="19">
        <v>720.01976669533008</v>
      </c>
      <c r="S196" s="19">
        <v>616.25564056848248</v>
      </c>
      <c r="T196" s="19">
        <v>460.89476973331114</v>
      </c>
      <c r="U196" s="19">
        <v>260.86789910292595</v>
      </c>
      <c r="V196" s="19">
        <v>47.786492347475914</v>
      </c>
      <c r="W196" s="19">
        <v>0</v>
      </c>
      <c r="X196" s="19">
        <v>0</v>
      </c>
      <c r="Y196" s="19">
        <v>0</v>
      </c>
      <c r="Z196" s="19">
        <v>0</v>
      </c>
      <c r="AA196" s="19">
        <v>0</v>
      </c>
      <c r="AC196" s="76">
        <f t="shared" si="4"/>
        <v>5.6354521311076997</v>
      </c>
      <c r="AD196" s="77"/>
      <c r="AE196" s="72"/>
    </row>
    <row r="197" spans="2:31" x14ac:dyDescent="0.25">
      <c r="B197" s="108">
        <v>42562</v>
      </c>
      <c r="C197" s="72">
        <f t="shared" si="5"/>
        <v>193</v>
      </c>
      <c r="D197" s="19">
        <v>0</v>
      </c>
      <c r="E197" s="19">
        <v>0</v>
      </c>
      <c r="F197" s="19">
        <v>0</v>
      </c>
      <c r="G197" s="19">
        <v>0</v>
      </c>
      <c r="H197" s="19">
        <v>0</v>
      </c>
      <c r="I197" s="19">
        <v>0</v>
      </c>
      <c r="J197" s="19">
        <v>39.235035176190621</v>
      </c>
      <c r="K197" s="19">
        <v>144.05044397400991</v>
      </c>
      <c r="L197" s="19">
        <v>274.70074213545394</v>
      </c>
      <c r="M197" s="19">
        <v>408.051040480827</v>
      </c>
      <c r="N197" s="19">
        <v>526.10226853314589</v>
      </c>
      <c r="O197" s="19">
        <v>614.81733992319232</v>
      </c>
      <c r="P197" s="19">
        <v>762.99468753175177</v>
      </c>
      <c r="Q197" s="19">
        <v>769.68802844618631</v>
      </c>
      <c r="R197" s="19">
        <v>720.91731637420435</v>
      </c>
      <c r="S197" s="19">
        <v>616.77795712581144</v>
      </c>
      <c r="T197" s="19">
        <v>460.82275157349562</v>
      </c>
      <c r="U197" s="19">
        <v>259.93251140481897</v>
      </c>
      <c r="V197" s="19">
        <v>46.542226512399708</v>
      </c>
      <c r="W197" s="19">
        <v>0</v>
      </c>
      <c r="X197" s="19">
        <v>0</v>
      </c>
      <c r="Y197" s="19">
        <v>0</v>
      </c>
      <c r="Z197" s="19">
        <v>0</v>
      </c>
      <c r="AA197" s="19">
        <v>0</v>
      </c>
      <c r="AC197" s="76">
        <f t="shared" si="4"/>
        <v>5.6446323491914869</v>
      </c>
      <c r="AD197" s="77"/>
      <c r="AE197" s="72"/>
    </row>
    <row r="198" spans="2:31" x14ac:dyDescent="0.25">
      <c r="B198" s="108">
        <v>42563</v>
      </c>
      <c r="C198" s="72">
        <f t="shared" si="5"/>
        <v>194</v>
      </c>
      <c r="D198" s="19">
        <v>0</v>
      </c>
      <c r="E198" s="19">
        <v>0</v>
      </c>
      <c r="F198" s="19">
        <v>0</v>
      </c>
      <c r="G198" s="19">
        <v>0</v>
      </c>
      <c r="H198" s="19">
        <v>0</v>
      </c>
      <c r="I198" s="19">
        <v>0</v>
      </c>
      <c r="J198" s="19">
        <v>38.882150527442676</v>
      </c>
      <c r="K198" s="19">
        <v>143.33504548916673</v>
      </c>
      <c r="L198" s="19">
        <v>272.22016792677374</v>
      </c>
      <c r="M198" s="19">
        <v>404.55342366305877</v>
      </c>
      <c r="N198" s="19">
        <v>523.74300406824591</v>
      </c>
      <c r="O198" s="19">
        <v>612.83558655343916</v>
      </c>
      <c r="P198" s="19">
        <v>764.20224579409808</v>
      </c>
      <c r="Q198" s="19">
        <v>770.86617297896339</v>
      </c>
      <c r="R198" s="19">
        <v>721.89178844785238</v>
      </c>
      <c r="S198" s="19">
        <v>617.35139879573512</v>
      </c>
      <c r="T198" s="19">
        <v>460.76134662744744</v>
      </c>
      <c r="U198" s="19">
        <v>258.95086782909777</v>
      </c>
      <c r="V198" s="19">
        <v>45.26039562839108</v>
      </c>
      <c r="W198" s="19">
        <v>0</v>
      </c>
      <c r="X198" s="19">
        <v>0</v>
      </c>
      <c r="Y198" s="19">
        <v>0</v>
      </c>
      <c r="Z198" s="19">
        <v>0</v>
      </c>
      <c r="AA198" s="19">
        <v>0</v>
      </c>
      <c r="AC198" s="76">
        <f t="shared" ref="AC198:AC261" si="6">(SUM((D198:AA198))/1000)</f>
        <v>5.6348535943297113</v>
      </c>
      <c r="AD198" s="77"/>
      <c r="AE198" s="72"/>
    </row>
    <row r="199" spans="2:31" x14ac:dyDescent="0.25">
      <c r="B199" s="108">
        <v>42564</v>
      </c>
      <c r="C199" s="72">
        <f t="shared" ref="C199:C262" si="7">B199-$B$5+1</f>
        <v>195</v>
      </c>
      <c r="D199" s="19">
        <v>0</v>
      </c>
      <c r="E199" s="19">
        <v>0</v>
      </c>
      <c r="F199" s="19">
        <v>0</v>
      </c>
      <c r="G199" s="19">
        <v>0</v>
      </c>
      <c r="H199" s="19">
        <v>0</v>
      </c>
      <c r="I199" s="19">
        <v>0</v>
      </c>
      <c r="J199" s="19">
        <v>39.656401307931908</v>
      </c>
      <c r="K199" s="19">
        <v>147.11539501960013</v>
      </c>
      <c r="L199" s="19">
        <v>281.26393719495019</v>
      </c>
      <c r="M199" s="19">
        <v>418.06651446433909</v>
      </c>
      <c r="N199" s="19">
        <v>538.96247684145897</v>
      </c>
      <c r="O199" s="19">
        <v>632.81541702022957</v>
      </c>
      <c r="P199" s="19">
        <v>765.49975925321644</v>
      </c>
      <c r="Q199" s="19">
        <v>772.13309361139864</v>
      </c>
      <c r="R199" s="19">
        <v>722.94213482450186</v>
      </c>
      <c r="S199" s="19">
        <v>617.97483882837378</v>
      </c>
      <c r="T199" s="19">
        <v>460.70923840996227</v>
      </c>
      <c r="U199" s="19">
        <v>257.92131577437738</v>
      </c>
      <c r="V199" s="19">
        <v>43.945825509112517</v>
      </c>
      <c r="W199" s="19">
        <v>0</v>
      </c>
      <c r="X199" s="19">
        <v>0</v>
      </c>
      <c r="Y199" s="19">
        <v>0</v>
      </c>
      <c r="Z199" s="19">
        <v>0</v>
      </c>
      <c r="AA199" s="19">
        <v>0</v>
      </c>
      <c r="AC199" s="76">
        <f t="shared" si="6"/>
        <v>5.6990063480594531</v>
      </c>
      <c r="AD199" s="77"/>
      <c r="AE199" s="72"/>
    </row>
    <row r="200" spans="2:31" x14ac:dyDescent="0.25">
      <c r="B200" s="108">
        <v>42565</v>
      </c>
      <c r="C200" s="72">
        <f t="shared" si="7"/>
        <v>196</v>
      </c>
      <c r="D200" s="19">
        <v>0</v>
      </c>
      <c r="E200" s="19">
        <v>0</v>
      </c>
      <c r="F200" s="19">
        <v>0</v>
      </c>
      <c r="G200" s="19">
        <v>0</v>
      </c>
      <c r="H200" s="19">
        <v>0</v>
      </c>
      <c r="I200" s="19">
        <v>0</v>
      </c>
      <c r="J200" s="19">
        <v>39.352976464179669</v>
      </c>
      <c r="K200" s="19">
        <v>146.65354595635213</v>
      </c>
      <c r="L200" s="19">
        <v>279.97457416117254</v>
      </c>
      <c r="M200" s="19">
        <v>412.61185772206835</v>
      </c>
      <c r="N200" s="19">
        <v>530.97875966940683</v>
      </c>
      <c r="O200" s="19">
        <v>620.46894830851784</v>
      </c>
      <c r="P200" s="19">
        <v>766.88625729535397</v>
      </c>
      <c r="Q200" s="19">
        <v>773.48774012681224</v>
      </c>
      <c r="R200" s="19">
        <v>724.06724494920138</v>
      </c>
      <c r="S200" s="19">
        <v>618.64708414889299</v>
      </c>
      <c r="T200" s="19">
        <v>460.66503414094262</v>
      </c>
      <c r="U200" s="19">
        <v>256.84211636549298</v>
      </c>
      <c r="V200" s="19">
        <v>42.604005730756015</v>
      </c>
      <c r="W200" s="19">
        <v>0</v>
      </c>
      <c r="X200" s="19">
        <v>0</v>
      </c>
      <c r="Y200" s="19">
        <v>0</v>
      </c>
      <c r="Z200" s="19">
        <v>0</v>
      </c>
      <c r="AA200" s="19">
        <v>0</v>
      </c>
      <c r="AC200" s="76">
        <f t="shared" si="6"/>
        <v>5.6732401450391485</v>
      </c>
      <c r="AD200" s="77"/>
      <c r="AE200" s="72"/>
    </row>
    <row r="201" spans="2:31" x14ac:dyDescent="0.25">
      <c r="B201" s="108">
        <v>42566</v>
      </c>
      <c r="C201" s="72">
        <f t="shared" si="7"/>
        <v>197</v>
      </c>
      <c r="D201" s="19">
        <v>0</v>
      </c>
      <c r="E201" s="19">
        <v>0</v>
      </c>
      <c r="F201" s="19">
        <v>0</v>
      </c>
      <c r="G201" s="19">
        <v>0</v>
      </c>
      <c r="H201" s="19">
        <v>0</v>
      </c>
      <c r="I201" s="19">
        <v>0</v>
      </c>
      <c r="J201" s="19">
        <v>38.646086161275456</v>
      </c>
      <c r="K201" s="19">
        <v>144.28158621493239</v>
      </c>
      <c r="L201" s="19">
        <v>275.32115684005635</v>
      </c>
      <c r="M201" s="19">
        <v>412.18520013635811</v>
      </c>
      <c r="N201" s="19">
        <v>531.24530916920753</v>
      </c>
      <c r="O201" s="19">
        <v>621.39886931797446</v>
      </c>
      <c r="P201" s="19">
        <v>768.3607134804605</v>
      </c>
      <c r="Q201" s="19">
        <v>774.92900215513862</v>
      </c>
      <c r="R201" s="19">
        <v>725.26594520979529</v>
      </c>
      <c r="S201" s="19">
        <v>619.36687480562796</v>
      </c>
      <c r="T201" s="19">
        <v>460.62726416973754</v>
      </c>
      <c r="U201" s="19">
        <v>255.71144537116845</v>
      </c>
      <c r="V201" s="19">
        <v>41.241181062433164</v>
      </c>
      <c r="W201" s="19">
        <v>0</v>
      </c>
      <c r="X201" s="19">
        <v>0</v>
      </c>
      <c r="Y201" s="19">
        <v>0</v>
      </c>
      <c r="Z201" s="19">
        <v>0</v>
      </c>
      <c r="AA201" s="19">
        <v>0</v>
      </c>
      <c r="AC201" s="76">
        <f t="shared" si="6"/>
        <v>5.668580634094166</v>
      </c>
      <c r="AD201" s="77"/>
      <c r="AE201" s="72"/>
    </row>
    <row r="202" spans="2:31" x14ac:dyDescent="0.25">
      <c r="B202" s="108">
        <v>42567</v>
      </c>
      <c r="C202" s="72">
        <f t="shared" si="7"/>
        <v>198</v>
      </c>
      <c r="D202" s="19">
        <v>0</v>
      </c>
      <c r="E202" s="19">
        <v>0</v>
      </c>
      <c r="F202" s="19">
        <v>0</v>
      </c>
      <c r="G202" s="19">
        <v>0</v>
      </c>
      <c r="H202" s="19">
        <v>0</v>
      </c>
      <c r="I202" s="19">
        <v>0</v>
      </c>
      <c r="J202" s="19">
        <v>38.092331777513188</v>
      </c>
      <c r="K202" s="19">
        <v>143.50477590303845</v>
      </c>
      <c r="L202" s="19">
        <v>275.33483009012724</v>
      </c>
      <c r="M202" s="19">
        <v>411.17024792465037</v>
      </c>
      <c r="N202" s="19">
        <v>532.22536432665333</v>
      </c>
      <c r="O202" s="19">
        <v>621.13451431130829</v>
      </c>
      <c r="P202" s="19">
        <v>769.92204493008421</v>
      </c>
      <c r="Q202" s="19">
        <v>776.45570854248979</v>
      </c>
      <c r="R202" s="19">
        <v>726.53699833859264</v>
      </c>
      <c r="S202" s="19">
        <v>620.13288341561349</v>
      </c>
      <c r="T202" s="19">
        <v>460.59438139894911</v>
      </c>
      <c r="U202" s="19">
        <v>254.52739433123566</v>
      </c>
      <c r="V202" s="19">
        <v>39.86445872521783</v>
      </c>
      <c r="W202" s="19">
        <v>0</v>
      </c>
      <c r="X202" s="19">
        <v>0</v>
      </c>
      <c r="Y202" s="19">
        <v>0</v>
      </c>
      <c r="Z202" s="19">
        <v>0</v>
      </c>
      <c r="AA202" s="19">
        <v>0</v>
      </c>
      <c r="AC202" s="76">
        <f t="shared" si="6"/>
        <v>5.6694959340154725</v>
      </c>
      <c r="AD202" s="77"/>
      <c r="AE202" s="72"/>
    </row>
    <row r="203" spans="2:31" x14ac:dyDescent="0.25">
      <c r="B203" s="108">
        <v>42568</v>
      </c>
      <c r="C203" s="72">
        <f t="shared" si="7"/>
        <v>199</v>
      </c>
      <c r="D203" s="19">
        <v>0</v>
      </c>
      <c r="E203" s="19">
        <v>0</v>
      </c>
      <c r="F203" s="19">
        <v>0</v>
      </c>
      <c r="G203" s="19">
        <v>0</v>
      </c>
      <c r="H203" s="19">
        <v>0</v>
      </c>
      <c r="I203" s="19">
        <v>0</v>
      </c>
      <c r="J203" s="19">
        <v>37.759136062332544</v>
      </c>
      <c r="K203" s="19">
        <v>143.38454995582507</v>
      </c>
      <c r="L203" s="19">
        <v>275.26739336457598</v>
      </c>
      <c r="M203" s="19">
        <v>413.60297759380597</v>
      </c>
      <c r="N203" s="19">
        <v>535.1407511320308</v>
      </c>
      <c r="O203" s="19">
        <v>620.3420188438788</v>
      </c>
      <c r="P203" s="19">
        <v>771.56911171338209</v>
      </c>
      <c r="Q203" s="19">
        <v>778.06662671967433</v>
      </c>
      <c r="R203" s="19">
        <v>727.87910281474603</v>
      </c>
      <c r="S203" s="19">
        <v>620.94371461225148</v>
      </c>
      <c r="T203" s="19">
        <v>460.56476071275762</v>
      </c>
      <c r="U203" s="19">
        <v>253.28797192489949</v>
      </c>
      <c r="V203" s="19">
        <v>38.481935938682611</v>
      </c>
      <c r="W203" s="19">
        <v>0</v>
      </c>
      <c r="X203" s="19">
        <v>0</v>
      </c>
      <c r="Y203" s="19">
        <v>0</v>
      </c>
      <c r="Z203" s="19">
        <v>0</v>
      </c>
      <c r="AA203" s="19">
        <v>0</v>
      </c>
      <c r="AC203" s="76">
        <f t="shared" si="6"/>
        <v>5.6762900513888432</v>
      </c>
      <c r="AD203" s="77"/>
      <c r="AE203" s="72"/>
    </row>
    <row r="204" spans="2:31" x14ac:dyDescent="0.25">
      <c r="B204" s="108">
        <v>42569</v>
      </c>
      <c r="C204" s="72">
        <f t="shared" si="7"/>
        <v>200</v>
      </c>
      <c r="D204" s="19">
        <v>0</v>
      </c>
      <c r="E204" s="19">
        <v>0</v>
      </c>
      <c r="F204" s="19">
        <v>0</v>
      </c>
      <c r="G204" s="19">
        <v>0</v>
      </c>
      <c r="H204" s="19">
        <v>0</v>
      </c>
      <c r="I204" s="19">
        <v>0</v>
      </c>
      <c r="J204" s="19">
        <v>37.298147118835715</v>
      </c>
      <c r="K204" s="19">
        <v>143.54977463660433</v>
      </c>
      <c r="L204" s="19">
        <v>275.99770453032102</v>
      </c>
      <c r="M204" s="19">
        <v>412.68484714395095</v>
      </c>
      <c r="N204" s="19">
        <v>532.38253533616148</v>
      </c>
      <c r="O204" s="19">
        <v>621.32800933129806</v>
      </c>
      <c r="P204" s="19">
        <v>773.30071623622621</v>
      </c>
      <c r="Q204" s="19">
        <v>779.7604620749272</v>
      </c>
      <c r="R204" s="19">
        <v>729.29089227252939</v>
      </c>
      <c r="S204" s="19">
        <v>621.79790450001121</v>
      </c>
      <c r="T204" s="19">
        <v>460.53669841508167</v>
      </c>
      <c r="U204" s="19">
        <v>251.9911056150161</v>
      </c>
      <c r="V204" s="19">
        <v>37.102854006711041</v>
      </c>
      <c r="W204" s="19">
        <v>0</v>
      </c>
      <c r="X204" s="19">
        <v>0</v>
      </c>
      <c r="Y204" s="19">
        <v>0</v>
      </c>
      <c r="Z204" s="19">
        <v>0</v>
      </c>
      <c r="AA204" s="19">
        <v>0</v>
      </c>
      <c r="AC204" s="76">
        <f t="shared" si="6"/>
        <v>5.6770216512176734</v>
      </c>
      <c r="AD204" s="77"/>
      <c r="AE204" s="72"/>
    </row>
    <row r="205" spans="2:31" x14ac:dyDescent="0.25">
      <c r="B205" s="108">
        <v>42570</v>
      </c>
      <c r="C205" s="72">
        <f t="shared" si="7"/>
        <v>201</v>
      </c>
      <c r="D205" s="19">
        <v>0</v>
      </c>
      <c r="E205" s="19">
        <v>0</v>
      </c>
      <c r="F205" s="19">
        <v>0</v>
      </c>
      <c r="G205" s="19">
        <v>0</v>
      </c>
      <c r="H205" s="19">
        <v>0</v>
      </c>
      <c r="I205" s="19">
        <v>0</v>
      </c>
      <c r="J205" s="19">
        <v>37.049289387831649</v>
      </c>
      <c r="K205" s="19">
        <v>143.79457315547256</v>
      </c>
      <c r="L205" s="19">
        <v>276.2380440289196</v>
      </c>
      <c r="M205" s="19">
        <v>412.17747391213703</v>
      </c>
      <c r="N205" s="19">
        <v>533.54812892883342</v>
      </c>
      <c r="O205" s="19">
        <v>623.42734144125734</v>
      </c>
      <c r="P205" s="19">
        <v>775.11560263855381</v>
      </c>
      <c r="Q205" s="19">
        <v>781.53585733625016</v>
      </c>
      <c r="R205" s="19">
        <v>730.77093492084668</v>
      </c>
      <c r="S205" s="19">
        <v>622.69392012122603</v>
      </c>
      <c r="T205" s="19">
        <v>460.50841168315162</v>
      </c>
      <c r="U205" s="19">
        <v>250.63464360721278</v>
      </c>
      <c r="V205" s="19">
        <v>35.73778781033041</v>
      </c>
      <c r="W205" s="19">
        <v>0</v>
      </c>
      <c r="X205" s="19">
        <v>0</v>
      </c>
      <c r="Y205" s="19">
        <v>0</v>
      </c>
      <c r="Z205" s="19">
        <v>0</v>
      </c>
      <c r="AA205" s="19">
        <v>0</v>
      </c>
      <c r="AC205" s="76">
        <f t="shared" si="6"/>
        <v>5.6832320089720234</v>
      </c>
      <c r="AD205" s="77"/>
      <c r="AE205" s="72"/>
    </row>
    <row r="206" spans="2:31" x14ac:dyDescent="0.25">
      <c r="B206" s="108">
        <v>42571</v>
      </c>
      <c r="C206" s="72">
        <f t="shared" si="7"/>
        <v>202</v>
      </c>
      <c r="D206" s="19">
        <v>0</v>
      </c>
      <c r="E206" s="19">
        <v>0</v>
      </c>
      <c r="F206" s="19">
        <v>0</v>
      </c>
      <c r="G206" s="19">
        <v>0</v>
      </c>
      <c r="H206" s="19">
        <v>0</v>
      </c>
      <c r="I206" s="19">
        <v>0</v>
      </c>
      <c r="J206" s="19">
        <v>36.357616245840596</v>
      </c>
      <c r="K206" s="19">
        <v>141.98729257764961</v>
      </c>
      <c r="L206" s="19">
        <v>273.33513826924212</v>
      </c>
      <c r="M206" s="19">
        <v>408.87858519950061</v>
      </c>
      <c r="N206" s="19">
        <v>529.48703019285131</v>
      </c>
      <c r="O206" s="19">
        <v>619.8666839889496</v>
      </c>
      <c r="P206" s="19">
        <v>777.01245620521843</v>
      </c>
      <c r="Q206" s="19">
        <v>783.39139196890244</v>
      </c>
      <c r="R206" s="19">
        <v>732.31773297945404</v>
      </c>
      <c r="S206" s="19">
        <v>623.63015894017769</v>
      </c>
      <c r="T206" s="19">
        <v>460.47803804234343</v>
      </c>
      <c r="U206" s="19">
        <v>249.21635716693973</v>
      </c>
      <c r="V206" s="19">
        <v>34.398883421549165</v>
      </c>
      <c r="W206" s="19">
        <v>0</v>
      </c>
      <c r="X206" s="19">
        <v>0</v>
      </c>
      <c r="Y206" s="19">
        <v>0</v>
      </c>
      <c r="Z206" s="19">
        <v>0</v>
      </c>
      <c r="AA206" s="19">
        <v>0</v>
      </c>
      <c r="AC206" s="76">
        <f t="shared" si="6"/>
        <v>5.6703573651986181</v>
      </c>
      <c r="AD206" s="77"/>
      <c r="AE206" s="72"/>
    </row>
    <row r="207" spans="2:31" x14ac:dyDescent="0.25">
      <c r="B207" s="108">
        <v>42572</v>
      </c>
      <c r="C207" s="72">
        <f t="shared" si="7"/>
        <v>203</v>
      </c>
      <c r="D207" s="19">
        <v>0</v>
      </c>
      <c r="E207" s="19">
        <v>0</v>
      </c>
      <c r="F207" s="19">
        <v>0</v>
      </c>
      <c r="G207" s="19">
        <v>0</v>
      </c>
      <c r="H207" s="19">
        <v>0</v>
      </c>
      <c r="I207" s="19">
        <v>0</v>
      </c>
      <c r="J207" s="19">
        <v>35.778022758726046</v>
      </c>
      <c r="K207" s="19">
        <v>141.88831111555822</v>
      </c>
      <c r="L207" s="19">
        <v>274.77738821830735</v>
      </c>
      <c r="M207" s="19">
        <v>410.897106957505</v>
      </c>
      <c r="N207" s="19">
        <v>532.16690342042182</v>
      </c>
      <c r="O207" s="19">
        <v>622.63751921177504</v>
      </c>
      <c r="P207" s="19">
        <v>778.98990279572763</v>
      </c>
      <c r="Q207" s="19">
        <v>785.32558159370853</v>
      </c>
      <c r="R207" s="19">
        <v>733.92972213749943</v>
      </c>
      <c r="S207" s="19">
        <v>624.60494834981648</v>
      </c>
      <c r="T207" s="19">
        <v>460.44363486839006</v>
      </c>
      <c r="U207" s="19">
        <v>247.73394334228826</v>
      </c>
      <c r="V207" s="19">
        <v>33.100162254715741</v>
      </c>
      <c r="W207" s="19">
        <v>0</v>
      </c>
      <c r="X207" s="19">
        <v>0</v>
      </c>
      <c r="Y207" s="19">
        <v>0</v>
      </c>
      <c r="Z207" s="19">
        <v>0</v>
      </c>
      <c r="AA207" s="19">
        <v>0</v>
      </c>
      <c r="AC207" s="76">
        <f t="shared" si="6"/>
        <v>5.6822731470244401</v>
      </c>
      <c r="AD207" s="77"/>
      <c r="AE207" s="72"/>
    </row>
    <row r="208" spans="2:31" x14ac:dyDescent="0.25">
      <c r="B208" s="108">
        <v>42573</v>
      </c>
      <c r="C208" s="72">
        <f t="shared" si="7"/>
        <v>204</v>
      </c>
      <c r="D208" s="19">
        <v>0</v>
      </c>
      <c r="E208" s="19">
        <v>0</v>
      </c>
      <c r="F208" s="19">
        <v>0</v>
      </c>
      <c r="G208" s="19">
        <v>0</v>
      </c>
      <c r="H208" s="19">
        <v>0</v>
      </c>
      <c r="I208" s="19">
        <v>0</v>
      </c>
      <c r="J208" s="19">
        <v>35.783265721708275</v>
      </c>
      <c r="K208" s="19">
        <v>142.04101059458151</v>
      </c>
      <c r="L208" s="19">
        <v>275.04100799019227</v>
      </c>
      <c r="M208" s="19">
        <v>411.67997542468839</v>
      </c>
      <c r="N208" s="19">
        <v>534.54523370106995</v>
      </c>
      <c r="O208" s="19">
        <v>628.06032256235108</v>
      </c>
      <c r="P208" s="19">
        <v>781.04650829834304</v>
      </c>
      <c r="Q208" s="19">
        <v>787.33687743194218</v>
      </c>
      <c r="R208" s="19">
        <v>735.6052710400844</v>
      </c>
      <c r="S208" s="19">
        <v>625.61654520656271</v>
      </c>
      <c r="T208" s="19">
        <v>460.40317892336225</v>
      </c>
      <c r="U208" s="19">
        <v>246.18502814563706</v>
      </c>
      <c r="V208" s="19">
        <v>31.857918704289169</v>
      </c>
      <c r="W208" s="19">
        <v>0</v>
      </c>
      <c r="X208" s="19">
        <v>0</v>
      </c>
      <c r="Y208" s="19">
        <v>0</v>
      </c>
      <c r="Z208" s="19">
        <v>0</v>
      </c>
      <c r="AA208" s="19">
        <v>0</v>
      </c>
      <c r="AC208" s="76">
        <f t="shared" si="6"/>
        <v>5.6952021437448117</v>
      </c>
      <c r="AD208" s="77"/>
      <c r="AE208" s="72"/>
    </row>
    <row r="209" spans="2:31" x14ac:dyDescent="0.25">
      <c r="B209" s="108">
        <v>42574</v>
      </c>
      <c r="C209" s="72">
        <f t="shared" si="7"/>
        <v>205</v>
      </c>
      <c r="D209" s="19">
        <v>0</v>
      </c>
      <c r="E209" s="19">
        <v>0</v>
      </c>
      <c r="F209" s="19">
        <v>0</v>
      </c>
      <c r="G209" s="19">
        <v>0</v>
      </c>
      <c r="H209" s="19">
        <v>0</v>
      </c>
      <c r="I209" s="19">
        <v>0</v>
      </c>
      <c r="J209" s="19">
        <v>35.479176470053787</v>
      </c>
      <c r="K209" s="19">
        <v>142.85118646290618</v>
      </c>
      <c r="L209" s="19">
        <v>278.25025531983937</v>
      </c>
      <c r="M209" s="19">
        <v>415.23635172757793</v>
      </c>
      <c r="N209" s="19">
        <v>537.59751494518457</v>
      </c>
      <c r="O209" s="19">
        <v>627.17933904295512</v>
      </c>
      <c r="P209" s="19">
        <v>783.18077811410069</v>
      </c>
      <c r="Q209" s="19">
        <v>789.42366578265012</v>
      </c>
      <c r="R209" s="19">
        <v>737.34268080866025</v>
      </c>
      <c r="S209" s="19">
        <v>626.66313539876626</v>
      </c>
      <c r="T209" s="19">
        <v>460.35456593209955</v>
      </c>
      <c r="U209" s="19">
        <v>244.56717025303021</v>
      </c>
      <c r="V209" s="19">
        <v>30.691251113465018</v>
      </c>
      <c r="W209" s="19">
        <v>0</v>
      </c>
      <c r="X209" s="19">
        <v>0</v>
      </c>
      <c r="Y209" s="19">
        <v>0</v>
      </c>
      <c r="Z209" s="19">
        <v>0</v>
      </c>
      <c r="AA209" s="19">
        <v>0</v>
      </c>
      <c r="AC209" s="76">
        <f t="shared" si="6"/>
        <v>5.7088170713712891</v>
      </c>
      <c r="AD209" s="77"/>
      <c r="AE209" s="72"/>
    </row>
    <row r="210" spans="2:31" x14ac:dyDescent="0.25">
      <c r="B210" s="108">
        <v>42575</v>
      </c>
      <c r="C210" s="72">
        <f t="shared" si="7"/>
        <v>206</v>
      </c>
      <c r="D210" s="19">
        <v>0</v>
      </c>
      <c r="E210" s="19">
        <v>0</v>
      </c>
      <c r="F210" s="19">
        <v>0</v>
      </c>
      <c r="G210" s="19">
        <v>0</v>
      </c>
      <c r="H210" s="19">
        <v>0</v>
      </c>
      <c r="I210" s="19">
        <v>0</v>
      </c>
      <c r="J210" s="19">
        <v>35.159365977819682</v>
      </c>
      <c r="K210" s="19">
        <v>142.60369337661859</v>
      </c>
      <c r="L210" s="19">
        <v>277.79584127076777</v>
      </c>
      <c r="M210" s="19">
        <v>417.7357890542267</v>
      </c>
      <c r="N210" s="19">
        <v>537.16481131442913</v>
      </c>
      <c r="O210" s="19">
        <v>628.12189943407895</v>
      </c>
      <c r="P210" s="19">
        <v>785.391156676386</v>
      </c>
      <c r="Q210" s="19">
        <v>791.58426753833692</v>
      </c>
      <c r="R210" s="19">
        <v>739.1401846011338</v>
      </c>
      <c r="S210" s="19">
        <v>627.74283345447441</v>
      </c>
      <c r="T210" s="19">
        <v>460.29561020605502</v>
      </c>
      <c r="U210" s="19">
        <v>242.87786528660749</v>
      </c>
      <c r="V210" s="19">
        <v>29.622785621156119</v>
      </c>
      <c r="W210" s="19">
        <v>0</v>
      </c>
      <c r="X210" s="19">
        <v>0</v>
      </c>
      <c r="Y210" s="19">
        <v>0</v>
      </c>
      <c r="Z210" s="19">
        <v>0</v>
      </c>
      <c r="AA210" s="19">
        <v>0</v>
      </c>
      <c r="AC210" s="76">
        <f t="shared" si="6"/>
        <v>5.7152361038120914</v>
      </c>
      <c r="AD210" s="77"/>
      <c r="AE210" s="72"/>
    </row>
    <row r="211" spans="2:31" x14ac:dyDescent="0.25">
      <c r="B211" s="108">
        <v>42576</v>
      </c>
      <c r="C211" s="72">
        <f t="shared" si="7"/>
        <v>207</v>
      </c>
      <c r="D211" s="19">
        <v>0</v>
      </c>
      <c r="E211" s="19">
        <v>0</v>
      </c>
      <c r="F211" s="19">
        <v>0</v>
      </c>
      <c r="G211" s="19">
        <v>0</v>
      </c>
      <c r="H211" s="19">
        <v>0</v>
      </c>
      <c r="I211" s="19">
        <v>0</v>
      </c>
      <c r="J211" s="19">
        <v>34.698791787934681</v>
      </c>
      <c r="K211" s="19">
        <v>142.0214470189101</v>
      </c>
      <c r="L211" s="19">
        <v>275.82092250425387</v>
      </c>
      <c r="M211" s="19">
        <v>416.45622997389967</v>
      </c>
      <c r="N211" s="19">
        <v>539.97951297247573</v>
      </c>
      <c r="O211" s="19">
        <v>631.65204887215657</v>
      </c>
      <c r="P211" s="19">
        <v>787.67602701172927</v>
      </c>
      <c r="Q211" s="19">
        <v>793.81693774499604</v>
      </c>
      <c r="R211" s="19">
        <v>740.99594721763322</v>
      </c>
      <c r="S211" s="19">
        <v>628.85368219426471</v>
      </c>
      <c r="T211" s="19">
        <v>460.22404432182475</v>
      </c>
      <c r="U211" s="19">
        <v>241.11455075257336</v>
      </c>
      <c r="V211" s="19">
        <v>28.679682884793046</v>
      </c>
      <c r="W211" s="19">
        <v>0</v>
      </c>
      <c r="X211" s="19">
        <v>0</v>
      </c>
      <c r="Y211" s="19">
        <v>0</v>
      </c>
      <c r="Z211" s="19">
        <v>0</v>
      </c>
      <c r="AA211" s="19">
        <v>0</v>
      </c>
      <c r="AC211" s="76">
        <f t="shared" si="6"/>
        <v>5.7219898252574453</v>
      </c>
      <c r="AD211" s="77"/>
      <c r="AE211" s="72"/>
    </row>
    <row r="212" spans="2:31" x14ac:dyDescent="0.25">
      <c r="B212" s="108">
        <v>42577</v>
      </c>
      <c r="C212" s="72">
        <f t="shared" si="7"/>
        <v>208</v>
      </c>
      <c r="D212" s="19">
        <v>0</v>
      </c>
      <c r="E212" s="19">
        <v>0</v>
      </c>
      <c r="F212" s="19">
        <v>0</v>
      </c>
      <c r="G212" s="19">
        <v>0</v>
      </c>
      <c r="H212" s="19">
        <v>0</v>
      </c>
      <c r="I212" s="19">
        <v>0</v>
      </c>
      <c r="J212" s="19">
        <v>34.025027270215141</v>
      </c>
      <c r="K212" s="19">
        <v>141.10844801608442</v>
      </c>
      <c r="L212" s="19">
        <v>275.24775830093085</v>
      </c>
      <c r="M212" s="19">
        <v>414.45006992198023</v>
      </c>
      <c r="N212" s="19">
        <v>537.54500162379395</v>
      </c>
      <c r="O212" s="19">
        <v>631.9143402473627</v>
      </c>
      <c r="P212" s="19">
        <v>790.03371034753036</v>
      </c>
      <c r="Q212" s="19">
        <v>796.11986521249696</v>
      </c>
      <c r="R212" s="19">
        <v>742.90806475790578</v>
      </c>
      <c r="S212" s="19">
        <v>629.99365243494719</v>
      </c>
      <c r="T212" s="19">
        <v>460.13751886194154</v>
      </c>
      <c r="U212" s="19">
        <v>239.27461171506326</v>
      </c>
      <c r="V212" s="19">
        <v>27.895065272271648</v>
      </c>
      <c r="W212" s="19">
        <v>0</v>
      </c>
      <c r="X212" s="19">
        <v>0</v>
      </c>
      <c r="Y212" s="19">
        <v>0</v>
      </c>
      <c r="Z212" s="19">
        <v>0</v>
      </c>
      <c r="AA212" s="19">
        <v>0</v>
      </c>
      <c r="AC212" s="76">
        <f t="shared" si="6"/>
        <v>5.7206531339825242</v>
      </c>
      <c r="AD212" s="77"/>
      <c r="AE212" s="72"/>
    </row>
    <row r="213" spans="2:31" x14ac:dyDescent="0.25">
      <c r="B213" s="108">
        <v>42578</v>
      </c>
      <c r="C213" s="72">
        <f t="shared" si="7"/>
        <v>209</v>
      </c>
      <c r="D213" s="19">
        <v>0</v>
      </c>
      <c r="E213" s="19">
        <v>0</v>
      </c>
      <c r="F213" s="19">
        <v>0</v>
      </c>
      <c r="G213" s="19">
        <v>0</v>
      </c>
      <c r="H213" s="19">
        <v>0</v>
      </c>
      <c r="I213" s="19">
        <v>0</v>
      </c>
      <c r="J213" s="19">
        <v>33.61650031174662</v>
      </c>
      <c r="K213" s="19">
        <v>141.33630284840353</v>
      </c>
      <c r="L213" s="19">
        <v>277.26783175792849</v>
      </c>
      <c r="M213" s="19">
        <v>416.81580450115376</v>
      </c>
      <c r="N213" s="19">
        <v>542.27909448516834</v>
      </c>
      <c r="O213" s="19">
        <v>633.80733184358439</v>
      </c>
      <c r="P213" s="19">
        <v>792.46246577243403</v>
      </c>
      <c r="Q213" s="19">
        <v>798.49117218137189</v>
      </c>
      <c r="R213" s="19">
        <v>744.87456433637283</v>
      </c>
      <c r="S213" s="19">
        <v>631.1606427500077</v>
      </c>
      <c r="T213" s="19">
        <v>460.03360222583058</v>
      </c>
      <c r="U213" s="19">
        <v>237.35538729502633</v>
      </c>
      <c r="V213" s="19">
        <v>27.310077276786782</v>
      </c>
      <c r="W213" s="19">
        <v>0</v>
      </c>
      <c r="X213" s="19">
        <v>0</v>
      </c>
      <c r="Y213" s="19">
        <v>0</v>
      </c>
      <c r="Z213" s="19">
        <v>0</v>
      </c>
      <c r="AA213" s="19">
        <v>0</v>
      </c>
      <c r="AC213" s="76">
        <f t="shared" si="6"/>
        <v>5.7368107775858146</v>
      </c>
      <c r="AD213" s="77"/>
      <c r="AE213" s="72"/>
    </row>
    <row r="214" spans="2:31" x14ac:dyDescent="0.25">
      <c r="B214" s="108">
        <v>42579</v>
      </c>
      <c r="C214" s="72">
        <f t="shared" si="7"/>
        <v>210</v>
      </c>
      <c r="D214" s="19">
        <v>0</v>
      </c>
      <c r="E214" s="19">
        <v>0</v>
      </c>
      <c r="F214" s="19">
        <v>0</v>
      </c>
      <c r="G214" s="19">
        <v>0</v>
      </c>
      <c r="H214" s="19">
        <v>0</v>
      </c>
      <c r="I214" s="19">
        <v>0</v>
      </c>
      <c r="J214" s="19">
        <v>33.345691250339762</v>
      </c>
      <c r="K214" s="19">
        <v>141.41085253717944</v>
      </c>
      <c r="L214" s="19">
        <v>277.10447405172073</v>
      </c>
      <c r="M214" s="19">
        <v>418.11631520353927</v>
      </c>
      <c r="N214" s="19">
        <v>542.05841111265261</v>
      </c>
      <c r="O214" s="19">
        <v>632.49730317055776</v>
      </c>
      <c r="P214" s="19">
        <v>794.96048995506521</v>
      </c>
      <c r="Q214" s="19">
        <v>800.92891405201703</v>
      </c>
      <c r="R214" s="19">
        <v>746.89340386084723</v>
      </c>
      <c r="S214" s="19">
        <v>632.35247929270588</v>
      </c>
      <c r="T214" s="19">
        <v>459.90978051918114</v>
      </c>
      <c r="U214" s="19">
        <v>235.35417809288535</v>
      </c>
      <c r="V214" s="19">
        <v>26.976911464834643</v>
      </c>
      <c r="W214" s="19">
        <v>0</v>
      </c>
      <c r="X214" s="19">
        <v>0</v>
      </c>
      <c r="Y214" s="19">
        <v>0</v>
      </c>
      <c r="Z214" s="19">
        <v>0</v>
      </c>
      <c r="AA214" s="19">
        <v>0</v>
      </c>
      <c r="AC214" s="76">
        <f t="shared" si="6"/>
        <v>5.7419092045635258</v>
      </c>
      <c r="AD214" s="77"/>
      <c r="AE214" s="72"/>
    </row>
    <row r="215" spans="2:31" x14ac:dyDescent="0.25">
      <c r="B215" s="108">
        <v>42580</v>
      </c>
      <c r="C215" s="72">
        <f t="shared" si="7"/>
        <v>211</v>
      </c>
      <c r="D215" s="19">
        <v>0</v>
      </c>
      <c r="E215" s="19">
        <v>0</v>
      </c>
      <c r="F215" s="19">
        <v>0</v>
      </c>
      <c r="G215" s="19">
        <v>0</v>
      </c>
      <c r="H215" s="19">
        <v>0</v>
      </c>
      <c r="I215" s="19">
        <v>0</v>
      </c>
      <c r="J215" s="19">
        <v>32.516494922966103</v>
      </c>
      <c r="K215" s="19">
        <v>140.23172019810403</v>
      </c>
      <c r="L215" s="19">
        <v>277.07715602333985</v>
      </c>
      <c r="M215" s="19">
        <v>419.55756934562442</v>
      </c>
      <c r="N215" s="19">
        <v>544.60886175234452</v>
      </c>
      <c r="O215" s="19">
        <v>638.58108878712392</v>
      </c>
      <c r="P215" s="19">
        <v>797.52591692681517</v>
      </c>
      <c r="Q215" s="19">
        <v>803.43107918233568</v>
      </c>
      <c r="R215" s="19">
        <v>748.96247188092707</v>
      </c>
      <c r="S215" s="19">
        <v>633.56691568776046</v>
      </c>
      <c r="T215" s="19">
        <v>459.76345753031632</v>
      </c>
      <c r="U215" s="19">
        <v>233.26825464436595</v>
      </c>
      <c r="V215" s="19">
        <v>26.963322685786572</v>
      </c>
      <c r="W215" s="19">
        <v>0</v>
      </c>
      <c r="X215" s="19">
        <v>0</v>
      </c>
      <c r="Y215" s="19">
        <v>0</v>
      </c>
      <c r="Z215" s="19">
        <v>0</v>
      </c>
      <c r="AA215" s="19">
        <v>0</v>
      </c>
      <c r="AC215" s="76">
        <f t="shared" si="6"/>
        <v>5.7560543095678103</v>
      </c>
      <c r="AD215" s="77"/>
      <c r="AE215" s="72"/>
    </row>
    <row r="216" spans="2:31" x14ac:dyDescent="0.25">
      <c r="B216" s="108">
        <v>42581</v>
      </c>
      <c r="C216" s="72">
        <f t="shared" si="7"/>
        <v>212</v>
      </c>
      <c r="D216" s="19">
        <v>0</v>
      </c>
      <c r="E216" s="19">
        <v>0</v>
      </c>
      <c r="F216" s="19">
        <v>0</v>
      </c>
      <c r="G216" s="19">
        <v>0</v>
      </c>
      <c r="H216" s="19">
        <v>0</v>
      </c>
      <c r="I216" s="19">
        <v>0</v>
      </c>
      <c r="J216" s="19">
        <v>31.794419976993655</v>
      </c>
      <c r="K216" s="19">
        <v>139.27505589017341</v>
      </c>
      <c r="L216" s="19">
        <v>276.46355847711254</v>
      </c>
      <c r="M216" s="19">
        <v>418.16816557502216</v>
      </c>
      <c r="N216" s="19">
        <v>543.84307845930618</v>
      </c>
      <c r="O216" s="19">
        <v>637.61482906113122</v>
      </c>
      <c r="P216" s="19">
        <v>800.15681793432145</v>
      </c>
      <c r="Q216" s="19">
        <v>805.99558875977505</v>
      </c>
      <c r="R216" s="19">
        <v>751.07958751203921</v>
      </c>
      <c r="S216" s="19">
        <v>634.80163299757851</v>
      </c>
      <c r="T216" s="19">
        <v>459.59195480255556</v>
      </c>
      <c r="U216" s="19">
        <v>231.09486703063598</v>
      </c>
      <c r="V216" s="19">
        <v>27.359453394342683</v>
      </c>
      <c r="W216" s="19">
        <v>0</v>
      </c>
      <c r="X216" s="19">
        <v>0</v>
      </c>
      <c r="Y216" s="19">
        <v>0</v>
      </c>
      <c r="Z216" s="19">
        <v>0</v>
      </c>
      <c r="AA216" s="19">
        <v>0</v>
      </c>
      <c r="AC216" s="76">
        <f t="shared" si="6"/>
        <v>5.7572390098709878</v>
      </c>
      <c r="AD216" s="77"/>
      <c r="AE216" s="72"/>
    </row>
    <row r="217" spans="2:31" x14ac:dyDescent="0.25">
      <c r="B217" s="108">
        <v>42582</v>
      </c>
      <c r="C217" s="72">
        <f t="shared" si="7"/>
        <v>213</v>
      </c>
      <c r="D217" s="19">
        <v>0</v>
      </c>
      <c r="E217" s="19">
        <v>0</v>
      </c>
      <c r="F217" s="19">
        <v>0</v>
      </c>
      <c r="G217" s="19">
        <v>0</v>
      </c>
      <c r="H217" s="19">
        <v>0</v>
      </c>
      <c r="I217" s="19">
        <v>0</v>
      </c>
      <c r="J217" s="19">
        <v>31.245695946605675</v>
      </c>
      <c r="K217" s="19">
        <v>138.70646433455292</v>
      </c>
      <c r="L217" s="19">
        <v>276.19445291094115</v>
      </c>
      <c r="M217" s="19">
        <v>418.95899662488262</v>
      </c>
      <c r="N217" s="19">
        <v>546.07378491981751</v>
      </c>
      <c r="O217" s="19">
        <v>638.26887308088772</v>
      </c>
      <c r="P217" s="19">
        <v>802.85120136723447</v>
      </c>
      <c r="Q217" s="19">
        <v>808.62029675367376</v>
      </c>
      <c r="R217" s="19">
        <v>753.24250044106361</v>
      </c>
      <c r="S217" s="19">
        <v>636.05423976897725</v>
      </c>
      <c r="T217" s="19">
        <v>459.39251181192839</v>
      </c>
      <c r="U217" s="19">
        <v>228.83125577673812</v>
      </c>
      <c r="V217" s="19">
        <v>28.288250029641489</v>
      </c>
      <c r="W217" s="19">
        <v>0</v>
      </c>
      <c r="X217" s="19">
        <v>0</v>
      </c>
      <c r="Y217" s="19">
        <v>0</v>
      </c>
      <c r="Z217" s="19">
        <v>0</v>
      </c>
      <c r="AA217" s="19">
        <v>0</v>
      </c>
      <c r="AC217" s="76">
        <f t="shared" si="6"/>
        <v>5.766728523766945</v>
      </c>
      <c r="AD217" s="77"/>
      <c r="AE217" s="72"/>
    </row>
    <row r="218" spans="2:31" x14ac:dyDescent="0.25">
      <c r="B218" s="108">
        <v>42583</v>
      </c>
      <c r="C218" s="72">
        <f t="shared" si="7"/>
        <v>214</v>
      </c>
      <c r="D218" s="19">
        <v>0</v>
      </c>
      <c r="E218" s="19">
        <v>0</v>
      </c>
      <c r="F218" s="19">
        <v>0</v>
      </c>
      <c r="G218" s="19">
        <v>0</v>
      </c>
      <c r="H218" s="19">
        <v>0</v>
      </c>
      <c r="I218" s="19">
        <v>0</v>
      </c>
      <c r="J218" s="19">
        <v>31.55063546940691</v>
      </c>
      <c r="K218" s="19">
        <v>141.06832472500093</v>
      </c>
      <c r="L218" s="19">
        <v>278.82806053486541</v>
      </c>
      <c r="M218" s="19">
        <v>421.2487390751798</v>
      </c>
      <c r="N218" s="19">
        <v>548.51256355864064</v>
      </c>
      <c r="O218" s="19">
        <v>644.41728656393013</v>
      </c>
      <c r="P218" s="19">
        <v>805.60701276675525</v>
      </c>
      <c r="Q218" s="19">
        <v>811.30298995373948</v>
      </c>
      <c r="R218" s="19">
        <v>755.44889101940043</v>
      </c>
      <c r="S218" s="19">
        <v>637.32227216633487</v>
      </c>
      <c r="T218" s="19">
        <v>459.16228626005125</v>
      </c>
      <c r="U218" s="19">
        <v>226.47466418644044</v>
      </c>
      <c r="V218" s="19">
        <v>29.921386760260663</v>
      </c>
      <c r="W218" s="19">
        <v>0</v>
      </c>
      <c r="X218" s="19">
        <v>0</v>
      </c>
      <c r="Y218" s="19">
        <v>0</v>
      </c>
      <c r="Z218" s="19">
        <v>0</v>
      </c>
      <c r="AA218" s="19">
        <v>0</v>
      </c>
      <c r="AC218" s="76">
        <f t="shared" si="6"/>
        <v>5.7908651130400068</v>
      </c>
      <c r="AD218" s="77"/>
      <c r="AE218" s="72"/>
    </row>
    <row r="219" spans="2:31" x14ac:dyDescent="0.25">
      <c r="B219" s="108">
        <v>42584</v>
      </c>
      <c r="C219" s="72">
        <f t="shared" si="7"/>
        <v>215</v>
      </c>
      <c r="D219" s="19">
        <v>0</v>
      </c>
      <c r="E219" s="19">
        <v>0</v>
      </c>
      <c r="F219" s="19">
        <v>0</v>
      </c>
      <c r="G219" s="19">
        <v>0</v>
      </c>
      <c r="H219" s="19">
        <v>0</v>
      </c>
      <c r="I219" s="19">
        <v>0</v>
      </c>
      <c r="J219" s="19">
        <v>30.288967782485336</v>
      </c>
      <c r="K219" s="19">
        <v>138.50061837880008</v>
      </c>
      <c r="L219" s="19">
        <v>277.69799519936925</v>
      </c>
      <c r="M219" s="19">
        <v>421.24625214056675</v>
      </c>
      <c r="N219" s="19">
        <v>549.09705024204482</v>
      </c>
      <c r="O219" s="19">
        <v>646.02717679562716</v>
      </c>
      <c r="P219" s="19">
        <v>808.42213492036728</v>
      </c>
      <c r="Q219" s="19">
        <v>814.04138810038523</v>
      </c>
      <c r="R219" s="19">
        <v>757.69637044925503</v>
      </c>
      <c r="S219" s="19">
        <v>638.60319419708037</v>
      </c>
      <c r="T219" s="19">
        <v>458.89835449241474</v>
      </c>
      <c r="U219" s="19">
        <v>224.02235227702562</v>
      </c>
      <c r="V219" s="19">
        <v>32.503288736447466</v>
      </c>
      <c r="W219" s="19">
        <v>0</v>
      </c>
      <c r="X219" s="19">
        <v>0</v>
      </c>
      <c r="Y219" s="19">
        <v>0</v>
      </c>
      <c r="Z219" s="19">
        <v>0</v>
      </c>
      <c r="AA219" s="19">
        <v>0</v>
      </c>
      <c r="AC219" s="76">
        <f t="shared" si="6"/>
        <v>5.7970451437118697</v>
      </c>
      <c r="AD219" s="77"/>
      <c r="AE219" s="72"/>
    </row>
    <row r="220" spans="2:31" x14ac:dyDescent="0.25">
      <c r="B220" s="108">
        <v>42585</v>
      </c>
      <c r="C220" s="72">
        <f t="shared" si="7"/>
        <v>216</v>
      </c>
      <c r="D220" s="19">
        <v>0</v>
      </c>
      <c r="E220" s="19">
        <v>0</v>
      </c>
      <c r="F220" s="19">
        <v>0</v>
      </c>
      <c r="G220" s="19">
        <v>0</v>
      </c>
      <c r="H220" s="19">
        <v>0</v>
      </c>
      <c r="I220" s="19">
        <v>0</v>
      </c>
      <c r="J220" s="19">
        <v>29.727989346081099</v>
      </c>
      <c r="K220" s="19">
        <v>137.94330128833781</v>
      </c>
      <c r="L220" s="19">
        <v>277.60864145139573</v>
      </c>
      <c r="M220" s="19">
        <v>422.19466688092922</v>
      </c>
      <c r="N220" s="19">
        <v>551.30672085591004</v>
      </c>
      <c r="O220" s="19">
        <v>647.72433715374666</v>
      </c>
      <c r="P220" s="19">
        <v>811.2943880480218</v>
      </c>
      <c r="Q220" s="19">
        <v>816.83314411252604</v>
      </c>
      <c r="R220" s="19">
        <v>759.98248106881545</v>
      </c>
      <c r="S220" s="19">
        <v>639.89439803539153</v>
      </c>
      <c r="T220" s="19">
        <v>458.59771205283096</v>
      </c>
      <c r="U220" s="19">
        <v>221.47161249434276</v>
      </c>
      <c r="V220" s="19">
        <v>36.385794715176324</v>
      </c>
      <c r="W220" s="19">
        <v>0</v>
      </c>
      <c r="X220" s="19">
        <v>0</v>
      </c>
      <c r="Y220" s="19">
        <v>0</v>
      </c>
      <c r="Z220" s="19">
        <v>0</v>
      </c>
      <c r="AA220" s="19">
        <v>0</v>
      </c>
      <c r="AC220" s="76">
        <f t="shared" si="6"/>
        <v>5.8109651875035064</v>
      </c>
      <c r="AD220" s="77"/>
      <c r="AE220" s="72"/>
    </row>
    <row r="221" spans="2:31" x14ac:dyDescent="0.25">
      <c r="B221" s="108">
        <v>42586</v>
      </c>
      <c r="C221" s="72">
        <f t="shared" si="7"/>
        <v>217</v>
      </c>
      <c r="D221" s="19">
        <v>0</v>
      </c>
      <c r="E221" s="19">
        <v>0</v>
      </c>
      <c r="F221" s="19">
        <v>0</v>
      </c>
      <c r="G221" s="19">
        <v>0</v>
      </c>
      <c r="H221" s="19">
        <v>0</v>
      </c>
      <c r="I221" s="19">
        <v>0</v>
      </c>
      <c r="J221" s="19">
        <v>29.229045303883314</v>
      </c>
      <c r="K221" s="19">
        <v>137.91669015675106</v>
      </c>
      <c r="L221" s="19">
        <v>277.20672572870967</v>
      </c>
      <c r="M221" s="19">
        <v>421.78006193942809</v>
      </c>
      <c r="N221" s="19">
        <v>556.49166402311403</v>
      </c>
      <c r="O221" s="19">
        <v>649.59602557458561</v>
      </c>
      <c r="P221" s="19">
        <v>814.22153008493274</v>
      </c>
      <c r="Q221" s="19">
        <v>819.67584441829354</v>
      </c>
      <c r="R221" s="19">
        <v>762.30469674186725</v>
      </c>
      <c r="S221" s="19">
        <v>641.19320444990478</v>
      </c>
      <c r="T221" s="19">
        <v>458.25727438530697</v>
      </c>
      <c r="U221" s="19">
        <v>218.8197874066297</v>
      </c>
      <c r="V221" s="19">
        <v>42.072414665140322</v>
      </c>
      <c r="W221" s="19">
        <v>0</v>
      </c>
      <c r="X221" s="19">
        <v>0</v>
      </c>
      <c r="Y221" s="19">
        <v>0</v>
      </c>
      <c r="Z221" s="19">
        <v>0</v>
      </c>
      <c r="AA221" s="19">
        <v>0</v>
      </c>
      <c r="AC221" s="76">
        <f t="shared" si="6"/>
        <v>5.8287649648785473</v>
      </c>
      <c r="AD221" s="77"/>
      <c r="AE221" s="72"/>
    </row>
    <row r="222" spans="2:31" x14ac:dyDescent="0.25">
      <c r="B222" s="108">
        <v>42587</v>
      </c>
      <c r="C222" s="72">
        <f t="shared" si="7"/>
        <v>218</v>
      </c>
      <c r="D222" s="19">
        <v>0</v>
      </c>
      <c r="E222" s="19">
        <v>0</v>
      </c>
      <c r="F222" s="19">
        <v>0</v>
      </c>
      <c r="G222" s="19">
        <v>0</v>
      </c>
      <c r="H222" s="19">
        <v>0</v>
      </c>
      <c r="I222" s="19">
        <v>0</v>
      </c>
      <c r="J222" s="19">
        <v>29.306666616366471</v>
      </c>
      <c r="K222" s="19">
        <v>141.07607469533329</v>
      </c>
      <c r="L222" s="19">
        <v>279.53830827262561</v>
      </c>
      <c r="M222" s="19">
        <v>426.16225407471018</v>
      </c>
      <c r="N222" s="19">
        <v>556.74163841044685</v>
      </c>
      <c r="O222" s="19">
        <v>655.00964724963853</v>
      </c>
      <c r="P222" s="19">
        <v>817.20125706595297</v>
      </c>
      <c r="Q222" s="19">
        <v>822.56700939397695</v>
      </c>
      <c r="R222" s="19">
        <v>764.66042335725365</v>
      </c>
      <c r="S222" s="19">
        <v>642.49686334119031</v>
      </c>
      <c r="T222" s="19">
        <v>457.87387769518193</v>
      </c>
      <c r="U222" s="19">
        <v>216.06428959524763</v>
      </c>
      <c r="V222" s="19">
        <v>50.25546661852745</v>
      </c>
      <c r="W222" s="19">
        <v>0</v>
      </c>
      <c r="X222" s="19">
        <v>0</v>
      </c>
      <c r="Y222" s="19">
        <v>0</v>
      </c>
      <c r="Z222" s="19">
        <v>0</v>
      </c>
      <c r="AA222" s="19">
        <v>0</v>
      </c>
      <c r="AC222" s="76">
        <f t="shared" si="6"/>
        <v>5.8589537763864525</v>
      </c>
      <c r="AD222" s="77"/>
      <c r="AE222" s="72"/>
    </row>
    <row r="223" spans="2:31" x14ac:dyDescent="0.25">
      <c r="B223" s="108">
        <v>42588</v>
      </c>
      <c r="C223" s="72">
        <f t="shared" si="7"/>
        <v>219</v>
      </c>
      <c r="D223" s="19">
        <v>0</v>
      </c>
      <c r="E223" s="19">
        <v>0</v>
      </c>
      <c r="F223" s="19">
        <v>0</v>
      </c>
      <c r="G223" s="19">
        <v>0</v>
      </c>
      <c r="H223" s="19">
        <v>0</v>
      </c>
      <c r="I223" s="19">
        <v>0</v>
      </c>
      <c r="J223" s="19">
        <v>28.556548256905064</v>
      </c>
      <c r="K223" s="19">
        <v>139.33677045069547</v>
      </c>
      <c r="L223" s="19">
        <v>282.04883356035828</v>
      </c>
      <c r="M223" s="19">
        <v>429.36468763949716</v>
      </c>
      <c r="N223" s="19">
        <v>558.90859022582379</v>
      </c>
      <c r="O223" s="19">
        <v>656.53473904990437</v>
      </c>
      <c r="P223" s="19">
        <v>820.23120361633698</v>
      </c>
      <c r="Q223" s="19">
        <v>825.50409391629796</v>
      </c>
      <c r="R223" s="19">
        <v>767.04699944342747</v>
      </c>
      <c r="S223" s="19">
        <v>643.80255439464656</v>
      </c>
      <c r="T223" s="19">
        <v>457.44427998198285</v>
      </c>
      <c r="U223" s="19">
        <v>213.20262398148449</v>
      </c>
      <c r="V223" s="19">
        <v>61.779977430891421</v>
      </c>
      <c r="W223" s="19">
        <v>0</v>
      </c>
      <c r="X223" s="19">
        <v>0</v>
      </c>
      <c r="Y223" s="19">
        <v>0</v>
      </c>
      <c r="Z223" s="19">
        <v>0</v>
      </c>
      <c r="AA223" s="19">
        <v>0</v>
      </c>
      <c r="AC223" s="76">
        <f t="shared" si="6"/>
        <v>5.883761901948251</v>
      </c>
      <c r="AD223" s="77"/>
      <c r="AE223" s="72"/>
    </row>
    <row r="224" spans="2:31" x14ac:dyDescent="0.25">
      <c r="B224" s="108">
        <v>42589</v>
      </c>
      <c r="C224" s="72">
        <f t="shared" si="7"/>
        <v>220</v>
      </c>
      <c r="D224" s="19">
        <v>0</v>
      </c>
      <c r="E224" s="19">
        <v>0</v>
      </c>
      <c r="F224" s="19">
        <v>0</v>
      </c>
      <c r="G224" s="19">
        <v>0</v>
      </c>
      <c r="H224" s="19">
        <v>0</v>
      </c>
      <c r="I224" s="19">
        <v>0</v>
      </c>
      <c r="J224" s="19">
        <v>27.974761668676372</v>
      </c>
      <c r="K224" s="19">
        <v>138.35085094897894</v>
      </c>
      <c r="L224" s="19">
        <v>280.74266278836279</v>
      </c>
      <c r="M224" s="19">
        <v>428.21079722312038</v>
      </c>
      <c r="N224" s="19">
        <v>559.69201876878992</v>
      </c>
      <c r="O224" s="19">
        <v>661.05469189471614</v>
      </c>
      <c r="P224" s="19">
        <v>823.30894355349221</v>
      </c>
      <c r="Q224" s="19">
        <v>828.4844880329448</v>
      </c>
      <c r="R224" s="19">
        <v>769.46169690315526</v>
      </c>
      <c r="S224" s="19">
        <v>645.10738785438616</v>
      </c>
      <c r="T224" s="19">
        <v>456.96516225711093</v>
      </c>
      <c r="U224" s="19">
        <v>210.23241285095455</v>
      </c>
      <c r="V224" s="19">
        <v>77.348582713855052</v>
      </c>
      <c r="W224" s="19">
        <v>0</v>
      </c>
      <c r="X224" s="19">
        <v>0</v>
      </c>
      <c r="Y224" s="19">
        <v>0</v>
      </c>
      <c r="Z224" s="19">
        <v>0</v>
      </c>
      <c r="AA224" s="19">
        <v>0</v>
      </c>
      <c r="AC224" s="76">
        <f t="shared" si="6"/>
        <v>5.9069344574585427</v>
      </c>
      <c r="AD224" s="77"/>
      <c r="AE224" s="72"/>
    </row>
    <row r="225" spans="2:31" x14ac:dyDescent="0.25">
      <c r="B225" s="108">
        <v>42590</v>
      </c>
      <c r="C225" s="72">
        <f t="shared" si="7"/>
        <v>221</v>
      </c>
      <c r="D225" s="19">
        <v>0</v>
      </c>
      <c r="E225" s="19">
        <v>0</v>
      </c>
      <c r="F225" s="19">
        <v>0</v>
      </c>
      <c r="G225" s="19">
        <v>0</v>
      </c>
      <c r="H225" s="19">
        <v>0</v>
      </c>
      <c r="I225" s="19">
        <v>0</v>
      </c>
      <c r="J225" s="19">
        <v>27.546105907381168</v>
      </c>
      <c r="K225" s="19">
        <v>138.95503304800062</v>
      </c>
      <c r="L225" s="19">
        <v>283.21117242638809</v>
      </c>
      <c r="M225" s="19">
        <v>432.21277107763927</v>
      </c>
      <c r="N225" s="19">
        <v>565.34155236202639</v>
      </c>
      <c r="O225" s="19">
        <v>663.86775149075834</v>
      </c>
      <c r="P225" s="19">
        <v>826.43199060411268</v>
      </c>
      <c r="Q225" s="19">
        <v>831.50551775605845</v>
      </c>
      <c r="R225" s="19">
        <v>771.90172187325265</v>
      </c>
      <c r="S225" s="19">
        <v>646.40840542357955</v>
      </c>
      <c r="T225" s="19">
        <v>456.43312996021331</v>
      </c>
      <c r="U225" s="19">
        <v>207.15142386067492</v>
      </c>
      <c r="V225" s="19">
        <v>96.624430765277822</v>
      </c>
      <c r="W225" s="19">
        <v>0</v>
      </c>
      <c r="X225" s="19">
        <v>0</v>
      </c>
      <c r="Y225" s="19">
        <v>0</v>
      </c>
      <c r="Z225" s="19">
        <v>0</v>
      </c>
      <c r="AA225" s="19">
        <v>0</v>
      </c>
      <c r="AC225" s="76">
        <f t="shared" si="6"/>
        <v>5.9475910065553634</v>
      </c>
      <c r="AD225" s="77"/>
      <c r="AE225" s="72"/>
    </row>
    <row r="226" spans="2:31" x14ac:dyDescent="0.25">
      <c r="B226" s="108">
        <v>42591</v>
      </c>
      <c r="C226" s="72">
        <f t="shared" si="7"/>
        <v>222</v>
      </c>
      <c r="D226" s="19">
        <v>0</v>
      </c>
      <c r="E226" s="19">
        <v>0</v>
      </c>
      <c r="F226" s="19">
        <v>0</v>
      </c>
      <c r="G226" s="19">
        <v>0</v>
      </c>
      <c r="H226" s="19">
        <v>0</v>
      </c>
      <c r="I226" s="19">
        <v>0</v>
      </c>
      <c r="J226" s="19">
        <v>26.935079419517894</v>
      </c>
      <c r="K226" s="19">
        <v>138.48463231432956</v>
      </c>
      <c r="L226" s="19">
        <v>282.48360735122446</v>
      </c>
      <c r="M226" s="19">
        <v>429.48297914226936</v>
      </c>
      <c r="N226" s="19">
        <v>561.00855410168776</v>
      </c>
      <c r="O226" s="19">
        <v>658.79034448698224</v>
      </c>
      <c r="P226" s="19">
        <v>829.5977992408358</v>
      </c>
      <c r="Q226" s="19">
        <v>834.56444598312896</v>
      </c>
      <c r="R226" s="19">
        <v>774.36421571399308</v>
      </c>
      <c r="S226" s="19">
        <v>647.70258129659715</v>
      </c>
      <c r="T226" s="19">
        <v>455.84471458886384</v>
      </c>
      <c r="U226" s="19">
        <v>203.9576013384214</v>
      </c>
      <c r="V226" s="19">
        <v>119.640735283818</v>
      </c>
      <c r="W226" s="19">
        <v>0</v>
      </c>
      <c r="X226" s="19">
        <v>0</v>
      </c>
      <c r="Y226" s="19">
        <v>0</v>
      </c>
      <c r="Z226" s="19">
        <v>0</v>
      </c>
      <c r="AA226" s="19">
        <v>0</v>
      </c>
      <c r="AC226" s="76">
        <f t="shared" si="6"/>
        <v>5.9628572902616686</v>
      </c>
      <c r="AD226" s="77"/>
      <c r="AE226" s="72"/>
    </row>
    <row r="227" spans="2:31" x14ac:dyDescent="0.25">
      <c r="B227" s="108">
        <v>42592</v>
      </c>
      <c r="C227" s="72">
        <f t="shared" si="7"/>
        <v>223</v>
      </c>
      <c r="D227" s="19">
        <v>0</v>
      </c>
      <c r="E227" s="19">
        <v>0</v>
      </c>
      <c r="F227" s="19">
        <v>0</v>
      </c>
      <c r="G227" s="19">
        <v>0</v>
      </c>
      <c r="H227" s="19">
        <v>0</v>
      </c>
      <c r="I227" s="19">
        <v>0</v>
      </c>
      <c r="J227" s="19">
        <v>26.463036348522692</v>
      </c>
      <c r="K227" s="19">
        <v>138.35941799693808</v>
      </c>
      <c r="L227" s="19">
        <v>285.48660706161166</v>
      </c>
      <c r="M227" s="19">
        <v>435.1550702120872</v>
      </c>
      <c r="N227" s="19">
        <v>569.15894742463388</v>
      </c>
      <c r="O227" s="19">
        <v>670.04535704448767</v>
      </c>
      <c r="P227" s="19">
        <v>832.80376564234007</v>
      </c>
      <c r="Q227" s="19">
        <v>837.65847354950165</v>
      </c>
      <c r="R227" s="19">
        <v>776.84625613262369</v>
      </c>
      <c r="S227" s="19">
        <v>648.98682332817941</v>
      </c>
      <c r="T227" s="19">
        <v>455.19637555705276</v>
      </c>
      <c r="U227" s="19">
        <v>200.64910120911955</v>
      </c>
      <c r="V227" s="19">
        <v>126.61745753267381</v>
      </c>
      <c r="W227" s="19">
        <v>0</v>
      </c>
      <c r="X227" s="19">
        <v>0</v>
      </c>
      <c r="Y227" s="19">
        <v>0</v>
      </c>
      <c r="Z227" s="19">
        <v>0</v>
      </c>
      <c r="AA227" s="19">
        <v>0</v>
      </c>
      <c r="AC227" s="76">
        <f t="shared" si="6"/>
        <v>6.0034266890397712</v>
      </c>
      <c r="AD227" s="77"/>
      <c r="AE227" s="72"/>
    </row>
    <row r="228" spans="2:31" x14ac:dyDescent="0.25">
      <c r="B228" s="108">
        <v>42593</v>
      </c>
      <c r="C228" s="72">
        <f t="shared" si="7"/>
        <v>224</v>
      </c>
      <c r="D228" s="19">
        <v>0</v>
      </c>
      <c r="E228" s="19">
        <v>0</v>
      </c>
      <c r="F228" s="19">
        <v>0</v>
      </c>
      <c r="G228" s="19">
        <v>0</v>
      </c>
      <c r="H228" s="19">
        <v>0</v>
      </c>
      <c r="I228" s="19">
        <v>0</v>
      </c>
      <c r="J228" s="19">
        <v>26.030725183676754</v>
      </c>
      <c r="K228" s="19">
        <v>139.35857663822574</v>
      </c>
      <c r="L228" s="19">
        <v>286.13832549715238</v>
      </c>
      <c r="M228" s="19">
        <v>438.66283115306373</v>
      </c>
      <c r="N228" s="19">
        <v>575.52182121159456</v>
      </c>
      <c r="O228" s="19">
        <v>677.43624518755803</v>
      </c>
      <c r="P228" s="19">
        <v>836.04722878049245</v>
      </c>
      <c r="Q228" s="19">
        <v>840.78474041641323</v>
      </c>
      <c r="R228" s="19">
        <v>779.34485844515518</v>
      </c>
      <c r="S228" s="19">
        <v>650.25797434470985</v>
      </c>
      <c r="T228" s="19">
        <v>454.48450229891648</v>
      </c>
      <c r="U228" s="19">
        <v>197.22432990831501</v>
      </c>
      <c r="V228" s="19">
        <v>119.74057209639666</v>
      </c>
      <c r="W228" s="19">
        <v>0</v>
      </c>
      <c r="X228" s="19">
        <v>0</v>
      </c>
      <c r="Y228" s="19">
        <v>0</v>
      </c>
      <c r="Z228" s="19">
        <v>0</v>
      </c>
      <c r="AA228" s="19">
        <v>0</v>
      </c>
      <c r="AC228" s="76">
        <f t="shared" si="6"/>
        <v>6.0210327311616689</v>
      </c>
      <c r="AD228" s="77"/>
      <c r="AE228" s="72"/>
    </row>
    <row r="229" spans="2:31" x14ac:dyDescent="0.25">
      <c r="B229" s="108">
        <v>42594</v>
      </c>
      <c r="C229" s="72">
        <f t="shared" si="7"/>
        <v>225</v>
      </c>
      <c r="D229" s="19">
        <v>0</v>
      </c>
      <c r="E229" s="19">
        <v>0</v>
      </c>
      <c r="F229" s="19">
        <v>0</v>
      </c>
      <c r="G229" s="19">
        <v>0</v>
      </c>
      <c r="H229" s="19">
        <v>0</v>
      </c>
      <c r="I229" s="19">
        <v>0</v>
      </c>
      <c r="J229" s="19">
        <v>25.414696417366891</v>
      </c>
      <c r="K229" s="19">
        <v>136.38269088243703</v>
      </c>
      <c r="L229" s="19">
        <v>282.20334954752695</v>
      </c>
      <c r="M229" s="19">
        <v>433.88076055897699</v>
      </c>
      <c r="N229" s="19">
        <v>569.3565379045765</v>
      </c>
      <c r="O229" s="19">
        <v>672.0163082345249</v>
      </c>
      <c r="P229" s="19">
        <v>839.32547163790935</v>
      </c>
      <c r="Q229" s="19">
        <v>843.94032699819218</v>
      </c>
      <c r="R229" s="19">
        <v>781.85697698033948</v>
      </c>
      <c r="S229" s="19">
        <v>651.51281360253972</v>
      </c>
      <c r="T229" s="19">
        <v>453.70541663516383</v>
      </c>
      <c r="U229" s="19">
        <v>193.68198766753929</v>
      </c>
      <c r="V229" s="19">
        <v>100.4625744117568</v>
      </c>
      <c r="W229" s="19">
        <v>0</v>
      </c>
      <c r="X229" s="19">
        <v>0</v>
      </c>
      <c r="Y229" s="19">
        <v>0</v>
      </c>
      <c r="Z229" s="19">
        <v>0</v>
      </c>
      <c r="AA229" s="19">
        <v>0</v>
      </c>
      <c r="AC229" s="76">
        <f t="shared" si="6"/>
        <v>5.9837399114788488</v>
      </c>
      <c r="AD229" s="77"/>
      <c r="AE229" s="72"/>
    </row>
    <row r="230" spans="2:31" x14ac:dyDescent="0.25">
      <c r="B230" s="108">
        <v>42595</v>
      </c>
      <c r="C230" s="72">
        <f t="shared" si="7"/>
        <v>226</v>
      </c>
      <c r="D230" s="19">
        <v>0</v>
      </c>
      <c r="E230" s="19">
        <v>0</v>
      </c>
      <c r="F230" s="19">
        <v>0</v>
      </c>
      <c r="G230" s="19">
        <v>0</v>
      </c>
      <c r="H230" s="19">
        <v>0</v>
      </c>
      <c r="I230" s="19">
        <v>0</v>
      </c>
      <c r="J230" s="19">
        <v>24.354883945255722</v>
      </c>
      <c r="K230" s="19">
        <v>136.67518736955347</v>
      </c>
      <c r="L230" s="19">
        <v>284.96776127986408</v>
      </c>
      <c r="M230" s="19">
        <v>436.43114872465264</v>
      </c>
      <c r="N230" s="19">
        <v>572.92990499235293</v>
      </c>
      <c r="O230" s="19">
        <v>675.1962393248084</v>
      </c>
      <c r="P230" s="19">
        <v>842.63572255895383</v>
      </c>
      <c r="Q230" s="19">
        <v>847.12225563194249</v>
      </c>
      <c r="R230" s="19">
        <v>784.37950662946753</v>
      </c>
      <c r="S230" s="19">
        <v>652.74805839814269</v>
      </c>
      <c r="T230" s="19">
        <v>452.85537542077293</v>
      </c>
      <c r="U230" s="19">
        <v>190.02111657972654</v>
      </c>
      <c r="V230" s="19">
        <v>70.86887676485388</v>
      </c>
      <c r="W230" s="19">
        <v>0</v>
      </c>
      <c r="X230" s="19">
        <v>0</v>
      </c>
      <c r="Y230" s="19">
        <v>0</v>
      </c>
      <c r="Z230" s="19">
        <v>0</v>
      </c>
      <c r="AA230" s="19">
        <v>0</v>
      </c>
      <c r="AC230" s="76">
        <f t="shared" si="6"/>
        <v>5.9711860376203472</v>
      </c>
      <c r="AD230" s="77"/>
      <c r="AE230" s="72"/>
    </row>
    <row r="231" spans="2:31" x14ac:dyDescent="0.25">
      <c r="B231" s="108">
        <v>42596</v>
      </c>
      <c r="C231" s="72">
        <f t="shared" si="7"/>
        <v>227</v>
      </c>
      <c r="D231" s="19">
        <v>0</v>
      </c>
      <c r="E231" s="19">
        <v>0</v>
      </c>
      <c r="F231" s="19">
        <v>0</v>
      </c>
      <c r="G231" s="19">
        <v>0</v>
      </c>
      <c r="H231" s="19">
        <v>0</v>
      </c>
      <c r="I231" s="19">
        <v>0</v>
      </c>
      <c r="J231" s="19">
        <v>23.7811071027167</v>
      </c>
      <c r="K231" s="19">
        <v>134.76140787502615</v>
      </c>
      <c r="L231" s="19">
        <v>282.26616192999967</v>
      </c>
      <c r="M231" s="19">
        <v>435.63045155437464</v>
      </c>
      <c r="N231" s="19">
        <v>573.52113781631886</v>
      </c>
      <c r="O231" s="19">
        <v>676.49310087265098</v>
      </c>
      <c r="P231" s="19">
        <v>845.97515673690145</v>
      </c>
      <c r="Q231" s="19">
        <v>850.32749219270113</v>
      </c>
      <c r="R231" s="19">
        <v>786.90928454531638</v>
      </c>
      <c r="S231" s="19">
        <v>653.96036583472244</v>
      </c>
      <c r="T231" s="19">
        <v>451.9305734937588</v>
      </c>
      <c r="U231" s="19">
        <v>186.24115387363935</v>
      </c>
      <c r="V231" s="19">
        <v>46.443056319892783</v>
      </c>
      <c r="W231" s="19">
        <v>0</v>
      </c>
      <c r="X231" s="19">
        <v>0</v>
      </c>
      <c r="Y231" s="19">
        <v>0</v>
      </c>
      <c r="Z231" s="19">
        <v>0</v>
      </c>
      <c r="AA231" s="19">
        <v>0</v>
      </c>
      <c r="AC231" s="76">
        <f t="shared" si="6"/>
        <v>5.9482404501480195</v>
      </c>
      <c r="AD231" s="77"/>
      <c r="AE231" s="72"/>
    </row>
    <row r="232" spans="2:31" x14ac:dyDescent="0.25">
      <c r="B232" s="108">
        <v>42597</v>
      </c>
      <c r="C232" s="72">
        <f t="shared" si="7"/>
        <v>228</v>
      </c>
      <c r="D232" s="19">
        <v>0</v>
      </c>
      <c r="E232" s="19">
        <v>0</v>
      </c>
      <c r="F232" s="19">
        <v>0</v>
      </c>
      <c r="G232" s="19">
        <v>0</v>
      </c>
      <c r="H232" s="19">
        <v>0</v>
      </c>
      <c r="I232" s="19">
        <v>0</v>
      </c>
      <c r="J232" s="19">
        <v>23.329725816193324</v>
      </c>
      <c r="K232" s="19">
        <v>135.39431676484728</v>
      </c>
      <c r="L232" s="19">
        <v>282.13306089903648</v>
      </c>
      <c r="M232" s="19">
        <v>438.56598246719699</v>
      </c>
      <c r="N232" s="19">
        <v>574.49068469231452</v>
      </c>
      <c r="O232" s="19">
        <v>678.32417014899113</v>
      </c>
      <c r="P232" s="19">
        <v>849.3408978396568</v>
      </c>
      <c r="Q232" s="19">
        <v>853.55294785672845</v>
      </c>
      <c r="R232" s="19">
        <v>789.44309199328654</v>
      </c>
      <c r="S232" s="19">
        <v>655.14633474973698</v>
      </c>
      <c r="T232" s="19">
        <v>450.92714694613409</v>
      </c>
      <c r="U232" s="19">
        <v>182.34199084300948</v>
      </c>
      <c r="V232" s="19">
        <v>30.236591258903903</v>
      </c>
      <c r="W232" s="19">
        <v>0</v>
      </c>
      <c r="X232" s="19">
        <v>0</v>
      </c>
      <c r="Y232" s="19">
        <v>0</v>
      </c>
      <c r="Z232" s="19">
        <v>0</v>
      </c>
      <c r="AA232" s="19">
        <v>0</v>
      </c>
      <c r="AC232" s="76">
        <f t="shared" si="6"/>
        <v>5.943226942276036</v>
      </c>
      <c r="AD232" s="77"/>
      <c r="AE232" s="72"/>
    </row>
    <row r="233" spans="2:31" x14ac:dyDescent="0.25">
      <c r="B233" s="108">
        <v>42598</v>
      </c>
      <c r="C233" s="72">
        <f t="shared" si="7"/>
        <v>229</v>
      </c>
      <c r="D233" s="19">
        <v>0</v>
      </c>
      <c r="E233" s="19">
        <v>0</v>
      </c>
      <c r="F233" s="19">
        <v>0</v>
      </c>
      <c r="G233" s="19">
        <v>0</v>
      </c>
      <c r="H233" s="19">
        <v>0</v>
      </c>
      <c r="I233" s="19">
        <v>0</v>
      </c>
      <c r="J233" s="19">
        <v>22.597407155433856</v>
      </c>
      <c r="K233" s="19">
        <v>133.30415564140247</v>
      </c>
      <c r="L233" s="19">
        <v>281.26545037555849</v>
      </c>
      <c r="M233" s="19">
        <v>436.30859071768958</v>
      </c>
      <c r="N233" s="19">
        <v>574.6637599977779</v>
      </c>
      <c r="O233" s="19">
        <v>678.69406859567835</v>
      </c>
      <c r="P233" s="19">
        <v>852.73001977606646</v>
      </c>
      <c r="Q233" s="19">
        <v>856.79548101522812</v>
      </c>
      <c r="R233" s="19">
        <v>791.97765635742917</v>
      </c>
      <c r="S233" s="19">
        <v>656.30250780761889</v>
      </c>
      <c r="T233" s="19">
        <v>449.84117673965102</v>
      </c>
      <c r="U233" s="19">
        <v>178.32403788701663</v>
      </c>
      <c r="V233" s="19">
        <v>19.958809557665482</v>
      </c>
      <c r="W233" s="19">
        <v>0</v>
      </c>
      <c r="X233" s="19">
        <v>0</v>
      </c>
      <c r="Y233" s="19">
        <v>0</v>
      </c>
      <c r="Z233" s="19">
        <v>0</v>
      </c>
      <c r="AA233" s="19">
        <v>0</v>
      </c>
      <c r="AC233" s="76">
        <f t="shared" si="6"/>
        <v>5.9327631216242169</v>
      </c>
      <c r="AD233" s="77"/>
      <c r="AE233" s="72"/>
    </row>
    <row r="234" spans="2:31" x14ac:dyDescent="0.25">
      <c r="B234" s="108">
        <v>42599</v>
      </c>
      <c r="C234" s="72">
        <f t="shared" si="7"/>
        <v>230</v>
      </c>
      <c r="D234" s="19">
        <v>0</v>
      </c>
      <c r="E234" s="19">
        <v>0</v>
      </c>
      <c r="F234" s="19">
        <v>0</v>
      </c>
      <c r="G234" s="19">
        <v>0</v>
      </c>
      <c r="H234" s="19">
        <v>0</v>
      </c>
      <c r="I234" s="19">
        <v>0</v>
      </c>
      <c r="J234" s="19">
        <v>21.986935866951168</v>
      </c>
      <c r="K234" s="19">
        <v>132.60037762385437</v>
      </c>
      <c r="L234" s="19">
        <v>281.33159920746238</v>
      </c>
      <c r="M234" s="19">
        <v>437.47998453968336</v>
      </c>
      <c r="N234" s="19">
        <v>575.65205824909719</v>
      </c>
      <c r="O234" s="19">
        <v>677.8785460994759</v>
      </c>
      <c r="P234" s="19">
        <v>856.13954860450463</v>
      </c>
      <c r="Q234" s="19">
        <v>860.05189934042494</v>
      </c>
      <c r="R234" s="19">
        <v>794.50965330374299</v>
      </c>
      <c r="S234" s="19">
        <v>657.42537376179428</v>
      </c>
      <c r="T234" s="19">
        <v>448.66869269048334</v>
      </c>
      <c r="U234" s="19">
        <v>174.18829612163017</v>
      </c>
      <c r="V234" s="19">
        <v>13.170722989159058</v>
      </c>
      <c r="W234" s="19">
        <v>0</v>
      </c>
      <c r="X234" s="19">
        <v>0</v>
      </c>
      <c r="Y234" s="19">
        <v>0</v>
      </c>
      <c r="Z234" s="19">
        <v>0</v>
      </c>
      <c r="AA234" s="19">
        <v>0</v>
      </c>
      <c r="AC234" s="76">
        <f t="shared" si="6"/>
        <v>5.9310836883982638</v>
      </c>
      <c r="AD234" s="77"/>
      <c r="AE234" s="72"/>
    </row>
    <row r="235" spans="2:31" x14ac:dyDescent="0.25">
      <c r="B235" s="108">
        <v>42600</v>
      </c>
      <c r="C235" s="72">
        <f t="shared" si="7"/>
        <v>231</v>
      </c>
      <c r="D235" s="19">
        <v>0</v>
      </c>
      <c r="E235" s="19">
        <v>0</v>
      </c>
      <c r="F235" s="19">
        <v>0</v>
      </c>
      <c r="G235" s="19">
        <v>0</v>
      </c>
      <c r="H235" s="19">
        <v>0</v>
      </c>
      <c r="I235" s="19">
        <v>0</v>
      </c>
      <c r="J235" s="19">
        <v>21.410171780370568</v>
      </c>
      <c r="K235" s="19">
        <v>132.54806039102647</v>
      </c>
      <c r="L235" s="19">
        <v>281.86741223931546</v>
      </c>
      <c r="M235" s="19">
        <v>439.07922778602983</v>
      </c>
      <c r="N235" s="19">
        <v>578.16720832178703</v>
      </c>
      <c r="O235" s="19">
        <v>684.01888706281397</v>
      </c>
      <c r="P235" s="19">
        <v>859.5664645850469</v>
      </c>
      <c r="Q235" s="19">
        <v>863.31896200555127</v>
      </c>
      <c r="R235" s="19">
        <v>797.03570910277313</v>
      </c>
      <c r="S235" s="19">
        <v>658.51136988993608</v>
      </c>
      <c r="T235" s="19">
        <v>447.40567784874435</v>
      </c>
      <c r="U235" s="19">
        <v>169.93643601365548</v>
      </c>
      <c r="V235" s="19">
        <v>10.17917654689291</v>
      </c>
      <c r="W235" s="19">
        <v>0</v>
      </c>
      <c r="X235" s="19">
        <v>0</v>
      </c>
      <c r="Y235" s="19">
        <v>0</v>
      </c>
      <c r="Z235" s="19">
        <v>0</v>
      </c>
      <c r="AA235" s="19">
        <v>0</v>
      </c>
      <c r="AC235" s="76">
        <f t="shared" si="6"/>
        <v>5.9430447635739441</v>
      </c>
      <c r="AD235" s="77"/>
      <c r="AE235" s="72"/>
    </row>
    <row r="236" spans="2:31" x14ac:dyDescent="0.25">
      <c r="B236" s="108">
        <v>42601</v>
      </c>
      <c r="C236" s="72">
        <f t="shared" si="7"/>
        <v>232</v>
      </c>
      <c r="D236" s="19">
        <v>0</v>
      </c>
      <c r="E236" s="19">
        <v>0</v>
      </c>
      <c r="F236" s="19">
        <v>0</v>
      </c>
      <c r="G236" s="19">
        <v>0</v>
      </c>
      <c r="H236" s="19">
        <v>0</v>
      </c>
      <c r="I236" s="19">
        <v>0</v>
      </c>
      <c r="J236" s="19">
        <v>20.82686163538343</v>
      </c>
      <c r="K236" s="19">
        <v>131.81863008896349</v>
      </c>
      <c r="L236" s="19">
        <v>281.73474343557695</v>
      </c>
      <c r="M236" s="19">
        <v>439.53281230076897</v>
      </c>
      <c r="N236" s="19">
        <v>580.02121125308645</v>
      </c>
      <c r="O236" s="19">
        <v>683.46650554775931</v>
      </c>
      <c r="P236" s="19">
        <v>863.0077043761554</v>
      </c>
      <c r="Q236" s="19">
        <v>866.59338205990844</v>
      </c>
      <c r="R236" s="19">
        <v>799.55240311319631</v>
      </c>
      <c r="S236" s="19">
        <v>659.55688460618455</v>
      </c>
      <c r="T236" s="19">
        <v>446.0480733006126</v>
      </c>
      <c r="U236" s="19">
        <v>165.57088346823986</v>
      </c>
      <c r="V236" s="19">
        <v>16.533642615839568</v>
      </c>
      <c r="W236" s="19">
        <v>0</v>
      </c>
      <c r="X236" s="19">
        <v>0</v>
      </c>
      <c r="Y236" s="19">
        <v>0</v>
      </c>
      <c r="Z236" s="19">
        <v>0</v>
      </c>
      <c r="AA236" s="19">
        <v>0</v>
      </c>
      <c r="AC236" s="76">
        <f t="shared" si="6"/>
        <v>5.9542637378016741</v>
      </c>
      <c r="AD236" s="77"/>
      <c r="AE236" s="72"/>
    </row>
    <row r="237" spans="2:31" x14ac:dyDescent="0.25">
      <c r="B237" s="108">
        <v>42602</v>
      </c>
      <c r="C237" s="72">
        <f t="shared" si="7"/>
        <v>233</v>
      </c>
      <c r="D237" s="19">
        <v>0</v>
      </c>
      <c r="E237" s="19">
        <v>0</v>
      </c>
      <c r="F237" s="19">
        <v>0</v>
      </c>
      <c r="G237" s="19">
        <v>0</v>
      </c>
      <c r="H237" s="19">
        <v>0</v>
      </c>
      <c r="I237" s="19">
        <v>0</v>
      </c>
      <c r="J237" s="19">
        <v>20.232045189725262</v>
      </c>
      <c r="K237" s="19">
        <v>131.04411266614821</v>
      </c>
      <c r="L237" s="19">
        <v>282.08257245579415</v>
      </c>
      <c r="M237" s="19">
        <v>441.67474617706029</v>
      </c>
      <c r="N237" s="19">
        <v>583.72815172254502</v>
      </c>
      <c r="O237" s="19">
        <v>691.75577791465912</v>
      </c>
      <c r="P237" s="19">
        <v>866.46016337642141</v>
      </c>
      <c r="Q237" s="19">
        <v>869.87182895975104</v>
      </c>
      <c r="R237" s="19">
        <v>802.05627042770402</v>
      </c>
      <c r="S237" s="19">
        <v>660.55826025390604</v>
      </c>
      <c r="T237" s="19">
        <v>444.59178342286617</v>
      </c>
      <c r="U237" s="19">
        <v>161.09491376311303</v>
      </c>
      <c r="V237" s="19">
        <v>44.976182963735845</v>
      </c>
      <c r="W237" s="19">
        <v>0</v>
      </c>
      <c r="X237" s="19">
        <v>0</v>
      </c>
      <c r="Y237" s="19">
        <v>0</v>
      </c>
      <c r="Z237" s="19">
        <v>0</v>
      </c>
      <c r="AA237" s="19">
        <v>0</v>
      </c>
      <c r="AC237" s="76">
        <f t="shared" si="6"/>
        <v>6.0001268092934295</v>
      </c>
      <c r="AD237" s="77"/>
      <c r="AE237" s="72"/>
    </row>
    <row r="238" spans="2:31" x14ac:dyDescent="0.25">
      <c r="B238" s="108">
        <v>42603</v>
      </c>
      <c r="C238" s="72">
        <f t="shared" si="7"/>
        <v>234</v>
      </c>
      <c r="D238" s="19">
        <v>0</v>
      </c>
      <c r="E238" s="19">
        <v>0</v>
      </c>
      <c r="F238" s="19">
        <v>0</v>
      </c>
      <c r="G238" s="19">
        <v>0</v>
      </c>
      <c r="H238" s="19">
        <v>0</v>
      </c>
      <c r="I238" s="19">
        <v>0</v>
      </c>
      <c r="J238" s="19">
        <v>20.211453271680366</v>
      </c>
      <c r="K238" s="19">
        <v>134.3224440260602</v>
      </c>
      <c r="L238" s="19">
        <v>287.06689022940031</v>
      </c>
      <c r="M238" s="19">
        <v>444.89304725320818</v>
      </c>
      <c r="N238" s="19">
        <v>587.65455791270949</v>
      </c>
      <c r="O238" s="19">
        <v>695.38063430529644</v>
      </c>
      <c r="P238" s="19">
        <v>869.92069821148493</v>
      </c>
      <c r="Q238" s="19">
        <v>873.15093125534793</v>
      </c>
      <c r="R238" s="19">
        <v>804.54380468214015</v>
      </c>
      <c r="S238" s="19">
        <v>661.51179608234793</v>
      </c>
      <c r="T238" s="19">
        <v>443.03268162185623</v>
      </c>
      <c r="U238" s="19">
        <v>156.51275366624856</v>
      </c>
      <c r="V238" s="19">
        <v>111.75476801431837</v>
      </c>
      <c r="W238" s="19">
        <v>0</v>
      </c>
      <c r="X238" s="19">
        <v>0</v>
      </c>
      <c r="Y238" s="19">
        <v>0</v>
      </c>
      <c r="Z238" s="19">
        <v>0</v>
      </c>
      <c r="AA238" s="19">
        <v>0</v>
      </c>
      <c r="AC238" s="76">
        <f t="shared" si="6"/>
        <v>6.0899564605320986</v>
      </c>
      <c r="AD238" s="77"/>
      <c r="AE238" s="72"/>
    </row>
    <row r="239" spans="2:31" x14ac:dyDescent="0.25">
      <c r="B239" s="108">
        <v>42604</v>
      </c>
      <c r="C239" s="72">
        <f t="shared" si="7"/>
        <v>235</v>
      </c>
      <c r="D239" s="19">
        <v>0</v>
      </c>
      <c r="E239" s="19">
        <v>0</v>
      </c>
      <c r="F239" s="19">
        <v>0</v>
      </c>
      <c r="G239" s="19">
        <v>0</v>
      </c>
      <c r="H239" s="19">
        <v>0</v>
      </c>
      <c r="I239" s="19">
        <v>0</v>
      </c>
      <c r="J239" s="19">
        <v>19.671562155766839</v>
      </c>
      <c r="K239" s="19">
        <v>132.22857285366317</v>
      </c>
      <c r="L239" s="19">
        <v>284.61713111883415</v>
      </c>
      <c r="M239" s="19">
        <v>444.58803411708931</v>
      </c>
      <c r="N239" s="19">
        <v>587.2443511802453</v>
      </c>
      <c r="O239" s="19">
        <v>695.02739810818719</v>
      </c>
      <c r="P239" s="19">
        <v>873.38612936588049</v>
      </c>
      <c r="Q239" s="19">
        <v>876.42727943415446</v>
      </c>
      <c r="R239" s="19">
        <v>807.01146102846064</v>
      </c>
      <c r="S239" s="19">
        <v>662.41375141040214</v>
      </c>
      <c r="T239" s="19">
        <v>441.36661659132926</v>
      </c>
      <c r="U239" s="19">
        <v>151.82969199602331</v>
      </c>
      <c r="V239" s="19">
        <v>223.09004704359819</v>
      </c>
      <c r="W239" s="19">
        <v>0</v>
      </c>
      <c r="X239" s="19">
        <v>0</v>
      </c>
      <c r="Y239" s="19">
        <v>0</v>
      </c>
      <c r="Z239" s="19">
        <v>0</v>
      </c>
      <c r="AA239" s="19">
        <v>0</v>
      </c>
      <c r="AC239" s="76">
        <f t="shared" si="6"/>
        <v>6.1989020264036343</v>
      </c>
      <c r="AD239" s="77"/>
      <c r="AE239" s="72"/>
    </row>
    <row r="240" spans="2:31" x14ac:dyDescent="0.25">
      <c r="B240" s="108">
        <v>42605</v>
      </c>
      <c r="C240" s="72">
        <f t="shared" si="7"/>
        <v>236</v>
      </c>
      <c r="D240" s="19">
        <v>0</v>
      </c>
      <c r="E240" s="19">
        <v>0</v>
      </c>
      <c r="F240" s="19">
        <v>0</v>
      </c>
      <c r="G240" s="19">
        <v>0</v>
      </c>
      <c r="H240" s="19">
        <v>0</v>
      </c>
      <c r="I240" s="19">
        <v>0</v>
      </c>
      <c r="J240" s="19">
        <v>19.083290604860331</v>
      </c>
      <c r="K240" s="19">
        <v>131.48047233154753</v>
      </c>
      <c r="L240" s="19">
        <v>285.473659400722</v>
      </c>
      <c r="M240" s="19">
        <v>445.9141819913882</v>
      </c>
      <c r="N240" s="19">
        <v>591.18721368125205</v>
      </c>
      <c r="O240" s="19">
        <v>700.34104644552622</v>
      </c>
      <c r="P240" s="19">
        <v>876.85324395910823</v>
      </c>
      <c r="Q240" s="19">
        <v>879.69742891959345</v>
      </c>
      <c r="R240" s="19">
        <v>809.45565927170753</v>
      </c>
      <c r="S240" s="19">
        <v>663.2603489804668</v>
      </c>
      <c r="T240" s="19">
        <v>439.58941912611209</v>
      </c>
      <c r="U240" s="19">
        <v>147.05219878437609</v>
      </c>
      <c r="V240" s="19">
        <v>0</v>
      </c>
      <c r="W240" s="19">
        <v>0</v>
      </c>
      <c r="X240" s="19">
        <v>0</v>
      </c>
      <c r="Y240" s="19">
        <v>0</v>
      </c>
      <c r="Z240" s="19">
        <v>0</v>
      </c>
      <c r="AA240" s="19">
        <v>0</v>
      </c>
      <c r="AC240" s="76">
        <f t="shared" si="6"/>
        <v>5.9893881634966597</v>
      </c>
      <c r="AD240" s="77"/>
      <c r="AE240" s="72"/>
    </row>
    <row r="241" spans="2:31" x14ac:dyDescent="0.25">
      <c r="B241" s="108">
        <v>42606</v>
      </c>
      <c r="C241" s="72">
        <f t="shared" si="7"/>
        <v>237</v>
      </c>
      <c r="D241" s="19">
        <v>0</v>
      </c>
      <c r="E241" s="19">
        <v>0</v>
      </c>
      <c r="F241" s="19">
        <v>0</v>
      </c>
      <c r="G241" s="19">
        <v>0</v>
      </c>
      <c r="H241" s="19">
        <v>0</v>
      </c>
      <c r="I241" s="19">
        <v>0</v>
      </c>
      <c r="J241" s="19">
        <v>18.344943558306767</v>
      </c>
      <c r="K241" s="19">
        <v>131.89433162301668</v>
      </c>
      <c r="L241" s="19">
        <v>288.15126752143425</v>
      </c>
      <c r="M241" s="19">
        <v>452.57492522130639</v>
      </c>
      <c r="N241" s="19">
        <v>600.40916345553592</v>
      </c>
      <c r="O241" s="19">
        <v>709.72811209729002</v>
      </c>
      <c r="P241" s="19">
        <v>880.31879866484383</v>
      </c>
      <c r="Q241" s="19">
        <v>882.95790322454206</v>
      </c>
      <c r="R241" s="19">
        <v>811.87278717081222</v>
      </c>
      <c r="S241" s="19">
        <v>664.04777850525295</v>
      </c>
      <c r="T241" s="19">
        <v>437.69690953145567</v>
      </c>
      <c r="U241" s="19">
        <v>142.18805308763368</v>
      </c>
      <c r="V241" s="19">
        <v>0</v>
      </c>
      <c r="W241" s="19">
        <v>0</v>
      </c>
      <c r="X241" s="19">
        <v>0</v>
      </c>
      <c r="Y241" s="19">
        <v>0</v>
      </c>
      <c r="Z241" s="19">
        <v>0</v>
      </c>
      <c r="AA241" s="19">
        <v>0</v>
      </c>
      <c r="AC241" s="76">
        <f t="shared" si="6"/>
        <v>6.0201849736614292</v>
      </c>
      <c r="AD241" s="77"/>
      <c r="AE241" s="72"/>
    </row>
    <row r="242" spans="2:31" x14ac:dyDescent="0.25">
      <c r="B242" s="108">
        <v>42607</v>
      </c>
      <c r="C242" s="72">
        <f t="shared" si="7"/>
        <v>238</v>
      </c>
      <c r="D242" s="19">
        <v>0</v>
      </c>
      <c r="E242" s="19">
        <v>0</v>
      </c>
      <c r="F242" s="19">
        <v>0</v>
      </c>
      <c r="G242" s="19">
        <v>0</v>
      </c>
      <c r="H242" s="19">
        <v>0</v>
      </c>
      <c r="I242" s="19">
        <v>0</v>
      </c>
      <c r="J242" s="19">
        <v>17.998849469403428</v>
      </c>
      <c r="K242" s="19">
        <v>131.20827665900111</v>
      </c>
      <c r="L242" s="19">
        <v>287.18656637215071</v>
      </c>
      <c r="M242" s="19">
        <v>450.23080692197198</v>
      </c>
      <c r="N242" s="19">
        <v>599.02279222874733</v>
      </c>
      <c r="O242" s="19">
        <v>708.99915501300882</v>
      </c>
      <c r="P242" s="19">
        <v>883.77952277175098</v>
      </c>
      <c r="Q242" s="19">
        <v>886.20519725815689</v>
      </c>
      <c r="R242" s="19">
        <v>814.25920390263138</v>
      </c>
      <c r="S242" s="19">
        <v>664.7722004101812</v>
      </c>
      <c r="T242" s="19">
        <v>435.68490567084831</v>
      </c>
      <c r="U242" s="19">
        <v>137.24647936689965</v>
      </c>
      <c r="V242" s="19">
        <v>0</v>
      </c>
      <c r="W242" s="19">
        <v>0</v>
      </c>
      <c r="X242" s="19">
        <v>0</v>
      </c>
      <c r="Y242" s="19">
        <v>0</v>
      </c>
      <c r="Z242" s="19">
        <v>0</v>
      </c>
      <c r="AA242" s="19">
        <v>0</v>
      </c>
      <c r="AC242" s="76">
        <f t="shared" si="6"/>
        <v>6.0165939560447512</v>
      </c>
      <c r="AD242" s="77"/>
      <c r="AE242" s="72"/>
    </row>
    <row r="243" spans="2:31" x14ac:dyDescent="0.25">
      <c r="B243" s="108">
        <v>42608</v>
      </c>
      <c r="C243" s="72">
        <f t="shared" si="7"/>
        <v>239</v>
      </c>
      <c r="D243" s="19">
        <v>0</v>
      </c>
      <c r="E243" s="19">
        <v>0</v>
      </c>
      <c r="F243" s="19">
        <v>0</v>
      </c>
      <c r="G243" s="19">
        <v>0</v>
      </c>
      <c r="H243" s="19">
        <v>0</v>
      </c>
      <c r="I243" s="19">
        <v>0</v>
      </c>
      <c r="J243" s="19">
        <v>17.167413342631949</v>
      </c>
      <c r="K243" s="19">
        <v>129.51614704826775</v>
      </c>
      <c r="L243" s="19">
        <v>285.60346156876579</v>
      </c>
      <c r="M243" s="19">
        <v>449.23282200388542</v>
      </c>
      <c r="N243" s="19">
        <v>596.45191335268385</v>
      </c>
      <c r="O243" s="19">
        <v>707.2104861209724</v>
      </c>
      <c r="P243" s="19">
        <v>887.232121383964</v>
      </c>
      <c r="Q243" s="19">
        <v>889.43578078426515</v>
      </c>
      <c r="R243" s="19">
        <v>816.61124368825836</v>
      </c>
      <c r="S243" s="19">
        <v>665.42974977385791</v>
      </c>
      <c r="T243" s="19">
        <v>433.54923169831267</v>
      </c>
      <c r="U243" s="19">
        <v>132.23829225142799</v>
      </c>
      <c r="V243" s="19">
        <v>0</v>
      </c>
      <c r="W243" s="19">
        <v>0</v>
      </c>
      <c r="X243" s="19">
        <v>0</v>
      </c>
      <c r="Y243" s="19">
        <v>0</v>
      </c>
      <c r="Z243" s="19">
        <v>0</v>
      </c>
      <c r="AA243" s="19">
        <v>0</v>
      </c>
      <c r="AC243" s="76">
        <f t="shared" si="6"/>
        <v>6.0096786630172936</v>
      </c>
      <c r="AD243" s="77"/>
      <c r="AE243" s="72"/>
    </row>
    <row r="244" spans="2:31" x14ac:dyDescent="0.25">
      <c r="B244" s="108">
        <v>42609</v>
      </c>
      <c r="C244" s="72">
        <f t="shared" si="7"/>
        <v>240</v>
      </c>
      <c r="D244" s="19">
        <v>0</v>
      </c>
      <c r="E244" s="19">
        <v>0</v>
      </c>
      <c r="F244" s="19">
        <v>0</v>
      </c>
      <c r="G244" s="19">
        <v>0</v>
      </c>
      <c r="H244" s="19">
        <v>0</v>
      </c>
      <c r="I244" s="19">
        <v>0</v>
      </c>
      <c r="J244" s="19">
        <v>16.601723983947821</v>
      </c>
      <c r="K244" s="19">
        <v>128.17095094334371</v>
      </c>
      <c r="L244" s="19">
        <v>284.74162818125149</v>
      </c>
      <c r="M244" s="19">
        <v>450.23344897104374</v>
      </c>
      <c r="N244" s="19">
        <v>597.98317880280501</v>
      </c>
      <c r="O244" s="19">
        <v>710.16602798033182</v>
      </c>
      <c r="P244" s="19">
        <v>890.67327875886258</v>
      </c>
      <c r="Q244" s="19">
        <v>892.64610202909546</v>
      </c>
      <c r="R244" s="19">
        <v>818.92521958024099</v>
      </c>
      <c r="S244" s="19">
        <v>666.01654046895374</v>
      </c>
      <c r="T244" s="19">
        <v>431.28572752467471</v>
      </c>
      <c r="U244" s="19">
        <v>127.17604944374263</v>
      </c>
      <c r="V244" s="19">
        <v>0</v>
      </c>
      <c r="W244" s="19">
        <v>0</v>
      </c>
      <c r="X244" s="19">
        <v>0</v>
      </c>
      <c r="Y244" s="19">
        <v>0</v>
      </c>
      <c r="Z244" s="19">
        <v>0</v>
      </c>
      <c r="AA244" s="19">
        <v>0</v>
      </c>
      <c r="AC244" s="76">
        <f t="shared" si="6"/>
        <v>6.014619876668295</v>
      </c>
      <c r="AD244" s="77"/>
      <c r="AE244" s="72"/>
    </row>
    <row r="245" spans="2:31" x14ac:dyDescent="0.25">
      <c r="B245" s="108">
        <v>42610</v>
      </c>
      <c r="C245" s="72">
        <f t="shared" si="7"/>
        <v>241</v>
      </c>
      <c r="D245" s="19">
        <v>0</v>
      </c>
      <c r="E245" s="19">
        <v>0</v>
      </c>
      <c r="F245" s="19">
        <v>0</v>
      </c>
      <c r="G245" s="19">
        <v>0</v>
      </c>
      <c r="H245" s="19">
        <v>0</v>
      </c>
      <c r="I245" s="19">
        <v>0</v>
      </c>
      <c r="J245" s="19">
        <v>16.043452949695308</v>
      </c>
      <c r="K245" s="19">
        <v>127.44919640498348</v>
      </c>
      <c r="L245" s="19">
        <v>283.63527832096537</v>
      </c>
      <c r="M245" s="19">
        <v>449.0634909061813</v>
      </c>
      <c r="N245" s="19">
        <v>597.83315301502512</v>
      </c>
      <c r="O245" s="19">
        <v>708.9786884775333</v>
      </c>
      <c r="P245" s="19">
        <v>894.0996617793578</v>
      </c>
      <c r="Q245" s="19">
        <v>895.83259143570444</v>
      </c>
      <c r="R245" s="19">
        <v>821.19742740895185</v>
      </c>
      <c r="S245" s="19">
        <v>666.52866950563191</v>
      </c>
      <c r="T245" s="19">
        <v>428.89025907092406</v>
      </c>
      <c r="U245" s="19">
        <v>122.07421259259652</v>
      </c>
      <c r="V245" s="19">
        <v>0</v>
      </c>
      <c r="W245" s="19">
        <v>0</v>
      </c>
      <c r="X245" s="19">
        <v>0</v>
      </c>
      <c r="Y245" s="19">
        <v>0</v>
      </c>
      <c r="Z245" s="19">
        <v>0</v>
      </c>
      <c r="AA245" s="19">
        <v>0</v>
      </c>
      <c r="AC245" s="76">
        <f t="shared" si="6"/>
        <v>6.0116260818675498</v>
      </c>
      <c r="AD245" s="77"/>
      <c r="AE245" s="72"/>
    </row>
    <row r="246" spans="2:31" x14ac:dyDescent="0.25">
      <c r="B246" s="108">
        <v>42611</v>
      </c>
      <c r="C246" s="72">
        <f t="shared" si="7"/>
        <v>242</v>
      </c>
      <c r="D246" s="19">
        <v>0</v>
      </c>
      <c r="E246" s="19">
        <v>0</v>
      </c>
      <c r="F246" s="19">
        <v>0</v>
      </c>
      <c r="G246" s="19">
        <v>0</v>
      </c>
      <c r="H246" s="19">
        <v>0</v>
      </c>
      <c r="I246" s="19">
        <v>0</v>
      </c>
      <c r="J246" s="19">
        <v>15.533500750973118</v>
      </c>
      <c r="K246" s="19">
        <v>126.3953923308806</v>
      </c>
      <c r="L246" s="19">
        <v>282.62438385236806</v>
      </c>
      <c r="M246" s="19">
        <v>450.78947009708969</v>
      </c>
      <c r="N246" s="19">
        <v>601.40854643790681</v>
      </c>
      <c r="O246" s="19">
        <v>711.23961428902976</v>
      </c>
      <c r="P246" s="19">
        <v>897.50792355746478</v>
      </c>
      <c r="Q246" s="19">
        <v>898.99166556200782</v>
      </c>
      <c r="R246" s="19">
        <v>823.42414988597432</v>
      </c>
      <c r="S246" s="19">
        <v>666.96222157954503</v>
      </c>
      <c r="T246" s="19">
        <v>426.3587293657165</v>
      </c>
      <c r="U246" s="19">
        <v>116.94931626320761</v>
      </c>
      <c r="V246" s="19">
        <v>0</v>
      </c>
      <c r="W246" s="19">
        <v>0</v>
      </c>
      <c r="X246" s="19">
        <v>0</v>
      </c>
      <c r="Y246" s="19">
        <v>0</v>
      </c>
      <c r="Z246" s="19">
        <v>0</v>
      </c>
      <c r="AA246" s="19">
        <v>0</v>
      </c>
      <c r="AC246" s="76">
        <f t="shared" si="6"/>
        <v>6.0181849139721644</v>
      </c>
      <c r="AD246" s="77"/>
      <c r="AE246" s="72"/>
    </row>
    <row r="247" spans="2:31" x14ac:dyDescent="0.25">
      <c r="B247" s="108">
        <v>42612</v>
      </c>
      <c r="C247" s="72">
        <f t="shared" si="7"/>
        <v>243</v>
      </c>
      <c r="D247" s="19">
        <v>0</v>
      </c>
      <c r="E247" s="19">
        <v>0</v>
      </c>
      <c r="F247" s="19">
        <v>0</v>
      </c>
      <c r="G247" s="19">
        <v>0</v>
      </c>
      <c r="H247" s="19">
        <v>0</v>
      </c>
      <c r="I247" s="19">
        <v>0</v>
      </c>
      <c r="J247" s="19">
        <v>15.290244057703234</v>
      </c>
      <c r="K247" s="19">
        <v>128.1490132099926</v>
      </c>
      <c r="L247" s="19">
        <v>288.04475104515524</v>
      </c>
      <c r="M247" s="19">
        <v>455.93437920943342</v>
      </c>
      <c r="N247" s="19">
        <v>606.15607002590514</v>
      </c>
      <c r="O247" s="19">
        <v>719.57520527122165</v>
      </c>
      <c r="P247" s="19">
        <v>900.89470716555525</v>
      </c>
      <c r="Q247" s="19">
        <v>902.11973111891632</v>
      </c>
      <c r="R247" s="19">
        <v>825.60166086198103</v>
      </c>
      <c r="S247" s="19">
        <v>667.31327382624727</v>
      </c>
      <c r="T247" s="19">
        <v>423.68709054814406</v>
      </c>
      <c r="U247" s="19">
        <v>111.82014585841912</v>
      </c>
      <c r="V247" s="19">
        <v>0</v>
      </c>
      <c r="W247" s="19">
        <v>0</v>
      </c>
      <c r="X247" s="19">
        <v>0</v>
      </c>
      <c r="Y247" s="19">
        <v>0</v>
      </c>
      <c r="Z247" s="19">
        <v>0</v>
      </c>
      <c r="AA247" s="19">
        <v>0</v>
      </c>
      <c r="AC247" s="76">
        <f t="shared" si="6"/>
        <v>6.0445862721986741</v>
      </c>
      <c r="AD247" s="77"/>
      <c r="AE247" s="72"/>
    </row>
    <row r="248" spans="2:31" x14ac:dyDescent="0.25">
      <c r="B248" s="108">
        <v>42613</v>
      </c>
      <c r="C248" s="72">
        <f t="shared" si="7"/>
        <v>244</v>
      </c>
      <c r="D248" s="19">
        <v>0</v>
      </c>
      <c r="E248" s="19">
        <v>0</v>
      </c>
      <c r="F248" s="19">
        <v>0</v>
      </c>
      <c r="G248" s="19">
        <v>0</v>
      </c>
      <c r="H248" s="19">
        <v>0</v>
      </c>
      <c r="I248" s="19">
        <v>0</v>
      </c>
      <c r="J248" s="19">
        <v>14.615272158551978</v>
      </c>
      <c r="K248" s="19">
        <v>125.90068867577226</v>
      </c>
      <c r="L248" s="19">
        <v>284.31512927486244</v>
      </c>
      <c r="M248" s="19">
        <v>453.34320113027513</v>
      </c>
      <c r="N248" s="19">
        <v>604.28320260766168</v>
      </c>
      <c r="O248" s="19">
        <v>719.4093178567623</v>
      </c>
      <c r="P248" s="19">
        <v>904.25664949122938</v>
      </c>
      <c r="Q248" s="19">
        <v>905.21318914463131</v>
      </c>
      <c r="R248" s="19">
        <v>827.72622973618911</v>
      </c>
      <c r="S248" s="19">
        <v>667.5779007837366</v>
      </c>
      <c r="T248" s="19">
        <v>420.87135684122916</v>
      </c>
      <c r="U248" s="19">
        <v>106.70792678442973</v>
      </c>
      <c r="V248" s="19">
        <v>0</v>
      </c>
      <c r="W248" s="19">
        <v>0</v>
      </c>
      <c r="X248" s="19">
        <v>0</v>
      </c>
      <c r="Y248" s="19">
        <v>0</v>
      </c>
      <c r="Z248" s="19">
        <v>0</v>
      </c>
      <c r="AA248" s="19">
        <v>0</v>
      </c>
      <c r="AC248" s="76">
        <f t="shared" si="6"/>
        <v>6.0342200644853321</v>
      </c>
      <c r="AD248" s="77"/>
      <c r="AE248" s="72"/>
    </row>
    <row r="249" spans="2:31" x14ac:dyDescent="0.25">
      <c r="B249" s="108">
        <v>42614</v>
      </c>
      <c r="C249" s="72">
        <f t="shared" si="7"/>
        <v>245</v>
      </c>
      <c r="D249" s="19">
        <v>0</v>
      </c>
      <c r="E249" s="19">
        <v>0</v>
      </c>
      <c r="F249" s="19">
        <v>0</v>
      </c>
      <c r="G249" s="19">
        <v>0</v>
      </c>
      <c r="H249" s="19">
        <v>0</v>
      </c>
      <c r="I249" s="19">
        <v>0</v>
      </c>
      <c r="J249" s="19">
        <v>14.245980813740305</v>
      </c>
      <c r="K249" s="19">
        <v>126.35634225365067</v>
      </c>
      <c r="L249" s="19">
        <v>288.37579774394658</v>
      </c>
      <c r="M249" s="19">
        <v>457.60461896482661</v>
      </c>
      <c r="N249" s="19">
        <v>607.6419203166065</v>
      </c>
      <c r="O249" s="19">
        <v>721.1133936993059</v>
      </c>
      <c r="P249" s="19">
        <v>907.59038521138029</v>
      </c>
      <c r="Q249" s="19">
        <v>908.26843931076053</v>
      </c>
      <c r="R249" s="19">
        <v>829.79412601411491</v>
      </c>
      <c r="S249" s="19">
        <v>667.7521795647117</v>
      </c>
      <c r="T249" s="19">
        <v>417.90761856609731</v>
      </c>
      <c r="U249" s="19">
        <v>101.63652977471499</v>
      </c>
      <c r="V249" s="19">
        <v>0</v>
      </c>
      <c r="W249" s="19">
        <v>0</v>
      </c>
      <c r="X249" s="19">
        <v>0</v>
      </c>
      <c r="Y249" s="19">
        <v>0</v>
      </c>
      <c r="Z249" s="19">
        <v>0</v>
      </c>
      <c r="AA249" s="19">
        <v>0</v>
      </c>
      <c r="AC249" s="76">
        <f t="shared" si="6"/>
        <v>6.0482873322338566</v>
      </c>
      <c r="AD249" s="77"/>
      <c r="AE249" s="72"/>
    </row>
    <row r="250" spans="2:31" x14ac:dyDescent="0.25">
      <c r="B250" s="108">
        <v>42615</v>
      </c>
      <c r="C250" s="72">
        <f t="shared" si="7"/>
        <v>246</v>
      </c>
      <c r="D250" s="19">
        <v>0</v>
      </c>
      <c r="E250" s="19">
        <v>0</v>
      </c>
      <c r="F250" s="19">
        <v>0</v>
      </c>
      <c r="G250" s="19">
        <v>0</v>
      </c>
      <c r="H250" s="19">
        <v>0</v>
      </c>
      <c r="I250" s="19">
        <v>0</v>
      </c>
      <c r="J250" s="19">
        <v>13.714973310506981</v>
      </c>
      <c r="K250" s="19">
        <v>124.69385479996832</v>
      </c>
      <c r="L250" s="19">
        <v>284.94907263762013</v>
      </c>
      <c r="M250" s="19">
        <v>455.47557812238631</v>
      </c>
      <c r="N250" s="19">
        <v>608.46082418056199</v>
      </c>
      <c r="O250" s="19">
        <v>722.58150574839397</v>
      </c>
      <c r="P250" s="19">
        <v>910.89255088060213</v>
      </c>
      <c r="Q250" s="19">
        <v>911.28188435548839</v>
      </c>
      <c r="R250" s="19">
        <v>831.80162400997415</v>
      </c>
      <c r="S250" s="19">
        <v>667.83219523997798</v>
      </c>
      <c r="T250" s="19">
        <v>414.79205727141601</v>
      </c>
      <c r="U250" s="19">
        <v>96.632701810756458</v>
      </c>
      <c r="V250" s="19">
        <v>0</v>
      </c>
      <c r="W250" s="19">
        <v>0</v>
      </c>
      <c r="X250" s="19">
        <v>0</v>
      </c>
      <c r="Y250" s="19">
        <v>0</v>
      </c>
      <c r="Z250" s="19">
        <v>0</v>
      </c>
      <c r="AA250" s="19">
        <v>0</v>
      </c>
      <c r="AC250" s="76">
        <f t="shared" si="6"/>
        <v>6.0431088223676523</v>
      </c>
      <c r="AD250" s="77"/>
      <c r="AE250" s="72"/>
    </row>
    <row r="251" spans="2:31" x14ac:dyDescent="0.25">
      <c r="B251" s="108">
        <v>42616</v>
      </c>
      <c r="C251" s="72">
        <f t="shared" si="7"/>
        <v>247</v>
      </c>
      <c r="D251" s="19">
        <v>0</v>
      </c>
      <c r="E251" s="19">
        <v>0</v>
      </c>
      <c r="F251" s="19">
        <v>0</v>
      </c>
      <c r="G251" s="19">
        <v>0</v>
      </c>
      <c r="H251" s="19">
        <v>0</v>
      </c>
      <c r="I251" s="19">
        <v>0</v>
      </c>
      <c r="J251" s="19">
        <v>13.237295407552471</v>
      </c>
      <c r="K251" s="19">
        <v>124.11025481102969</v>
      </c>
      <c r="L251" s="19">
        <v>284.06396383829184</v>
      </c>
      <c r="M251" s="19">
        <v>455.69964594297045</v>
      </c>
      <c r="N251" s="19">
        <v>609.23576884335012</v>
      </c>
      <c r="O251" s="19">
        <v>724.09699617227682</v>
      </c>
      <c r="P251" s="19">
        <v>914.15978912871469</v>
      </c>
      <c r="Q251" s="19">
        <v>914.24993463864314</v>
      </c>
      <c r="R251" s="19">
        <v>833.74500768970267</v>
      </c>
      <c r="S251" s="19">
        <v>667.8140464343287</v>
      </c>
      <c r="T251" s="19">
        <v>411.52096205748887</v>
      </c>
      <c r="U251" s="19">
        <v>91.726339636249818</v>
      </c>
      <c r="V251" s="19">
        <v>0</v>
      </c>
      <c r="W251" s="19">
        <v>0</v>
      </c>
      <c r="X251" s="19">
        <v>0</v>
      </c>
      <c r="Y251" s="19">
        <v>0</v>
      </c>
      <c r="Z251" s="19">
        <v>0</v>
      </c>
      <c r="AA251" s="19">
        <v>0</v>
      </c>
      <c r="AC251" s="76">
        <f t="shared" si="6"/>
        <v>6.043660004600599</v>
      </c>
      <c r="AD251" s="77"/>
      <c r="AE251" s="72"/>
    </row>
    <row r="252" spans="2:31" x14ac:dyDescent="0.25">
      <c r="B252" s="108">
        <v>42617</v>
      </c>
      <c r="C252" s="72">
        <f t="shared" si="7"/>
        <v>248</v>
      </c>
      <c r="D252" s="19">
        <v>0</v>
      </c>
      <c r="E252" s="19">
        <v>0</v>
      </c>
      <c r="F252" s="19">
        <v>0</v>
      </c>
      <c r="G252" s="19">
        <v>0</v>
      </c>
      <c r="H252" s="19">
        <v>0</v>
      </c>
      <c r="I252" s="19">
        <v>0</v>
      </c>
      <c r="J252" s="19">
        <v>12.783387481859332</v>
      </c>
      <c r="K252" s="19">
        <v>123.21355460595001</v>
      </c>
      <c r="L252" s="19">
        <v>283.90034453647894</v>
      </c>
      <c r="M252" s="19">
        <v>456.94431726031507</v>
      </c>
      <c r="N252" s="19">
        <v>611.4229796413581</v>
      </c>
      <c r="O252" s="19">
        <v>726.84495932155448</v>
      </c>
      <c r="P252" s="19">
        <v>917.38875296179788</v>
      </c>
      <c r="Q252" s="19">
        <v>917.16901281311061</v>
      </c>
      <c r="R252" s="19">
        <v>835.62057565022485</v>
      </c>
      <c r="S252" s="19">
        <v>667.69385113609178</v>
      </c>
      <c r="T252" s="19">
        <v>408.09074717919356</v>
      </c>
      <c r="U252" s="19">
        <v>86.950835208479873</v>
      </c>
      <c r="V252" s="19">
        <v>0</v>
      </c>
      <c r="W252" s="19">
        <v>0</v>
      </c>
      <c r="X252" s="19">
        <v>0</v>
      </c>
      <c r="Y252" s="19">
        <v>0</v>
      </c>
      <c r="Z252" s="19">
        <v>0</v>
      </c>
      <c r="AA252" s="19">
        <v>0</v>
      </c>
      <c r="AC252" s="76">
        <f t="shared" si="6"/>
        <v>6.0480233177964138</v>
      </c>
      <c r="AD252" s="77"/>
      <c r="AE252" s="72"/>
    </row>
    <row r="253" spans="2:31" x14ac:dyDescent="0.25">
      <c r="B253" s="108">
        <v>42618</v>
      </c>
      <c r="C253" s="72">
        <f t="shared" si="7"/>
        <v>249</v>
      </c>
      <c r="D253" s="19">
        <v>0</v>
      </c>
      <c r="E253" s="19">
        <v>0</v>
      </c>
      <c r="F253" s="19">
        <v>0</v>
      </c>
      <c r="G253" s="19">
        <v>0</v>
      </c>
      <c r="H253" s="19">
        <v>0</v>
      </c>
      <c r="I253" s="19">
        <v>0</v>
      </c>
      <c r="J253" s="19">
        <v>12.519092483149288</v>
      </c>
      <c r="K253" s="19">
        <v>123.8224296802692</v>
      </c>
      <c r="L253" s="19">
        <v>284.23465396422341</v>
      </c>
      <c r="M253" s="19">
        <v>457.64553564302878</v>
      </c>
      <c r="N253" s="19">
        <v>612.65032692719888</v>
      </c>
      <c r="O253" s="19">
        <v>730.61327410259264</v>
      </c>
      <c r="P253" s="19">
        <v>920.57611016076191</v>
      </c>
      <c r="Q253" s="19">
        <v>920.03555860666563</v>
      </c>
      <c r="R253" s="19">
        <v>837.42464623024716</v>
      </c>
      <c r="S253" s="19">
        <v>667.46775272140724</v>
      </c>
      <c r="T253" s="19">
        <v>404.49797101680389</v>
      </c>
      <c r="U253" s="19">
        <v>82.343542314179643</v>
      </c>
      <c r="V253" s="19">
        <v>0</v>
      </c>
      <c r="W253" s="19">
        <v>0</v>
      </c>
      <c r="X253" s="19">
        <v>0</v>
      </c>
      <c r="Y253" s="19">
        <v>0</v>
      </c>
      <c r="Z253" s="19">
        <v>0</v>
      </c>
      <c r="AA253" s="19">
        <v>0</v>
      </c>
      <c r="AC253" s="76">
        <f t="shared" si="6"/>
        <v>6.0538308938505283</v>
      </c>
      <c r="AD253" s="77"/>
      <c r="AE253" s="72"/>
    </row>
    <row r="254" spans="2:31" x14ac:dyDescent="0.25">
      <c r="B254" s="108">
        <v>42619</v>
      </c>
      <c r="C254" s="72">
        <f t="shared" si="7"/>
        <v>250</v>
      </c>
      <c r="D254" s="19">
        <v>0</v>
      </c>
      <c r="E254" s="19">
        <v>0</v>
      </c>
      <c r="F254" s="19">
        <v>0</v>
      </c>
      <c r="G254" s="19">
        <v>0</v>
      </c>
      <c r="H254" s="19">
        <v>0</v>
      </c>
      <c r="I254" s="19">
        <v>0</v>
      </c>
      <c r="J254" s="19">
        <v>12.04773346988687</v>
      </c>
      <c r="K254" s="19">
        <v>122.68788413343367</v>
      </c>
      <c r="L254" s="19">
        <v>287.25446005496673</v>
      </c>
      <c r="M254" s="19">
        <v>463.12000808703408</v>
      </c>
      <c r="N254" s="19">
        <v>618.29102065353288</v>
      </c>
      <c r="O254" s="19">
        <v>735.91591231663267</v>
      </c>
      <c r="P254" s="19">
        <v>923.71854777112208</v>
      </c>
      <c r="Q254" s="19">
        <v>922.84603370791262</v>
      </c>
      <c r="R254" s="19">
        <v>839.15356274749684</v>
      </c>
      <c r="S254" s="19">
        <v>667.13192619417578</v>
      </c>
      <c r="T254" s="19">
        <v>400.7393565084385</v>
      </c>
      <c r="U254" s="19">
        <v>77.946445343553677</v>
      </c>
      <c r="V254" s="19">
        <v>0</v>
      </c>
      <c r="W254" s="19">
        <v>0</v>
      </c>
      <c r="X254" s="19">
        <v>0</v>
      </c>
      <c r="Y254" s="19">
        <v>0</v>
      </c>
      <c r="Z254" s="19">
        <v>0</v>
      </c>
      <c r="AA254" s="19">
        <v>0</v>
      </c>
      <c r="AC254" s="76">
        <f t="shared" si="6"/>
        <v>6.0708528909881858</v>
      </c>
      <c r="AD254" s="77"/>
      <c r="AE254" s="72"/>
    </row>
    <row r="255" spans="2:31" x14ac:dyDescent="0.25">
      <c r="B255" s="108">
        <v>42620</v>
      </c>
      <c r="C255" s="72">
        <f t="shared" si="7"/>
        <v>251</v>
      </c>
      <c r="D255" s="19">
        <v>0</v>
      </c>
      <c r="E255" s="19">
        <v>0</v>
      </c>
      <c r="F255" s="19">
        <v>0</v>
      </c>
      <c r="G255" s="19">
        <v>0</v>
      </c>
      <c r="H255" s="19">
        <v>0</v>
      </c>
      <c r="I255" s="19">
        <v>0</v>
      </c>
      <c r="J255" s="19">
        <v>11.63667963419195</v>
      </c>
      <c r="K255" s="19">
        <v>122.3192155516906</v>
      </c>
      <c r="L255" s="19">
        <v>287.92340970030745</v>
      </c>
      <c r="M255" s="19">
        <v>462.02635358715213</v>
      </c>
      <c r="N255" s="19">
        <v>618.33893371158661</v>
      </c>
      <c r="O255" s="19">
        <v>737.30417736039476</v>
      </c>
      <c r="P255" s="19">
        <v>926.81277667731615</v>
      </c>
      <c r="Q255" s="19">
        <v>925.59692674969835</v>
      </c>
      <c r="R255" s="19">
        <v>840.80369885702714</v>
      </c>
      <c r="S255" s="19">
        <v>666.68258464249755</v>
      </c>
      <c r="T255" s="19">
        <v>396.81181314242951</v>
      </c>
      <c r="U255" s="19">
        <v>73.807161857376144</v>
      </c>
      <c r="V255" s="19">
        <v>0</v>
      </c>
      <c r="W255" s="19">
        <v>0</v>
      </c>
      <c r="X255" s="19">
        <v>0</v>
      </c>
      <c r="Y255" s="19">
        <v>0</v>
      </c>
      <c r="Z255" s="19">
        <v>0</v>
      </c>
      <c r="AA255" s="19">
        <v>0</v>
      </c>
      <c r="AC255" s="76">
        <f t="shared" si="6"/>
        <v>6.0700637314716683</v>
      </c>
      <c r="AD255" s="77"/>
      <c r="AE255" s="72"/>
    </row>
    <row r="256" spans="2:31" x14ac:dyDescent="0.25">
      <c r="B256" s="108">
        <v>42621</v>
      </c>
      <c r="C256" s="72">
        <f t="shared" si="7"/>
        <v>252</v>
      </c>
      <c r="D256" s="19">
        <v>0</v>
      </c>
      <c r="E256" s="19">
        <v>0</v>
      </c>
      <c r="F256" s="19">
        <v>0</v>
      </c>
      <c r="G256" s="19">
        <v>0</v>
      </c>
      <c r="H256" s="19">
        <v>0</v>
      </c>
      <c r="I256" s="19">
        <v>0</v>
      </c>
      <c r="J256" s="19">
        <v>11.275781508298003</v>
      </c>
      <c r="K256" s="19">
        <v>121.74157406232717</v>
      </c>
      <c r="L256" s="19">
        <v>286.63193471500006</v>
      </c>
      <c r="M256" s="19">
        <v>461.85813128912861</v>
      </c>
      <c r="N256" s="19">
        <v>621.4608217680493</v>
      </c>
      <c r="O256" s="19">
        <v>738.0283973958949</v>
      </c>
      <c r="P256" s="19">
        <v>929.85553625455873</v>
      </c>
      <c r="Q256" s="19">
        <v>928.28475838298596</v>
      </c>
      <c r="R256" s="19">
        <v>842.37146402484098</v>
      </c>
      <c r="S256" s="19">
        <v>666.11598591226095</v>
      </c>
      <c r="T256" s="19">
        <v>392.71246061201816</v>
      </c>
      <c r="U256" s="19">
        <v>69.980491611905393</v>
      </c>
      <c r="V256" s="19">
        <v>0</v>
      </c>
      <c r="W256" s="19">
        <v>0</v>
      </c>
      <c r="X256" s="19">
        <v>0</v>
      </c>
      <c r="Y256" s="19">
        <v>0</v>
      </c>
      <c r="Z256" s="19">
        <v>0</v>
      </c>
      <c r="AA256" s="19">
        <v>0</v>
      </c>
      <c r="AC256" s="76">
        <f t="shared" si="6"/>
        <v>6.0703173375372677</v>
      </c>
      <c r="AD256" s="77"/>
      <c r="AE256" s="72"/>
    </row>
    <row r="257" spans="2:31" x14ac:dyDescent="0.25">
      <c r="B257" s="108">
        <v>42622</v>
      </c>
      <c r="C257" s="72">
        <f t="shared" si="7"/>
        <v>253</v>
      </c>
      <c r="D257" s="19">
        <v>0</v>
      </c>
      <c r="E257" s="19">
        <v>0</v>
      </c>
      <c r="F257" s="19">
        <v>0</v>
      </c>
      <c r="G257" s="19">
        <v>0</v>
      </c>
      <c r="H257" s="19">
        <v>0</v>
      </c>
      <c r="I257" s="19">
        <v>0</v>
      </c>
      <c r="J257" s="19">
        <v>10.804156773579059</v>
      </c>
      <c r="K257" s="19">
        <v>120.75146459552218</v>
      </c>
      <c r="L257" s="19">
        <v>286.41743789863523</v>
      </c>
      <c r="M257" s="19">
        <v>462.90070788349311</v>
      </c>
      <c r="N257" s="19">
        <v>621.43949851410605</v>
      </c>
      <c r="O257" s="19">
        <v>740.09295490058116</v>
      </c>
      <c r="P257" s="19">
        <v>932.84359909093996</v>
      </c>
      <c r="Q257" s="19">
        <v>930.90608643387111</v>
      </c>
      <c r="R257" s="19">
        <v>843.85330911081644</v>
      </c>
      <c r="S257" s="19">
        <v>665.42843949841358</v>
      </c>
      <c r="T257" s="19">
        <v>388.43865423845807</v>
      </c>
      <c r="U257" s="19">
        <v>66.530855638545589</v>
      </c>
      <c r="V257" s="19">
        <v>0</v>
      </c>
      <c r="W257" s="19">
        <v>0</v>
      </c>
      <c r="X257" s="19">
        <v>0</v>
      </c>
      <c r="Y257" s="19">
        <v>0</v>
      </c>
      <c r="Z257" s="19">
        <v>0</v>
      </c>
      <c r="AA257" s="19">
        <v>0</v>
      </c>
      <c r="AC257" s="76">
        <f t="shared" si="6"/>
        <v>6.0704071645769613</v>
      </c>
      <c r="AD257" s="77"/>
      <c r="AE257" s="72"/>
    </row>
    <row r="258" spans="2:31" x14ac:dyDescent="0.25">
      <c r="B258" s="108">
        <v>42623</v>
      </c>
      <c r="C258" s="72">
        <f t="shared" si="7"/>
        <v>254</v>
      </c>
      <c r="D258" s="19">
        <v>0</v>
      </c>
      <c r="E258" s="19">
        <v>0</v>
      </c>
      <c r="F258" s="19">
        <v>0</v>
      </c>
      <c r="G258" s="19">
        <v>0</v>
      </c>
      <c r="H258" s="19">
        <v>0</v>
      </c>
      <c r="I258" s="19">
        <v>0</v>
      </c>
      <c r="J258" s="19">
        <v>10.479235635405358</v>
      </c>
      <c r="K258" s="19">
        <v>120.34994038039164</v>
      </c>
      <c r="L258" s="19">
        <v>285.25047361088559</v>
      </c>
      <c r="M258" s="19">
        <v>463.91986582433361</v>
      </c>
      <c r="N258" s="19">
        <v>622.8783444415966</v>
      </c>
      <c r="O258" s="19">
        <v>741.74373172824573</v>
      </c>
      <c r="P258" s="19">
        <v>935.77377577215611</v>
      </c>
      <c r="Q258" s="19">
        <v>933.45751113611561</v>
      </c>
      <c r="R258" s="19">
        <v>845.24573205457341</v>
      </c>
      <c r="S258" s="19">
        <v>664.61631365427002</v>
      </c>
      <c r="T258" s="19">
        <v>383.98801227145515</v>
      </c>
      <c r="U258" s="19">
        <v>63.53618395916169</v>
      </c>
      <c r="V258" s="19">
        <v>0</v>
      </c>
      <c r="W258" s="19">
        <v>0</v>
      </c>
      <c r="X258" s="19">
        <v>0</v>
      </c>
      <c r="Y258" s="19">
        <v>0</v>
      </c>
      <c r="Z258" s="19">
        <v>0</v>
      </c>
      <c r="AA258" s="19">
        <v>0</v>
      </c>
      <c r="AC258" s="76">
        <f t="shared" si="6"/>
        <v>6.07123912046859</v>
      </c>
      <c r="AD258" s="77"/>
      <c r="AE258" s="72"/>
    </row>
    <row r="259" spans="2:31" x14ac:dyDescent="0.25">
      <c r="B259" s="108">
        <v>42624</v>
      </c>
      <c r="C259" s="72">
        <f t="shared" si="7"/>
        <v>255</v>
      </c>
      <c r="D259" s="19">
        <v>0</v>
      </c>
      <c r="E259" s="19">
        <v>0</v>
      </c>
      <c r="F259" s="19">
        <v>0</v>
      </c>
      <c r="G259" s="19">
        <v>0</v>
      </c>
      <c r="H259" s="19">
        <v>0</v>
      </c>
      <c r="I259" s="19">
        <v>0</v>
      </c>
      <c r="J259" s="19">
        <v>10.108497103557102</v>
      </c>
      <c r="K259" s="19">
        <v>119.82123830819377</v>
      </c>
      <c r="L259" s="19">
        <v>285.00576879397426</v>
      </c>
      <c r="M259" s="19">
        <v>463.03641798025819</v>
      </c>
      <c r="N259" s="19">
        <v>623.82872806301259</v>
      </c>
      <c r="O259" s="19">
        <v>742.87299255841731</v>
      </c>
      <c r="P259" s="19">
        <v>938.64291972100045</v>
      </c>
      <c r="Q259" s="19">
        <v>935.93568043124856</v>
      </c>
      <c r="R259" s="19">
        <v>846.54528365764554</v>
      </c>
      <c r="S259" s="19">
        <v>663.67604271901746</v>
      </c>
      <c r="T259" s="19">
        <v>379.35844517772989</v>
      </c>
      <c r="U259" s="19">
        <v>61.094171239259175</v>
      </c>
      <c r="V259" s="19">
        <v>0</v>
      </c>
      <c r="W259" s="19">
        <v>0</v>
      </c>
      <c r="X259" s="19">
        <v>0</v>
      </c>
      <c r="Y259" s="19">
        <v>0</v>
      </c>
      <c r="Z259" s="19">
        <v>0</v>
      </c>
      <c r="AA259" s="19">
        <v>0</v>
      </c>
      <c r="AC259" s="76">
        <f t="shared" si="6"/>
        <v>6.0699261857533138</v>
      </c>
      <c r="AD259" s="77"/>
      <c r="AE259" s="72"/>
    </row>
    <row r="260" spans="2:31" x14ac:dyDescent="0.25">
      <c r="B260" s="108">
        <v>42625</v>
      </c>
      <c r="C260" s="72">
        <f t="shared" si="7"/>
        <v>256</v>
      </c>
      <c r="D260" s="19">
        <v>0</v>
      </c>
      <c r="E260" s="19">
        <v>0</v>
      </c>
      <c r="F260" s="19">
        <v>0</v>
      </c>
      <c r="G260" s="19">
        <v>0</v>
      </c>
      <c r="H260" s="19">
        <v>0</v>
      </c>
      <c r="I260" s="19">
        <v>0</v>
      </c>
      <c r="J260" s="19">
        <v>9.7242521835856266</v>
      </c>
      <c r="K260" s="19">
        <v>118.37607198876705</v>
      </c>
      <c r="L260" s="19">
        <v>284.84935030687114</v>
      </c>
      <c r="M260" s="19">
        <v>464.03154573935228</v>
      </c>
      <c r="N260" s="19">
        <v>626.84115529507085</v>
      </c>
      <c r="O260" s="19">
        <v>748.96960512453495</v>
      </c>
      <c r="P260" s="19">
        <v>941.44793208347926</v>
      </c>
      <c r="Q260" s="19">
        <v>938.3372953280433</v>
      </c>
      <c r="R260" s="19">
        <v>847.74857345502289</v>
      </c>
      <c r="S260" s="19">
        <v>662.6041346633782</v>
      </c>
      <c r="T260" s="19">
        <v>374.54818702901656</v>
      </c>
      <c r="U260" s="19">
        <v>59.332440548939076</v>
      </c>
      <c r="V260" s="19">
        <v>0</v>
      </c>
      <c r="W260" s="19">
        <v>0</v>
      </c>
      <c r="X260" s="19">
        <v>0</v>
      </c>
      <c r="Y260" s="19">
        <v>0</v>
      </c>
      <c r="Z260" s="19">
        <v>0</v>
      </c>
      <c r="AA260" s="19">
        <v>0</v>
      </c>
      <c r="AC260" s="76">
        <f t="shared" si="6"/>
        <v>6.0768105437460616</v>
      </c>
      <c r="AD260" s="77"/>
      <c r="AE260" s="72"/>
    </row>
    <row r="261" spans="2:31" x14ac:dyDescent="0.25">
      <c r="B261" s="108">
        <v>42626</v>
      </c>
      <c r="C261" s="72">
        <f t="shared" si="7"/>
        <v>257</v>
      </c>
      <c r="D261" s="19">
        <v>0</v>
      </c>
      <c r="E261" s="19">
        <v>0</v>
      </c>
      <c r="F261" s="19">
        <v>0</v>
      </c>
      <c r="G261" s="19">
        <v>0</v>
      </c>
      <c r="H261" s="19">
        <v>0</v>
      </c>
      <c r="I261" s="19">
        <v>0</v>
      </c>
      <c r="J261" s="19">
        <v>9.3854084846365087</v>
      </c>
      <c r="K261" s="19">
        <v>118.06217562478443</v>
      </c>
      <c r="L261" s="19">
        <v>284.38660565898795</v>
      </c>
      <c r="M261" s="19">
        <v>465.48237128021634</v>
      </c>
      <c r="N261" s="19">
        <v>628.28381268277292</v>
      </c>
      <c r="O261" s="19">
        <v>749.55415233549741</v>
      </c>
      <c r="P261" s="19">
        <v>944.18576665316448</v>
      </c>
      <c r="Q261" s="19">
        <v>940.65911531287531</v>
      </c>
      <c r="R261" s="19">
        <v>848.85227566884635</v>
      </c>
      <c r="S261" s="19">
        <v>661.39717885312189</v>
      </c>
      <c r="T261" s="19">
        <v>369.55582909958832</v>
      </c>
      <c r="U261" s="19">
        <v>58.425251864987253</v>
      </c>
      <c r="V261" s="19">
        <v>0</v>
      </c>
      <c r="W261" s="19">
        <v>0</v>
      </c>
      <c r="X261" s="19">
        <v>0</v>
      </c>
      <c r="Y261" s="19">
        <v>0</v>
      </c>
      <c r="Z261" s="19">
        <v>0</v>
      </c>
      <c r="AA261" s="19">
        <v>0</v>
      </c>
      <c r="AC261" s="76">
        <f t="shared" si="6"/>
        <v>6.0782299435194789</v>
      </c>
      <c r="AD261" s="77"/>
      <c r="AE261" s="72"/>
    </row>
    <row r="262" spans="2:31" x14ac:dyDescent="0.25">
      <c r="B262" s="108">
        <v>42627</v>
      </c>
      <c r="C262" s="72">
        <f t="shared" si="7"/>
        <v>258</v>
      </c>
      <c r="D262" s="19">
        <v>0</v>
      </c>
      <c r="E262" s="19">
        <v>0</v>
      </c>
      <c r="F262" s="19">
        <v>0</v>
      </c>
      <c r="G262" s="19">
        <v>0</v>
      </c>
      <c r="H262" s="19">
        <v>0</v>
      </c>
      <c r="I262" s="19">
        <v>0</v>
      </c>
      <c r="J262" s="19">
        <v>9.2228163863280859</v>
      </c>
      <c r="K262" s="19">
        <v>119.92686163828664</v>
      </c>
      <c r="L262" s="19">
        <v>291.97641297133583</v>
      </c>
      <c r="M262" s="19">
        <v>476.97344796734228</v>
      </c>
      <c r="N262" s="19">
        <v>639.88738879352718</v>
      </c>
      <c r="O262" s="19">
        <v>762.87363224250851</v>
      </c>
      <c r="P262" s="19">
        <v>946.85343482518658</v>
      </c>
      <c r="Q262" s="19">
        <v>942.8979638022513</v>
      </c>
      <c r="R262" s="19">
        <v>849.85313523676075</v>
      </c>
      <c r="S262" s="19">
        <v>660.05185402983557</v>
      </c>
      <c r="T262" s="19">
        <v>364.38035577999057</v>
      </c>
      <c r="U262" s="19">
        <v>58.62136769886682</v>
      </c>
      <c r="V262" s="19">
        <v>0</v>
      </c>
      <c r="W262" s="19">
        <v>0</v>
      </c>
      <c r="X262" s="19">
        <v>0</v>
      </c>
      <c r="Y262" s="19">
        <v>0</v>
      </c>
      <c r="Z262" s="19">
        <v>0</v>
      </c>
      <c r="AA262" s="19">
        <v>0</v>
      </c>
      <c r="AC262" s="76">
        <f t="shared" ref="AC262:AC325" si="8">(SUM((D262:AA262))/1000)</f>
        <v>6.1235186713722189</v>
      </c>
      <c r="AD262" s="77"/>
      <c r="AE262" s="72"/>
    </row>
    <row r="263" spans="2:31" x14ac:dyDescent="0.25">
      <c r="B263" s="108">
        <v>42628</v>
      </c>
      <c r="C263" s="72">
        <f t="shared" ref="C263:C326" si="9">B263-$B$5+1</f>
        <v>259</v>
      </c>
      <c r="D263" s="19">
        <v>0</v>
      </c>
      <c r="E263" s="19">
        <v>0</v>
      </c>
      <c r="F263" s="19">
        <v>0</v>
      </c>
      <c r="G263" s="19">
        <v>0</v>
      </c>
      <c r="H263" s="19">
        <v>0</v>
      </c>
      <c r="I263" s="19">
        <v>0</v>
      </c>
      <c r="J263" s="19">
        <v>8.9367625124080909</v>
      </c>
      <c r="K263" s="19">
        <v>119.29473488191155</v>
      </c>
      <c r="L263" s="19">
        <v>290.48864249356234</v>
      </c>
      <c r="M263" s="19">
        <v>475.52148312061934</v>
      </c>
      <c r="N263" s="19">
        <v>642.93832781202377</v>
      </c>
      <c r="O263" s="19">
        <v>760.0883728484946</v>
      </c>
      <c r="P263" s="19">
        <v>949.4480105710594</v>
      </c>
      <c r="Q263" s="19">
        <v>945.05073362854409</v>
      </c>
      <c r="R263" s="19">
        <v>850.74797390716242</v>
      </c>
      <c r="S263" s="19">
        <v>658.56493650800587</v>
      </c>
      <c r="T263" s="19">
        <v>359.02118290750104</v>
      </c>
      <c r="U263" s="19">
        <v>60.291266463124856</v>
      </c>
      <c r="V263" s="19">
        <v>0</v>
      </c>
      <c r="W263" s="19">
        <v>0</v>
      </c>
      <c r="X263" s="19">
        <v>0</v>
      </c>
      <c r="Y263" s="19">
        <v>0</v>
      </c>
      <c r="Z263" s="19">
        <v>0</v>
      </c>
      <c r="AA263" s="19">
        <v>0</v>
      </c>
      <c r="AC263" s="76">
        <f t="shared" si="8"/>
        <v>6.1203924276544175</v>
      </c>
      <c r="AD263" s="77"/>
      <c r="AE263" s="72"/>
    </row>
    <row r="264" spans="2:31" x14ac:dyDescent="0.25">
      <c r="B264" s="108">
        <v>42629</v>
      </c>
      <c r="C264" s="72">
        <f t="shared" si="9"/>
        <v>260</v>
      </c>
      <c r="D264" s="19">
        <v>0</v>
      </c>
      <c r="E264" s="19">
        <v>0</v>
      </c>
      <c r="F264" s="19">
        <v>0</v>
      </c>
      <c r="G264" s="19">
        <v>0</v>
      </c>
      <c r="H264" s="19">
        <v>0</v>
      </c>
      <c r="I264" s="19">
        <v>0</v>
      </c>
      <c r="J264" s="19">
        <v>8.5382736506635499</v>
      </c>
      <c r="K264" s="19">
        <v>118.07516085045917</v>
      </c>
      <c r="L264" s="19">
        <v>290.73460223610567</v>
      </c>
      <c r="M264" s="19">
        <v>475.36810188857493</v>
      </c>
      <c r="N264" s="19">
        <v>640.42979273381729</v>
      </c>
      <c r="O264" s="19">
        <v>768.66102197855719</v>
      </c>
      <c r="P264" s="19">
        <v>951.96663542533508</v>
      </c>
      <c r="Q264" s="19">
        <v>947.11439254976278</v>
      </c>
      <c r="R264" s="19">
        <v>851.53369639330128</v>
      </c>
      <c r="S264" s="19">
        <v>656.93330858706133</v>
      </c>
      <c r="T264" s="19">
        <v>353.47819860431485</v>
      </c>
      <c r="U264" s="19">
        <v>64.00819111189746</v>
      </c>
      <c r="V264" s="19">
        <v>0</v>
      </c>
      <c r="W264" s="19">
        <v>0</v>
      </c>
      <c r="X264" s="19">
        <v>0</v>
      </c>
      <c r="Y264" s="19">
        <v>0</v>
      </c>
      <c r="Z264" s="19">
        <v>0</v>
      </c>
      <c r="AA264" s="19">
        <v>0</v>
      </c>
      <c r="AC264" s="76">
        <f t="shared" si="8"/>
        <v>6.1268413760098506</v>
      </c>
      <c r="AD264" s="77"/>
      <c r="AE264" s="72"/>
    </row>
    <row r="265" spans="2:31" x14ac:dyDescent="0.25">
      <c r="B265" s="108">
        <v>42630</v>
      </c>
      <c r="C265" s="72">
        <f t="shared" si="9"/>
        <v>261</v>
      </c>
      <c r="D265" s="19">
        <v>0</v>
      </c>
      <c r="E265" s="19">
        <v>0</v>
      </c>
      <c r="F265" s="19">
        <v>0</v>
      </c>
      <c r="G265" s="19">
        <v>0</v>
      </c>
      <c r="H265" s="19">
        <v>0</v>
      </c>
      <c r="I265" s="19">
        <v>0</v>
      </c>
      <c r="J265" s="19">
        <v>8.2415708062632138</v>
      </c>
      <c r="K265" s="19">
        <v>117.44932055512389</v>
      </c>
      <c r="L265" s="19">
        <v>289.42931376644839</v>
      </c>
      <c r="M265" s="19">
        <v>477.37755488004029</v>
      </c>
      <c r="N265" s="19">
        <v>646.60405704292521</v>
      </c>
      <c r="O265" s="19">
        <v>774.28907103257859</v>
      </c>
      <c r="P265" s="19">
        <v>954.40652347493847</v>
      </c>
      <c r="Q265" s="19">
        <v>949.08598877399368</v>
      </c>
      <c r="R265" s="19">
        <v>852.20729657794391</v>
      </c>
      <c r="S265" s="19">
        <v>655.1539671765421</v>
      </c>
      <c r="T265" s="19">
        <v>347.75180670071967</v>
      </c>
      <c r="U265" s="19">
        <v>70.687395490932559</v>
      </c>
      <c r="V265" s="19">
        <v>0</v>
      </c>
      <c r="W265" s="19">
        <v>0</v>
      </c>
      <c r="X265" s="19">
        <v>0</v>
      </c>
      <c r="Y265" s="19">
        <v>0</v>
      </c>
      <c r="Z265" s="19">
        <v>0</v>
      </c>
      <c r="AA265" s="19">
        <v>0</v>
      </c>
      <c r="AC265" s="76">
        <f t="shared" si="8"/>
        <v>6.1426838662784506</v>
      </c>
      <c r="AD265" s="77"/>
      <c r="AE265" s="72"/>
    </row>
    <row r="266" spans="2:31" x14ac:dyDescent="0.25">
      <c r="B266" s="108">
        <v>42631</v>
      </c>
      <c r="C266" s="72">
        <f t="shared" si="9"/>
        <v>262</v>
      </c>
      <c r="D266" s="19">
        <v>0</v>
      </c>
      <c r="E266" s="19">
        <v>0</v>
      </c>
      <c r="F266" s="19">
        <v>0</v>
      </c>
      <c r="G266" s="19">
        <v>0</v>
      </c>
      <c r="H266" s="19">
        <v>0</v>
      </c>
      <c r="I266" s="19">
        <v>0</v>
      </c>
      <c r="J266" s="19">
        <v>7.9395898536486778</v>
      </c>
      <c r="K266" s="19">
        <v>117.1939112594827</v>
      </c>
      <c r="L266" s="19">
        <v>292.10796975001779</v>
      </c>
      <c r="M266" s="19">
        <v>483.21885770010743</v>
      </c>
      <c r="N266" s="19">
        <v>652.37227586017116</v>
      </c>
      <c r="O266" s="19">
        <v>776.91470214211392</v>
      </c>
      <c r="P266" s="19">
        <v>956.76496634185526</v>
      </c>
      <c r="Q266" s="19">
        <v>950.96265648894439</v>
      </c>
      <c r="R266" s="19">
        <v>852.76586376002513</v>
      </c>
      <c r="S266" s="19">
        <v>653.22403263198657</v>
      </c>
      <c r="T266" s="19">
        <v>341.84297280183927</v>
      </c>
      <c r="U266" s="19">
        <v>81.817487397464561</v>
      </c>
      <c r="V266" s="19">
        <v>0</v>
      </c>
      <c r="W266" s="19">
        <v>0</v>
      </c>
      <c r="X266" s="19">
        <v>0</v>
      </c>
      <c r="Y266" s="19">
        <v>0</v>
      </c>
      <c r="Z266" s="19">
        <v>0</v>
      </c>
      <c r="AA266" s="19">
        <v>0</v>
      </c>
      <c r="AC266" s="76">
        <f t="shared" si="8"/>
        <v>6.1671252859876571</v>
      </c>
      <c r="AD266" s="77"/>
      <c r="AE266" s="72"/>
    </row>
    <row r="267" spans="2:31" x14ac:dyDescent="0.25">
      <c r="B267" s="108">
        <v>42632</v>
      </c>
      <c r="C267" s="72">
        <f t="shared" si="9"/>
        <v>263</v>
      </c>
      <c r="D267" s="19">
        <v>0</v>
      </c>
      <c r="E267" s="19">
        <v>0</v>
      </c>
      <c r="F267" s="19">
        <v>0</v>
      </c>
      <c r="G267" s="19">
        <v>0</v>
      </c>
      <c r="H267" s="19">
        <v>0</v>
      </c>
      <c r="I267" s="19">
        <v>0</v>
      </c>
      <c r="J267" s="19">
        <v>7.5971573789688289</v>
      </c>
      <c r="K267" s="19">
        <v>116.00152873893398</v>
      </c>
      <c r="L267" s="19">
        <v>288.46649390802594</v>
      </c>
      <c r="M267" s="19">
        <v>474.50069068785535</v>
      </c>
      <c r="N267" s="19">
        <v>643.86106998553612</v>
      </c>
      <c r="O267" s="19">
        <v>771.71654206658548</v>
      </c>
      <c r="P267" s="19">
        <v>959.03933814975301</v>
      </c>
      <c r="Q267" s="19">
        <v>952.74162138688132</v>
      </c>
      <c r="R267" s="19">
        <v>853.20658893446341</v>
      </c>
      <c r="S267" s="19">
        <v>651.14075779848031</v>
      </c>
      <c r="T267" s="19">
        <v>335.75327303176329</v>
      </c>
      <c r="U267" s="19">
        <v>99.797300886937293</v>
      </c>
      <c r="V267" s="19">
        <v>0</v>
      </c>
      <c r="W267" s="19">
        <v>0</v>
      </c>
      <c r="X267" s="19">
        <v>0</v>
      </c>
      <c r="Y267" s="19">
        <v>0</v>
      </c>
      <c r="Z267" s="19">
        <v>0</v>
      </c>
      <c r="AA267" s="19">
        <v>0</v>
      </c>
      <c r="AC267" s="76">
        <f t="shared" si="8"/>
        <v>6.1538223629541848</v>
      </c>
      <c r="AD267" s="77"/>
      <c r="AE267" s="72"/>
    </row>
    <row r="268" spans="2:31" x14ac:dyDescent="0.25">
      <c r="B268" s="108">
        <v>42633</v>
      </c>
      <c r="C268" s="72">
        <f t="shared" si="9"/>
        <v>264</v>
      </c>
      <c r="D268" s="19">
        <v>0</v>
      </c>
      <c r="E268" s="19">
        <v>0</v>
      </c>
      <c r="F268" s="19">
        <v>0</v>
      </c>
      <c r="G268" s="19">
        <v>0</v>
      </c>
      <c r="H268" s="19">
        <v>0</v>
      </c>
      <c r="I268" s="19">
        <v>0</v>
      </c>
      <c r="J268" s="19">
        <v>7.2434566465161758</v>
      </c>
      <c r="K268" s="19">
        <v>115.01535510542708</v>
      </c>
      <c r="L268" s="19">
        <v>287.70620897815724</v>
      </c>
      <c r="M268" s="19">
        <v>477.46638623535569</v>
      </c>
      <c r="N268" s="19">
        <v>649.12324168598957</v>
      </c>
      <c r="O268" s="19">
        <v>776.49030472931054</v>
      </c>
      <c r="P268" s="19">
        <v>961.22710046496263</v>
      </c>
      <c r="Q268" s="19">
        <v>954.42020617506819</v>
      </c>
      <c r="R268" s="19">
        <v>853.52677109602757</v>
      </c>
      <c r="S268" s="19">
        <v>648.9015372579953</v>
      </c>
      <c r="T268" s="19">
        <v>329.48494545694507</v>
      </c>
      <c r="U268" s="19">
        <v>128.20863973507309</v>
      </c>
      <c r="V268" s="19">
        <v>0</v>
      </c>
      <c r="W268" s="19">
        <v>0</v>
      </c>
      <c r="X268" s="19">
        <v>0</v>
      </c>
      <c r="Y268" s="19">
        <v>0</v>
      </c>
      <c r="Z268" s="19">
        <v>0</v>
      </c>
      <c r="AA268" s="19">
        <v>0</v>
      </c>
      <c r="AC268" s="76">
        <f t="shared" si="8"/>
        <v>6.1888141535668284</v>
      </c>
      <c r="AD268" s="77"/>
      <c r="AE268" s="72"/>
    </row>
    <row r="269" spans="2:31" x14ac:dyDescent="0.25">
      <c r="B269" s="108">
        <v>42634</v>
      </c>
      <c r="C269" s="72">
        <f t="shared" si="9"/>
        <v>265</v>
      </c>
      <c r="D269" s="19">
        <v>0</v>
      </c>
      <c r="E269" s="19">
        <v>0</v>
      </c>
      <c r="F269" s="19">
        <v>0</v>
      </c>
      <c r="G269" s="19">
        <v>0</v>
      </c>
      <c r="H269" s="19">
        <v>0</v>
      </c>
      <c r="I269" s="19">
        <v>0</v>
      </c>
      <c r="J269" s="19">
        <v>6.946797811848116</v>
      </c>
      <c r="K269" s="19">
        <v>113.94529724375396</v>
      </c>
      <c r="L269" s="19">
        <v>286.80343815368963</v>
      </c>
      <c r="M269" s="19">
        <v>474.92176748287483</v>
      </c>
      <c r="N269" s="19">
        <v>645.90256296485563</v>
      </c>
      <c r="O269" s="19">
        <v>772.71876200705913</v>
      </c>
      <c r="P269" s="19">
        <v>963.32580720218982</v>
      </c>
      <c r="Q269" s="19">
        <v>955.99583606169665</v>
      </c>
      <c r="R269" s="19">
        <v>853.72382355789023</v>
      </c>
      <c r="S269" s="19">
        <v>646.50391677578682</v>
      </c>
      <c r="T269" s="19">
        <v>323.04094415043278</v>
      </c>
      <c r="U269" s="19">
        <v>171.08736746036874</v>
      </c>
      <c r="V269" s="19">
        <v>0</v>
      </c>
      <c r="W269" s="19">
        <v>0</v>
      </c>
      <c r="X269" s="19">
        <v>0</v>
      </c>
      <c r="Y269" s="19">
        <v>0</v>
      </c>
      <c r="Z269" s="19">
        <v>0</v>
      </c>
      <c r="AA269" s="19">
        <v>0</v>
      </c>
      <c r="AC269" s="76">
        <f t="shared" si="8"/>
        <v>6.2149163208724456</v>
      </c>
      <c r="AD269" s="77"/>
      <c r="AE269" s="72"/>
    </row>
    <row r="270" spans="2:31" x14ac:dyDescent="0.25">
      <c r="B270" s="108">
        <v>42635</v>
      </c>
      <c r="C270" s="72">
        <f t="shared" si="9"/>
        <v>266</v>
      </c>
      <c r="D270" s="19">
        <v>0</v>
      </c>
      <c r="E270" s="19">
        <v>0</v>
      </c>
      <c r="F270" s="19">
        <v>0</v>
      </c>
      <c r="G270" s="19">
        <v>0</v>
      </c>
      <c r="H270" s="19">
        <v>0</v>
      </c>
      <c r="I270" s="19">
        <v>0</v>
      </c>
      <c r="J270" s="19">
        <v>6.5028636314880517</v>
      </c>
      <c r="K270" s="19">
        <v>111.9405317072943</v>
      </c>
      <c r="L270" s="19">
        <v>282.73013898083366</v>
      </c>
      <c r="M270" s="19">
        <v>470.88534897045474</v>
      </c>
      <c r="N270" s="19">
        <v>641.16554664803084</v>
      </c>
      <c r="O270" s="19">
        <v>768.85034773333768</v>
      </c>
      <c r="P270" s="19">
        <v>965.33310948522603</v>
      </c>
      <c r="Q270" s="19">
        <v>957.46604420714937</v>
      </c>
      <c r="R270" s="19">
        <v>853.79528027519189</v>
      </c>
      <c r="S270" s="19">
        <v>643.94560294001508</v>
      </c>
      <c r="T270" s="19">
        <v>316.42499580822971</v>
      </c>
      <c r="U270" s="19">
        <v>228.36117205894166</v>
      </c>
      <c r="V270" s="19">
        <v>0</v>
      </c>
      <c r="W270" s="19">
        <v>0</v>
      </c>
      <c r="X270" s="19">
        <v>0</v>
      </c>
      <c r="Y270" s="19">
        <v>0</v>
      </c>
      <c r="Z270" s="19">
        <v>0</v>
      </c>
      <c r="AA270" s="19">
        <v>0</v>
      </c>
      <c r="AC270" s="76">
        <f t="shared" si="8"/>
        <v>6.2474009824461927</v>
      </c>
      <c r="AD270" s="77"/>
      <c r="AE270" s="72"/>
    </row>
    <row r="271" spans="2:31" x14ac:dyDescent="0.25">
      <c r="B271" s="108">
        <v>42636</v>
      </c>
      <c r="C271" s="72">
        <f t="shared" si="9"/>
        <v>267</v>
      </c>
      <c r="D271" s="19">
        <v>0</v>
      </c>
      <c r="E271" s="19">
        <v>0</v>
      </c>
      <c r="F271" s="19">
        <v>0</v>
      </c>
      <c r="G271" s="19">
        <v>0</v>
      </c>
      <c r="H271" s="19">
        <v>0</v>
      </c>
      <c r="I271" s="19">
        <v>0</v>
      </c>
      <c r="J271" s="19">
        <v>6.1631782853564729</v>
      </c>
      <c r="K271" s="19">
        <v>110.43762493454393</v>
      </c>
      <c r="L271" s="19">
        <v>280.06847501025737</v>
      </c>
      <c r="M271" s="19">
        <v>468.12526054789566</v>
      </c>
      <c r="N271" s="19">
        <v>641.75843328289147</v>
      </c>
      <c r="O271" s="19">
        <v>770.38269880671453</v>
      </c>
      <c r="P271" s="19">
        <v>967.24676045287515</v>
      </c>
      <c r="Q271" s="19">
        <v>958.82847713034448</v>
      </c>
      <c r="R271" s="19">
        <v>853.73880216367468</v>
      </c>
      <c r="S271" s="19">
        <v>641.22447298757925</v>
      </c>
      <c r="T271" s="19">
        <v>309.64165876760251</v>
      </c>
      <c r="U271" s="19">
        <v>280.22975295187291</v>
      </c>
      <c r="V271" s="19">
        <v>0</v>
      </c>
      <c r="W271" s="19">
        <v>0</v>
      </c>
      <c r="X271" s="19">
        <v>0</v>
      </c>
      <c r="Y271" s="19">
        <v>0</v>
      </c>
      <c r="Z271" s="19">
        <v>0</v>
      </c>
      <c r="AA271" s="19">
        <v>0</v>
      </c>
      <c r="AC271" s="76">
        <f t="shared" si="8"/>
        <v>6.2878455953216079</v>
      </c>
      <c r="AD271" s="77"/>
      <c r="AE271" s="72"/>
    </row>
    <row r="272" spans="2:31" x14ac:dyDescent="0.25">
      <c r="B272" s="108">
        <v>42637</v>
      </c>
      <c r="C272" s="72">
        <f t="shared" si="9"/>
        <v>268</v>
      </c>
      <c r="D272" s="19">
        <v>0</v>
      </c>
      <c r="E272" s="19">
        <v>0</v>
      </c>
      <c r="F272" s="19">
        <v>0</v>
      </c>
      <c r="G272" s="19">
        <v>0</v>
      </c>
      <c r="H272" s="19">
        <v>0</v>
      </c>
      <c r="I272" s="19">
        <v>0</v>
      </c>
      <c r="J272" s="19">
        <v>5.8702536729060517</v>
      </c>
      <c r="K272" s="19">
        <v>110.15233526005034</v>
      </c>
      <c r="L272" s="19">
        <v>282.58575401848395</v>
      </c>
      <c r="M272" s="19">
        <v>473.44754453210254</v>
      </c>
      <c r="N272" s="19">
        <v>645.03524184186779</v>
      </c>
      <c r="O272" s="19">
        <v>773.5490086481766</v>
      </c>
      <c r="P272" s="19">
        <v>969.0646200002783</v>
      </c>
      <c r="Q272" s="19">
        <v>960.08090005977658</v>
      </c>
      <c r="R272" s="19">
        <v>853.55218340311717</v>
      </c>
      <c r="S272" s="19">
        <v>638.33858480772892</v>
      </c>
      <c r="T272" s="19">
        <v>302.69638420261373</v>
      </c>
      <c r="U272" s="19">
        <v>295.61715347595214</v>
      </c>
      <c r="V272" s="19">
        <v>0</v>
      </c>
      <c r="W272" s="19">
        <v>0</v>
      </c>
      <c r="X272" s="19">
        <v>0</v>
      </c>
      <c r="Y272" s="19">
        <v>0</v>
      </c>
      <c r="Z272" s="19">
        <v>0</v>
      </c>
      <c r="AA272" s="19">
        <v>0</v>
      </c>
      <c r="AC272" s="76">
        <f t="shared" si="8"/>
        <v>6.3099899639230532</v>
      </c>
      <c r="AD272" s="77"/>
      <c r="AE272" s="72"/>
    </row>
    <row r="273" spans="2:31" x14ac:dyDescent="0.25">
      <c r="B273" s="108">
        <v>42638</v>
      </c>
      <c r="C273" s="72">
        <f t="shared" si="9"/>
        <v>269</v>
      </c>
      <c r="D273" s="19">
        <v>0</v>
      </c>
      <c r="E273" s="19">
        <v>0</v>
      </c>
      <c r="F273" s="19">
        <v>0</v>
      </c>
      <c r="G273" s="19">
        <v>0</v>
      </c>
      <c r="H273" s="19">
        <v>0</v>
      </c>
      <c r="I273" s="19">
        <v>0</v>
      </c>
      <c r="J273" s="19">
        <v>5.4997611102306374</v>
      </c>
      <c r="K273" s="19">
        <v>109.40217980875181</v>
      </c>
      <c r="L273" s="19">
        <v>281.7184135930035</v>
      </c>
      <c r="M273" s="19">
        <v>472.7078988658202</v>
      </c>
      <c r="N273" s="19">
        <v>645.27812092894328</v>
      </c>
      <c r="O273" s="19">
        <v>775.27379247890963</v>
      </c>
      <c r="P273" s="19">
        <v>970.78465944577181</v>
      </c>
      <c r="Q273" s="19">
        <v>961.22120221879914</v>
      </c>
      <c r="R273" s="19">
        <v>853.2333577149908</v>
      </c>
      <c r="S273" s="19">
        <v>635.28618711342949</v>
      </c>
      <c r="T273" s="19">
        <v>295.5955791832414</v>
      </c>
      <c r="U273" s="19">
        <v>246.48491951652576</v>
      </c>
      <c r="V273" s="19">
        <v>0</v>
      </c>
      <c r="W273" s="19">
        <v>0</v>
      </c>
      <c r="X273" s="19">
        <v>0</v>
      </c>
      <c r="Y273" s="19">
        <v>0</v>
      </c>
      <c r="Z273" s="19">
        <v>0</v>
      </c>
      <c r="AA273" s="19">
        <v>0</v>
      </c>
      <c r="AC273" s="76">
        <f t="shared" si="8"/>
        <v>6.2524860719784172</v>
      </c>
      <c r="AD273" s="77"/>
      <c r="AE273" s="72"/>
    </row>
    <row r="274" spans="2:31" x14ac:dyDescent="0.25">
      <c r="B274" s="108">
        <v>42639</v>
      </c>
      <c r="C274" s="72">
        <f t="shared" si="9"/>
        <v>270</v>
      </c>
      <c r="D274" s="19">
        <v>0</v>
      </c>
      <c r="E274" s="19">
        <v>0</v>
      </c>
      <c r="F274" s="19">
        <v>0</v>
      </c>
      <c r="G274" s="19">
        <v>0</v>
      </c>
      <c r="H274" s="19">
        <v>0</v>
      </c>
      <c r="I274" s="19">
        <v>0</v>
      </c>
      <c r="J274" s="19">
        <v>5.1571333538417292</v>
      </c>
      <c r="K274" s="19">
        <v>108.58210107654486</v>
      </c>
      <c r="L274" s="19">
        <v>280.92213007319009</v>
      </c>
      <c r="M274" s="19">
        <v>472.12954591456582</v>
      </c>
      <c r="N274" s="19">
        <v>644.75916396811124</v>
      </c>
      <c r="O274" s="19">
        <v>772.49229204400592</v>
      </c>
      <c r="P274" s="19">
        <v>972.40496611341143</v>
      </c>
      <c r="Q274" s="19">
        <v>962.24740203457691</v>
      </c>
      <c r="R274" s="19">
        <v>852.7804046034089</v>
      </c>
      <c r="S274" s="19">
        <v>632.06572976862458</v>
      </c>
      <c r="T274" s="19">
        <v>288.34667117949152</v>
      </c>
      <c r="U274" s="19">
        <v>163.68044857772074</v>
      </c>
      <c r="V274" s="19">
        <v>0</v>
      </c>
      <c r="W274" s="19">
        <v>0</v>
      </c>
      <c r="X274" s="19">
        <v>0</v>
      </c>
      <c r="Y274" s="19">
        <v>0</v>
      </c>
      <c r="Z274" s="19">
        <v>0</v>
      </c>
      <c r="AA274" s="19">
        <v>0</v>
      </c>
      <c r="AC274" s="76">
        <f t="shared" si="8"/>
        <v>6.155567988707495</v>
      </c>
      <c r="AD274" s="77"/>
      <c r="AE274" s="72"/>
    </row>
    <row r="275" spans="2:31" x14ac:dyDescent="0.25">
      <c r="B275" s="108">
        <v>42640</v>
      </c>
      <c r="C275" s="72">
        <f t="shared" si="9"/>
        <v>271</v>
      </c>
      <c r="D275" s="19">
        <v>0</v>
      </c>
      <c r="E275" s="19">
        <v>0</v>
      </c>
      <c r="F275" s="19">
        <v>0</v>
      </c>
      <c r="G275" s="19">
        <v>0</v>
      </c>
      <c r="H275" s="19">
        <v>0</v>
      </c>
      <c r="I275" s="19">
        <v>0</v>
      </c>
      <c r="J275" s="19">
        <v>4.7767277257723757</v>
      </c>
      <c r="K275" s="19">
        <v>107.65898199532182</v>
      </c>
      <c r="L275" s="19">
        <v>280.63755759622825</v>
      </c>
      <c r="M275" s="19">
        <v>472.57034625564194</v>
      </c>
      <c r="N275" s="19">
        <v>647.67493852245275</v>
      </c>
      <c r="O275" s="19">
        <v>774.13838674446561</v>
      </c>
      <c r="P275" s="19">
        <v>973.92374782129627</v>
      </c>
      <c r="Q275" s="19">
        <v>963.15765226009489</v>
      </c>
      <c r="R275" s="19">
        <v>852.19155554809277</v>
      </c>
      <c r="S275" s="19">
        <v>628.67587425749537</v>
      </c>
      <c r="T275" s="19">
        <v>280.95817346989099</v>
      </c>
      <c r="U275" s="19">
        <v>99.854474905092729</v>
      </c>
      <c r="V275" s="19">
        <v>0</v>
      </c>
      <c r="W275" s="19">
        <v>0</v>
      </c>
      <c r="X275" s="19">
        <v>0</v>
      </c>
      <c r="Y275" s="19">
        <v>0</v>
      </c>
      <c r="Z275" s="19">
        <v>0</v>
      </c>
      <c r="AA275" s="19">
        <v>0</v>
      </c>
      <c r="AC275" s="76">
        <f t="shared" si="8"/>
        <v>6.0862184171018461</v>
      </c>
      <c r="AD275" s="77"/>
      <c r="AE275" s="72"/>
    </row>
    <row r="276" spans="2:31" x14ac:dyDescent="0.25">
      <c r="B276" s="108">
        <v>42641</v>
      </c>
      <c r="C276" s="72">
        <f t="shared" si="9"/>
        <v>272</v>
      </c>
      <c r="D276" s="19">
        <v>0</v>
      </c>
      <c r="E276" s="19">
        <v>0</v>
      </c>
      <c r="F276" s="19">
        <v>0</v>
      </c>
      <c r="G276" s="19">
        <v>0</v>
      </c>
      <c r="H276" s="19">
        <v>0</v>
      </c>
      <c r="I276" s="19">
        <v>0</v>
      </c>
      <c r="J276" s="19">
        <v>4.458428153087036</v>
      </c>
      <c r="K276" s="19">
        <v>107.74500967862038</v>
      </c>
      <c r="L276" s="19">
        <v>282.20069646751392</v>
      </c>
      <c r="M276" s="19">
        <v>475.87883396099016</v>
      </c>
      <c r="N276" s="19">
        <v>648.36616524705562</v>
      </c>
      <c r="O276" s="19">
        <v>777.22751770834134</v>
      </c>
      <c r="P276" s="19">
        <v>975.33933726582529</v>
      </c>
      <c r="Q276" s="19">
        <v>963.95024499848319</v>
      </c>
      <c r="R276" s="19">
        <v>851.46520013767747</v>
      </c>
      <c r="S276" s="19">
        <v>625.11550427944906</v>
      </c>
      <c r="T276" s="19">
        <v>273.43975077374949</v>
      </c>
      <c r="U276" s="19">
        <v>64.6706876707715</v>
      </c>
      <c r="V276" s="19">
        <v>0</v>
      </c>
      <c r="W276" s="19">
        <v>0</v>
      </c>
      <c r="X276" s="19">
        <v>0</v>
      </c>
      <c r="Y276" s="19">
        <v>0</v>
      </c>
      <c r="Z276" s="19">
        <v>0</v>
      </c>
      <c r="AA276" s="19">
        <v>0</v>
      </c>
      <c r="AC276" s="76">
        <f t="shared" si="8"/>
        <v>6.0498573763415635</v>
      </c>
      <c r="AD276" s="77"/>
      <c r="AE276" s="72"/>
    </row>
    <row r="277" spans="2:31" x14ac:dyDescent="0.25">
      <c r="B277" s="108">
        <v>42642</v>
      </c>
      <c r="C277" s="72">
        <f t="shared" si="9"/>
        <v>273</v>
      </c>
      <c r="D277" s="19">
        <v>0</v>
      </c>
      <c r="E277" s="19">
        <v>0</v>
      </c>
      <c r="F277" s="19">
        <v>0</v>
      </c>
      <c r="G277" s="19">
        <v>0</v>
      </c>
      <c r="H277" s="19">
        <v>0</v>
      </c>
      <c r="I277" s="19">
        <v>0</v>
      </c>
      <c r="J277" s="19">
        <v>4.0104591707070556</v>
      </c>
      <c r="K277" s="19">
        <v>106.62270677152023</v>
      </c>
      <c r="L277" s="19">
        <v>280.06600900015235</v>
      </c>
      <c r="M277" s="19">
        <v>473.50141947771561</v>
      </c>
      <c r="N277" s="19">
        <v>648.34218810059519</v>
      </c>
      <c r="O277" s="19">
        <v>778.63721563890988</v>
      </c>
      <c r="P277" s="19">
        <v>976.65019629205369</v>
      </c>
      <c r="Q277" s="19">
        <v>964.62361661889702</v>
      </c>
      <c r="R277" s="19">
        <v>850.59989213128301</v>
      </c>
      <c r="S277" s="19">
        <v>621.38373645099182</v>
      </c>
      <c r="T277" s="19">
        <v>265.8022842689499</v>
      </c>
      <c r="U277" s="19">
        <v>48.161294974206484</v>
      </c>
      <c r="V277" s="19">
        <v>0</v>
      </c>
      <c r="W277" s="19">
        <v>0</v>
      </c>
      <c r="X277" s="19">
        <v>0</v>
      </c>
      <c r="Y277" s="19">
        <v>0</v>
      </c>
      <c r="Z277" s="19">
        <v>0</v>
      </c>
      <c r="AA277" s="19">
        <v>0</v>
      </c>
      <c r="AC277" s="76">
        <f t="shared" si="8"/>
        <v>6.0184010188959824</v>
      </c>
      <c r="AD277" s="77"/>
      <c r="AE277" s="72"/>
    </row>
    <row r="278" spans="2:31" x14ac:dyDescent="0.25">
      <c r="B278" s="108">
        <v>42643</v>
      </c>
      <c r="C278" s="72">
        <f t="shared" si="9"/>
        <v>274</v>
      </c>
      <c r="D278" s="19">
        <v>0</v>
      </c>
      <c r="E278" s="19">
        <v>0</v>
      </c>
      <c r="F278" s="19">
        <v>0</v>
      </c>
      <c r="G278" s="19">
        <v>0</v>
      </c>
      <c r="H278" s="19">
        <v>0</v>
      </c>
      <c r="I278" s="19">
        <v>0</v>
      </c>
      <c r="J278" s="19">
        <v>3.5625138951853863</v>
      </c>
      <c r="K278" s="19">
        <v>105.14970614920676</v>
      </c>
      <c r="L278" s="19">
        <v>278.50487571352204</v>
      </c>
      <c r="M278" s="19">
        <v>473.68442597800754</v>
      </c>
      <c r="N278" s="19">
        <v>649.07870097619571</v>
      </c>
      <c r="O278" s="19">
        <v>779.81226503440053</v>
      </c>
      <c r="P278" s="19">
        <v>977.85492004034666</v>
      </c>
      <c r="Q278" s="19">
        <v>965.17635255308915</v>
      </c>
      <c r="R278" s="19">
        <v>849.59435543583231</v>
      </c>
      <c r="S278" s="19">
        <v>617.47993109268884</v>
      </c>
      <c r="T278" s="19">
        <v>258.0579349829045</v>
      </c>
      <c r="U278" s="19">
        <v>44.593963701944148</v>
      </c>
      <c r="V278" s="19">
        <v>0</v>
      </c>
      <c r="W278" s="19">
        <v>0</v>
      </c>
      <c r="X278" s="19">
        <v>0</v>
      </c>
      <c r="Y278" s="19">
        <v>0</v>
      </c>
      <c r="Z278" s="19">
        <v>0</v>
      </c>
      <c r="AA278" s="19">
        <v>0</v>
      </c>
      <c r="AC278" s="76">
        <f t="shared" si="8"/>
        <v>6.0025499455533247</v>
      </c>
      <c r="AD278" s="77"/>
      <c r="AE278" s="72"/>
    </row>
    <row r="279" spans="2:31" x14ac:dyDescent="0.25">
      <c r="B279" s="108">
        <v>42644</v>
      </c>
      <c r="C279" s="72">
        <f t="shared" si="9"/>
        <v>275</v>
      </c>
      <c r="D279" s="19">
        <v>0</v>
      </c>
      <c r="E279" s="19">
        <v>0</v>
      </c>
      <c r="F279" s="19">
        <v>0</v>
      </c>
      <c r="G279" s="19">
        <v>0</v>
      </c>
      <c r="H279" s="19">
        <v>0</v>
      </c>
      <c r="I279" s="19">
        <v>0</v>
      </c>
      <c r="J279" s="19">
        <v>3.096283299836712</v>
      </c>
      <c r="K279" s="19">
        <v>103.93829330381648</v>
      </c>
      <c r="L279" s="19">
        <v>277.26738898921337</v>
      </c>
      <c r="M279" s="19">
        <v>470.85902718481782</v>
      </c>
      <c r="N279" s="19">
        <v>645.08609334168398</v>
      </c>
      <c r="O279" s="19">
        <v>778.74165820573057</v>
      </c>
      <c r="P279" s="19">
        <v>978.95224095955746</v>
      </c>
      <c r="Q279" s="19">
        <v>965.60719196175398</v>
      </c>
      <c r="R279" s="19">
        <v>848.44748998612715</v>
      </c>
      <c r="S279" s="19">
        <v>613.40370307616831</v>
      </c>
      <c r="T279" s="19">
        <v>250.22020435706702</v>
      </c>
      <c r="U279" s="19">
        <v>61.73356000101176</v>
      </c>
      <c r="V279" s="19">
        <v>0</v>
      </c>
      <c r="W279" s="19">
        <v>0</v>
      </c>
      <c r="X279" s="19">
        <v>0</v>
      </c>
      <c r="Y279" s="19">
        <v>0</v>
      </c>
      <c r="Z279" s="19">
        <v>0</v>
      </c>
      <c r="AA279" s="19">
        <v>0</v>
      </c>
      <c r="AC279" s="76">
        <f t="shared" si="8"/>
        <v>5.9973531346667848</v>
      </c>
      <c r="AD279" s="77"/>
      <c r="AE279" s="72"/>
    </row>
    <row r="280" spans="2:31" x14ac:dyDescent="0.25">
      <c r="B280" s="108">
        <v>42645</v>
      </c>
      <c r="C280" s="72">
        <f t="shared" si="9"/>
        <v>276</v>
      </c>
      <c r="D280" s="19">
        <v>0</v>
      </c>
      <c r="E280" s="19">
        <v>0</v>
      </c>
      <c r="F280" s="19">
        <v>0</v>
      </c>
      <c r="G280" s="19">
        <v>0</v>
      </c>
      <c r="H280" s="19">
        <v>0</v>
      </c>
      <c r="I280" s="19">
        <v>0</v>
      </c>
      <c r="J280" s="19">
        <v>2.5890897858731008</v>
      </c>
      <c r="K280" s="19">
        <v>102.69938584215473</v>
      </c>
      <c r="L280" s="19">
        <v>276.09185718705731</v>
      </c>
      <c r="M280" s="19">
        <v>469.98629657624383</v>
      </c>
      <c r="N280" s="19">
        <v>645.30417386981503</v>
      </c>
      <c r="O280" s="19">
        <v>776.04187550286099</v>
      </c>
      <c r="P280" s="19">
        <v>979.94103267703247</v>
      </c>
      <c r="Q280" s="19">
        <v>965.91503225967642</v>
      </c>
      <c r="R280" s="19">
        <v>847.15837751419929</v>
      </c>
      <c r="S280" s="19">
        <v>609.15493270253921</v>
      </c>
      <c r="T280" s="19">
        <v>242.30399059099958</v>
      </c>
      <c r="U280" s="19">
        <v>126.4307805513635</v>
      </c>
      <c r="V280" s="19">
        <v>0</v>
      </c>
      <c r="W280" s="19">
        <v>0</v>
      </c>
      <c r="X280" s="19">
        <v>0</v>
      </c>
      <c r="Y280" s="19">
        <v>0</v>
      </c>
      <c r="Z280" s="19">
        <v>0</v>
      </c>
      <c r="AA280" s="19">
        <v>0</v>
      </c>
      <c r="AC280" s="76">
        <f t="shared" si="8"/>
        <v>6.0436168250598161</v>
      </c>
      <c r="AD280" s="77"/>
      <c r="AE280" s="72"/>
    </row>
    <row r="281" spans="2:31" x14ac:dyDescent="0.25">
      <c r="B281" s="108">
        <v>42646</v>
      </c>
      <c r="C281" s="72">
        <f t="shared" si="9"/>
        <v>277</v>
      </c>
      <c r="D281" s="19">
        <v>0</v>
      </c>
      <c r="E281" s="19">
        <v>0</v>
      </c>
      <c r="F281" s="19">
        <v>0</v>
      </c>
      <c r="G281" s="19">
        <v>0</v>
      </c>
      <c r="H281" s="19">
        <v>0</v>
      </c>
      <c r="I281" s="19">
        <v>0</v>
      </c>
      <c r="J281" s="19">
        <v>2.0894742450108508</v>
      </c>
      <c r="K281" s="19">
        <v>101.91063252986984</v>
      </c>
      <c r="L281" s="19">
        <v>275.25330603052419</v>
      </c>
      <c r="M281" s="19">
        <v>470.31777729157255</v>
      </c>
      <c r="N281" s="19">
        <v>645.79149607214413</v>
      </c>
      <c r="O281" s="19">
        <v>776.49381019367809</v>
      </c>
      <c r="P281" s="19">
        <v>980.82031371577705</v>
      </c>
      <c r="Q281" s="19">
        <v>966.09893348861533</v>
      </c>
      <c r="R281" s="19">
        <v>845.72628719391207</v>
      </c>
      <c r="S281" s="19">
        <v>604.73377657961112</v>
      </c>
      <c r="T281" s="19">
        <v>234.32563918007835</v>
      </c>
      <c r="U281" s="19">
        <v>276.86450761176042</v>
      </c>
      <c r="V281" s="19">
        <v>0</v>
      </c>
      <c r="W281" s="19">
        <v>0</v>
      </c>
      <c r="X281" s="19">
        <v>0</v>
      </c>
      <c r="Y281" s="19">
        <v>0</v>
      </c>
      <c r="Z281" s="19">
        <v>0</v>
      </c>
      <c r="AA281" s="19">
        <v>0</v>
      </c>
      <c r="AC281" s="76">
        <f t="shared" si="8"/>
        <v>6.1804259541325539</v>
      </c>
      <c r="AD281" s="77"/>
      <c r="AE281" s="72"/>
    </row>
    <row r="282" spans="2:31" x14ac:dyDescent="0.25">
      <c r="B282" s="108">
        <v>42647</v>
      </c>
      <c r="C282" s="72">
        <f t="shared" si="9"/>
        <v>278</v>
      </c>
      <c r="D282" s="19">
        <v>0</v>
      </c>
      <c r="E282" s="19">
        <v>0</v>
      </c>
      <c r="F282" s="19">
        <v>0</v>
      </c>
      <c r="G282" s="19">
        <v>0</v>
      </c>
      <c r="H282" s="19">
        <v>0</v>
      </c>
      <c r="I282" s="19">
        <v>0</v>
      </c>
      <c r="J282" s="19">
        <v>1.5406605287019945</v>
      </c>
      <c r="K282" s="19">
        <v>101.01031685812677</v>
      </c>
      <c r="L282" s="19">
        <v>274.3070067251216</v>
      </c>
      <c r="M282" s="19">
        <v>469.83407978576457</v>
      </c>
      <c r="N282" s="19">
        <v>648.03946195467506</v>
      </c>
      <c r="O282" s="19">
        <v>779.49105093662251</v>
      </c>
      <c r="P282" s="19">
        <v>981.58925104919933</v>
      </c>
      <c r="Q282" s="19">
        <v>966.15812252683077</v>
      </c>
      <c r="R282" s="19">
        <v>844.15068114623091</v>
      </c>
      <c r="S282" s="19">
        <v>600.14067846098408</v>
      </c>
      <c r="T282" s="19">
        <v>226.3029858867495</v>
      </c>
      <c r="U282" s="19">
        <v>527.90114511118998</v>
      </c>
      <c r="V282" s="19">
        <v>0</v>
      </c>
      <c r="W282" s="19">
        <v>0</v>
      </c>
      <c r="X282" s="19">
        <v>0</v>
      </c>
      <c r="Y282" s="19">
        <v>0</v>
      </c>
      <c r="Z282" s="19">
        <v>0</v>
      </c>
      <c r="AA282" s="19">
        <v>0</v>
      </c>
      <c r="AC282" s="76">
        <f t="shared" si="8"/>
        <v>6.4204654409701982</v>
      </c>
      <c r="AD282" s="77"/>
      <c r="AE282" s="72"/>
    </row>
    <row r="283" spans="2:31" x14ac:dyDescent="0.25">
      <c r="B283" s="108">
        <v>42648</v>
      </c>
      <c r="C283" s="72">
        <f t="shared" si="9"/>
        <v>279</v>
      </c>
      <c r="D283" s="19">
        <v>0</v>
      </c>
      <c r="E283" s="19">
        <v>0</v>
      </c>
      <c r="F283" s="19">
        <v>0</v>
      </c>
      <c r="G283" s="19">
        <v>0</v>
      </c>
      <c r="H283" s="19">
        <v>0</v>
      </c>
      <c r="I283" s="19">
        <v>0</v>
      </c>
      <c r="J283" s="19">
        <v>0.96602239665278611</v>
      </c>
      <c r="K283" s="19">
        <v>101.1560181357905</v>
      </c>
      <c r="L283" s="19">
        <v>275.70006221488046</v>
      </c>
      <c r="M283" s="19">
        <v>472.79857267928173</v>
      </c>
      <c r="N283" s="19">
        <v>652.01640330825091</v>
      </c>
      <c r="O283" s="19">
        <v>783.66268139871522</v>
      </c>
      <c r="P283" s="19">
        <v>982.2471634839045</v>
      </c>
      <c r="Q283" s="19">
        <v>966.09199712405382</v>
      </c>
      <c r="R283" s="19">
        <v>842.43121978996635</v>
      </c>
      <c r="S283" s="19">
        <v>595.37638000532206</v>
      </c>
      <c r="T283" s="19">
        <v>218.2553902508489</v>
      </c>
      <c r="U283" s="19">
        <v>0</v>
      </c>
      <c r="V283" s="19">
        <v>0</v>
      </c>
      <c r="W283" s="19">
        <v>0</v>
      </c>
      <c r="X283" s="19">
        <v>0</v>
      </c>
      <c r="Y283" s="19">
        <v>0</v>
      </c>
      <c r="Z283" s="19">
        <v>0</v>
      </c>
      <c r="AA283" s="19">
        <v>0</v>
      </c>
      <c r="AC283" s="76">
        <f t="shared" si="8"/>
        <v>5.8907019107876675</v>
      </c>
      <c r="AD283" s="77"/>
      <c r="AE283" s="72"/>
    </row>
    <row r="284" spans="2:31" x14ac:dyDescent="0.25">
      <c r="B284" s="108">
        <v>42649</v>
      </c>
      <c r="C284" s="72">
        <f t="shared" si="9"/>
        <v>280</v>
      </c>
      <c r="D284" s="19">
        <v>0</v>
      </c>
      <c r="E284" s="19">
        <v>0</v>
      </c>
      <c r="F284" s="19">
        <v>0</v>
      </c>
      <c r="G284" s="19">
        <v>0</v>
      </c>
      <c r="H284" s="19">
        <v>0</v>
      </c>
      <c r="I284" s="19">
        <v>0</v>
      </c>
      <c r="J284" s="19">
        <v>0.32492279459572093</v>
      </c>
      <c r="K284" s="19">
        <v>98.804940574996905</v>
      </c>
      <c r="L284" s="19">
        <v>273.86428722745984</v>
      </c>
      <c r="M284" s="19">
        <v>471.11514425211379</v>
      </c>
      <c r="N284" s="19">
        <v>651.65349523335044</v>
      </c>
      <c r="O284" s="19">
        <v>789.68890971337964</v>
      </c>
      <c r="P284" s="19">
        <v>982.79352486110486</v>
      </c>
      <c r="Q284" s="19">
        <v>965.90012975066827</v>
      </c>
      <c r="R284" s="19">
        <v>840.56776702218087</v>
      </c>
      <c r="S284" s="19">
        <v>590.44193140903553</v>
      </c>
      <c r="T284" s="19">
        <v>210.20375768200151</v>
      </c>
      <c r="U284" s="19">
        <v>0</v>
      </c>
      <c r="V284" s="19">
        <v>0</v>
      </c>
      <c r="W284" s="19">
        <v>0</v>
      </c>
      <c r="X284" s="19">
        <v>0</v>
      </c>
      <c r="Y284" s="19">
        <v>0</v>
      </c>
      <c r="Z284" s="19">
        <v>0</v>
      </c>
      <c r="AA284" s="19">
        <v>0</v>
      </c>
      <c r="AC284" s="76">
        <f t="shared" si="8"/>
        <v>5.8753588105208872</v>
      </c>
      <c r="AD284" s="77"/>
      <c r="AE284" s="72"/>
    </row>
    <row r="285" spans="2:31" x14ac:dyDescent="0.25">
      <c r="B285" s="108">
        <v>42650</v>
      </c>
      <c r="C285" s="72">
        <f t="shared" si="9"/>
        <v>281</v>
      </c>
      <c r="D285" s="19">
        <v>0</v>
      </c>
      <c r="E285" s="19">
        <v>0</v>
      </c>
      <c r="F285" s="19">
        <v>0</v>
      </c>
      <c r="G285" s="19">
        <v>0</v>
      </c>
      <c r="H285" s="19">
        <v>0</v>
      </c>
      <c r="I285" s="19">
        <v>0</v>
      </c>
      <c r="J285" s="19">
        <v>0</v>
      </c>
      <c r="K285" s="19">
        <v>98.228794427881127</v>
      </c>
      <c r="L285" s="19">
        <v>272.42317112285332</v>
      </c>
      <c r="M285" s="19">
        <v>469.71809252372486</v>
      </c>
      <c r="N285" s="19">
        <v>647.96729408935687</v>
      </c>
      <c r="O285" s="19">
        <v>783.51351740216728</v>
      </c>
      <c r="P285" s="19">
        <v>983.22796706726695</v>
      </c>
      <c r="Q285" s="19">
        <v>965.58227124976509</v>
      </c>
      <c r="R285" s="19">
        <v>838.56039521174898</v>
      </c>
      <c r="S285" s="19">
        <v>585.33870186003946</v>
      </c>
      <c r="T285" s="19">
        <v>202.17054823093673</v>
      </c>
      <c r="U285" s="19">
        <v>0</v>
      </c>
      <c r="V285" s="19">
        <v>0</v>
      </c>
      <c r="W285" s="19">
        <v>0</v>
      </c>
      <c r="X285" s="19">
        <v>0</v>
      </c>
      <c r="Y285" s="19">
        <v>0</v>
      </c>
      <c r="Z285" s="19">
        <v>0</v>
      </c>
      <c r="AA285" s="19">
        <v>0</v>
      </c>
      <c r="AC285" s="76">
        <f t="shared" si="8"/>
        <v>5.8467307531857413</v>
      </c>
      <c r="AD285" s="77"/>
      <c r="AE285" s="72"/>
    </row>
    <row r="286" spans="2:31" x14ac:dyDescent="0.25">
      <c r="B286" s="108">
        <v>42651</v>
      </c>
      <c r="C286" s="72">
        <f t="shared" si="9"/>
        <v>282</v>
      </c>
      <c r="D286" s="19">
        <v>0</v>
      </c>
      <c r="E286" s="19">
        <v>0</v>
      </c>
      <c r="F286" s="19">
        <v>0</v>
      </c>
      <c r="G286" s="19">
        <v>0</v>
      </c>
      <c r="H286" s="19">
        <v>0</v>
      </c>
      <c r="I286" s="19">
        <v>0</v>
      </c>
      <c r="J286" s="19">
        <v>0</v>
      </c>
      <c r="K286" s="19">
        <v>97.789905009747727</v>
      </c>
      <c r="L286" s="19">
        <v>270.76774104895605</v>
      </c>
      <c r="M286" s="19">
        <v>468.28926724345922</v>
      </c>
      <c r="N286" s="19">
        <v>648.12234221495157</v>
      </c>
      <c r="O286" s="19">
        <v>780.4431523576568</v>
      </c>
      <c r="P286" s="19">
        <v>983.55028284472451</v>
      </c>
      <c r="Q286" s="19">
        <v>965.13835428069035</v>
      </c>
      <c r="R286" s="19">
        <v>836.40938998891306</v>
      </c>
      <c r="S286" s="19">
        <v>580.06838975439291</v>
      </c>
      <c r="T286" s="19">
        <v>194.17977036834355</v>
      </c>
      <c r="U286" s="19">
        <v>0</v>
      </c>
      <c r="V286" s="19">
        <v>0</v>
      </c>
      <c r="W286" s="19">
        <v>0</v>
      </c>
      <c r="X286" s="19">
        <v>0</v>
      </c>
      <c r="Y286" s="19">
        <v>0</v>
      </c>
      <c r="Z286" s="19">
        <v>0</v>
      </c>
      <c r="AA286" s="19">
        <v>0</v>
      </c>
      <c r="AC286" s="76">
        <f t="shared" si="8"/>
        <v>5.8247585951118364</v>
      </c>
      <c r="AD286" s="77"/>
      <c r="AE286" s="72"/>
    </row>
    <row r="287" spans="2:31" x14ac:dyDescent="0.25">
      <c r="B287" s="108">
        <v>42652</v>
      </c>
      <c r="C287" s="72">
        <f t="shared" si="9"/>
        <v>283</v>
      </c>
      <c r="D287" s="19">
        <v>0</v>
      </c>
      <c r="E287" s="19">
        <v>0</v>
      </c>
      <c r="F287" s="19">
        <v>0</v>
      </c>
      <c r="G287" s="19">
        <v>0</v>
      </c>
      <c r="H287" s="19">
        <v>0</v>
      </c>
      <c r="I287" s="19">
        <v>0</v>
      </c>
      <c r="J287" s="19">
        <v>0</v>
      </c>
      <c r="K287" s="19">
        <v>96.33388305686465</v>
      </c>
      <c r="L287" s="19">
        <v>270.61427122480222</v>
      </c>
      <c r="M287" s="19">
        <v>468.95971594201217</v>
      </c>
      <c r="N287" s="19">
        <v>650.67511594661482</v>
      </c>
      <c r="O287" s="19">
        <v>787.08766742507521</v>
      </c>
      <c r="P287" s="19">
        <v>983.76042839305444</v>
      </c>
      <c r="Q287" s="19">
        <v>964.56849654260543</v>
      </c>
      <c r="R287" s="19">
        <v>834.11525481290653</v>
      </c>
      <c r="S287" s="19">
        <v>574.63303261131182</v>
      </c>
      <c r="T287" s="19">
        <v>186.25695859243669</v>
      </c>
      <c r="U287" s="19">
        <v>0</v>
      </c>
      <c r="V287" s="19">
        <v>0</v>
      </c>
      <c r="W287" s="19">
        <v>0</v>
      </c>
      <c r="X287" s="19">
        <v>0</v>
      </c>
      <c r="Y287" s="19">
        <v>0</v>
      </c>
      <c r="Z287" s="19">
        <v>0</v>
      </c>
      <c r="AA287" s="19">
        <v>0</v>
      </c>
      <c r="AC287" s="76">
        <f t="shared" si="8"/>
        <v>5.8170048245476842</v>
      </c>
      <c r="AD287" s="77"/>
      <c r="AE287" s="72"/>
    </row>
    <row r="288" spans="2:31" x14ac:dyDescent="0.25">
      <c r="B288" s="108">
        <v>42653</v>
      </c>
      <c r="C288" s="72">
        <f t="shared" si="9"/>
        <v>284</v>
      </c>
      <c r="D288" s="19">
        <v>0</v>
      </c>
      <c r="E288" s="19">
        <v>0</v>
      </c>
      <c r="F288" s="19">
        <v>0</v>
      </c>
      <c r="G288" s="19">
        <v>0</v>
      </c>
      <c r="H288" s="19">
        <v>0</v>
      </c>
      <c r="I288" s="19">
        <v>0</v>
      </c>
      <c r="J288" s="19">
        <v>0</v>
      </c>
      <c r="K288" s="19">
        <v>96.625793360647947</v>
      </c>
      <c r="L288" s="19">
        <v>272.14465371632707</v>
      </c>
      <c r="M288" s="19">
        <v>471.70817776443556</v>
      </c>
      <c r="N288" s="19">
        <v>652.36070122684112</v>
      </c>
      <c r="O288" s="19">
        <v>789.77565912275611</v>
      </c>
      <c r="P288" s="19">
        <v>983.85852575211322</v>
      </c>
      <c r="Q288" s="19">
        <v>963.87300376652422</v>
      </c>
      <c r="R288" s="19">
        <v>831.67871529900867</v>
      </c>
      <c r="S288" s="19">
        <v>569.03501661545511</v>
      </c>
      <c r="T288" s="19">
        <v>178.42913455052948</v>
      </c>
      <c r="U288" s="19">
        <v>0</v>
      </c>
      <c r="V288" s="19">
        <v>0</v>
      </c>
      <c r="W288" s="19">
        <v>0</v>
      </c>
      <c r="X288" s="19">
        <v>0</v>
      </c>
      <c r="Y288" s="19">
        <v>0</v>
      </c>
      <c r="Z288" s="19">
        <v>0</v>
      </c>
      <c r="AA288" s="19">
        <v>0</v>
      </c>
      <c r="AC288" s="76">
        <f t="shared" si="8"/>
        <v>5.8094893811746386</v>
      </c>
      <c r="AD288" s="77"/>
      <c r="AE288" s="72"/>
    </row>
    <row r="289" spans="2:31" x14ac:dyDescent="0.25">
      <c r="B289" s="108">
        <v>42654</v>
      </c>
      <c r="C289" s="72">
        <f t="shared" si="9"/>
        <v>285</v>
      </c>
      <c r="D289" s="19">
        <v>0</v>
      </c>
      <c r="E289" s="19">
        <v>0</v>
      </c>
      <c r="F289" s="19">
        <v>0</v>
      </c>
      <c r="G289" s="19">
        <v>0</v>
      </c>
      <c r="H289" s="19">
        <v>0</v>
      </c>
      <c r="I289" s="19">
        <v>0</v>
      </c>
      <c r="J289" s="19">
        <v>0</v>
      </c>
      <c r="K289" s="19">
        <v>96.91834008159779</v>
      </c>
      <c r="L289" s="19">
        <v>275.83423501107541</v>
      </c>
      <c r="M289" s="19">
        <v>472.92417438748549</v>
      </c>
      <c r="N289" s="19">
        <v>656.5381533826145</v>
      </c>
      <c r="O289" s="19">
        <v>793.01621974966872</v>
      </c>
      <c r="P289" s="19">
        <v>983.84486495773115</v>
      </c>
      <c r="Q289" s="19">
        <v>963.05237246421143</v>
      </c>
      <c r="R289" s="19">
        <v>829.10072328561682</v>
      </c>
      <c r="S289" s="19">
        <v>563.27708570844152</v>
      </c>
      <c r="T289" s="19">
        <v>170.72475274151606</v>
      </c>
      <c r="U289" s="19">
        <v>0</v>
      </c>
      <c r="V289" s="19">
        <v>0</v>
      </c>
      <c r="W289" s="19">
        <v>0</v>
      </c>
      <c r="X289" s="19">
        <v>0</v>
      </c>
      <c r="Y289" s="19">
        <v>0</v>
      </c>
      <c r="Z289" s="19">
        <v>0</v>
      </c>
      <c r="AA289" s="19">
        <v>0</v>
      </c>
      <c r="AC289" s="76">
        <f t="shared" si="8"/>
        <v>5.8052309217699598</v>
      </c>
      <c r="AD289" s="77"/>
      <c r="AE289" s="72"/>
    </row>
    <row r="290" spans="2:31" x14ac:dyDescent="0.25">
      <c r="B290" s="108">
        <v>42655</v>
      </c>
      <c r="C290" s="72">
        <f t="shared" si="9"/>
        <v>286</v>
      </c>
      <c r="D290" s="19">
        <v>0</v>
      </c>
      <c r="E290" s="19">
        <v>0</v>
      </c>
      <c r="F290" s="19">
        <v>0</v>
      </c>
      <c r="G290" s="19">
        <v>0</v>
      </c>
      <c r="H290" s="19">
        <v>0</v>
      </c>
      <c r="I290" s="19">
        <v>0</v>
      </c>
      <c r="J290" s="19">
        <v>0</v>
      </c>
      <c r="K290" s="19">
        <v>93.391101343896295</v>
      </c>
      <c r="L290" s="19">
        <v>267.15902490159118</v>
      </c>
      <c r="M290" s="19">
        <v>467.93628061593512</v>
      </c>
      <c r="N290" s="19">
        <v>651.87040737090035</v>
      </c>
      <c r="O290" s="19">
        <v>785.09257838281678</v>
      </c>
      <c r="P290" s="19">
        <v>983.71990596114347</v>
      </c>
      <c r="Q290" s="19">
        <v>962.10729242223988</v>
      </c>
      <c r="R290" s="19">
        <v>826.38246062116309</v>
      </c>
      <c r="S290" s="19">
        <v>557.36235014437318</v>
      </c>
      <c r="T290" s="19">
        <v>163.17363395531743</v>
      </c>
      <c r="U290" s="19">
        <v>0</v>
      </c>
      <c r="V290" s="19">
        <v>0</v>
      </c>
      <c r="W290" s="19">
        <v>0</v>
      </c>
      <c r="X290" s="19">
        <v>0</v>
      </c>
      <c r="Y290" s="19">
        <v>0</v>
      </c>
      <c r="Z290" s="19">
        <v>0</v>
      </c>
      <c r="AA290" s="19">
        <v>0</v>
      </c>
      <c r="AC290" s="76">
        <f t="shared" si="8"/>
        <v>5.7581950357193765</v>
      </c>
      <c r="AD290" s="77"/>
      <c r="AE290" s="72"/>
    </row>
    <row r="291" spans="2:31" x14ac:dyDescent="0.25">
      <c r="B291" s="108">
        <v>42656</v>
      </c>
      <c r="C291" s="72">
        <f t="shared" si="9"/>
        <v>287</v>
      </c>
      <c r="D291" s="19">
        <v>0</v>
      </c>
      <c r="E291" s="19">
        <v>0</v>
      </c>
      <c r="F291" s="19">
        <v>0</v>
      </c>
      <c r="G291" s="19">
        <v>0</v>
      </c>
      <c r="H291" s="19">
        <v>0</v>
      </c>
      <c r="I291" s="19">
        <v>0</v>
      </c>
      <c r="J291" s="19">
        <v>0</v>
      </c>
      <c r="K291" s="19">
        <v>91.990697117144805</v>
      </c>
      <c r="L291" s="19">
        <v>266.00434380209668</v>
      </c>
      <c r="M291" s="19">
        <v>467.3424627517191</v>
      </c>
      <c r="N291" s="19">
        <v>648.9578092244036</v>
      </c>
      <c r="O291" s="19">
        <v>785.22200238337609</v>
      </c>
      <c r="P291" s="19">
        <v>983.48428030336731</v>
      </c>
      <c r="Q291" s="19">
        <v>961.03864892947172</v>
      </c>
      <c r="R291" s="19">
        <v>823.52534264992994</v>
      </c>
      <c r="S291" s="19">
        <v>551.29429441676848</v>
      </c>
      <c r="T291" s="19">
        <v>155.80689264843625</v>
      </c>
      <c r="U291" s="19">
        <v>0</v>
      </c>
      <c r="V291" s="19">
        <v>0</v>
      </c>
      <c r="W291" s="19">
        <v>0</v>
      </c>
      <c r="X291" s="19">
        <v>0</v>
      </c>
      <c r="Y291" s="19">
        <v>0</v>
      </c>
      <c r="Z291" s="19">
        <v>0</v>
      </c>
      <c r="AA291" s="19">
        <v>0</v>
      </c>
      <c r="AC291" s="76">
        <f t="shared" si="8"/>
        <v>5.7346667742267137</v>
      </c>
      <c r="AD291" s="77"/>
      <c r="AE291" s="72"/>
    </row>
    <row r="292" spans="2:31" x14ac:dyDescent="0.25">
      <c r="B292" s="108">
        <v>42657</v>
      </c>
      <c r="C292" s="72">
        <f t="shared" si="9"/>
        <v>288</v>
      </c>
      <c r="D292" s="19">
        <v>0</v>
      </c>
      <c r="E292" s="19">
        <v>0</v>
      </c>
      <c r="F292" s="19">
        <v>0</v>
      </c>
      <c r="G292" s="19">
        <v>0</v>
      </c>
      <c r="H292" s="19">
        <v>0</v>
      </c>
      <c r="I292" s="19">
        <v>0</v>
      </c>
      <c r="J292" s="19">
        <v>0</v>
      </c>
      <c r="K292" s="19">
        <v>91.733997255596108</v>
      </c>
      <c r="L292" s="19">
        <v>267.75344519656113</v>
      </c>
      <c r="M292" s="19">
        <v>469.99272714683696</v>
      </c>
      <c r="N292" s="19">
        <v>653.84463728018022</v>
      </c>
      <c r="O292" s="19">
        <v>792.3907430188209</v>
      </c>
      <c r="P292" s="19">
        <v>983.13879253582468</v>
      </c>
      <c r="Q292" s="19">
        <v>959.84752472613502</v>
      </c>
      <c r="R292" s="19">
        <v>820.53102137507267</v>
      </c>
      <c r="S292" s="19">
        <v>545.07678445682836</v>
      </c>
      <c r="T292" s="19">
        <v>148.65686876853195</v>
      </c>
      <c r="U292" s="19">
        <v>0</v>
      </c>
      <c r="V292" s="19">
        <v>0</v>
      </c>
      <c r="W292" s="19">
        <v>0</v>
      </c>
      <c r="X292" s="19">
        <v>0</v>
      </c>
      <c r="Y292" s="19">
        <v>0</v>
      </c>
      <c r="Z292" s="19">
        <v>0</v>
      </c>
      <c r="AA292" s="19">
        <v>0</v>
      </c>
      <c r="AC292" s="76">
        <f t="shared" si="8"/>
        <v>5.7329665417603879</v>
      </c>
      <c r="AD292" s="77"/>
      <c r="AE292" s="72"/>
    </row>
    <row r="293" spans="2:31" x14ac:dyDescent="0.25">
      <c r="B293" s="108">
        <v>42658</v>
      </c>
      <c r="C293" s="72">
        <f t="shared" si="9"/>
        <v>289</v>
      </c>
      <c r="D293" s="19">
        <v>0</v>
      </c>
      <c r="E293" s="19">
        <v>0</v>
      </c>
      <c r="F293" s="19">
        <v>0</v>
      </c>
      <c r="G293" s="19">
        <v>0</v>
      </c>
      <c r="H293" s="19">
        <v>0</v>
      </c>
      <c r="I293" s="19">
        <v>0</v>
      </c>
      <c r="J293" s="19">
        <v>0</v>
      </c>
      <c r="K293" s="19">
        <v>90.929180150437077</v>
      </c>
      <c r="L293" s="19">
        <v>265.66154543981332</v>
      </c>
      <c r="M293" s="19">
        <v>466.05210764070472</v>
      </c>
      <c r="N293" s="19">
        <v>649.18418381420793</v>
      </c>
      <c r="O293" s="19">
        <v>786.53460065305103</v>
      </c>
      <c r="P293" s="19">
        <v>982.68442137864872</v>
      </c>
      <c r="Q293" s="19">
        <v>958.53520166264377</v>
      </c>
      <c r="R293" s="19">
        <v>817.40138827640226</v>
      </c>
      <c r="S293" s="19">
        <v>538.71407399548332</v>
      </c>
      <c r="T293" s="19">
        <v>141.75708053349734</v>
      </c>
      <c r="U293" s="19">
        <v>0</v>
      </c>
      <c r="V293" s="19">
        <v>0</v>
      </c>
      <c r="W293" s="19">
        <v>0</v>
      </c>
      <c r="X293" s="19">
        <v>0</v>
      </c>
      <c r="Y293" s="19">
        <v>0</v>
      </c>
      <c r="Z293" s="19">
        <v>0</v>
      </c>
      <c r="AA293" s="19">
        <v>0</v>
      </c>
      <c r="AC293" s="76">
        <f t="shared" si="8"/>
        <v>5.6974537835448889</v>
      </c>
      <c r="AD293" s="77"/>
      <c r="AE293" s="72"/>
    </row>
    <row r="294" spans="2:31" x14ac:dyDescent="0.25">
      <c r="B294" s="108">
        <v>42659</v>
      </c>
      <c r="C294" s="72">
        <f t="shared" si="9"/>
        <v>290</v>
      </c>
      <c r="D294" s="19">
        <v>0</v>
      </c>
      <c r="E294" s="19">
        <v>0</v>
      </c>
      <c r="F294" s="19">
        <v>0</v>
      </c>
      <c r="G294" s="19">
        <v>0</v>
      </c>
      <c r="H294" s="19">
        <v>0</v>
      </c>
      <c r="I294" s="19">
        <v>0</v>
      </c>
      <c r="J294" s="19">
        <v>0</v>
      </c>
      <c r="K294" s="19">
        <v>89.218745703201336</v>
      </c>
      <c r="L294" s="19">
        <v>262.85821746880941</v>
      </c>
      <c r="M294" s="19">
        <v>464.29815999537817</v>
      </c>
      <c r="N294" s="19">
        <v>646.40471555472232</v>
      </c>
      <c r="O294" s="19">
        <v>784.15291887554247</v>
      </c>
      <c r="P294" s="19">
        <v>982.12232060821714</v>
      </c>
      <c r="Q294" s="19">
        <v>957.10316205626293</v>
      </c>
      <c r="R294" s="19">
        <v>814.13857675981251</v>
      </c>
      <c r="S294" s="19">
        <v>532.21080997429101</v>
      </c>
      <c r="T294" s="19">
        <v>135.14222287027911</v>
      </c>
      <c r="U294" s="19">
        <v>0</v>
      </c>
      <c r="V294" s="19">
        <v>0</v>
      </c>
      <c r="W294" s="19">
        <v>0</v>
      </c>
      <c r="X294" s="19">
        <v>0</v>
      </c>
      <c r="Y294" s="19">
        <v>0</v>
      </c>
      <c r="Z294" s="19">
        <v>0</v>
      </c>
      <c r="AA294" s="19">
        <v>0</v>
      </c>
      <c r="AC294" s="76">
        <f t="shared" si="8"/>
        <v>5.6676498498665158</v>
      </c>
      <c r="AD294" s="77"/>
      <c r="AE294" s="72"/>
    </row>
    <row r="295" spans="2:31" x14ac:dyDescent="0.25">
      <c r="B295" s="108">
        <v>42660</v>
      </c>
      <c r="C295" s="72">
        <f t="shared" si="9"/>
        <v>291</v>
      </c>
      <c r="D295" s="19">
        <v>0</v>
      </c>
      <c r="E295" s="19">
        <v>0</v>
      </c>
      <c r="F295" s="19">
        <v>0</v>
      </c>
      <c r="G295" s="19">
        <v>0</v>
      </c>
      <c r="H295" s="19">
        <v>0</v>
      </c>
      <c r="I295" s="19">
        <v>0</v>
      </c>
      <c r="J295" s="19">
        <v>0</v>
      </c>
      <c r="K295" s="19">
        <v>87.491065534891248</v>
      </c>
      <c r="L295" s="19">
        <v>261.07482730656085</v>
      </c>
      <c r="M295" s="19">
        <v>460.62001679537826</v>
      </c>
      <c r="N295" s="19">
        <v>644.04611702798877</v>
      </c>
      <c r="O295" s="19">
        <v>782.32100618163565</v>
      </c>
      <c r="P295" s="19">
        <v>981.453819665634</v>
      </c>
      <c r="Q295" s="19">
        <v>955.55308973371814</v>
      </c>
      <c r="R295" s="19">
        <v>810.74496421455945</v>
      </c>
      <c r="S295" s="19">
        <v>525.57203688319692</v>
      </c>
      <c r="T295" s="19">
        <v>128.84824732028571</v>
      </c>
      <c r="U295" s="19">
        <v>0</v>
      </c>
      <c r="V295" s="19">
        <v>0</v>
      </c>
      <c r="W295" s="19">
        <v>0</v>
      </c>
      <c r="X295" s="19">
        <v>0</v>
      </c>
      <c r="Y295" s="19">
        <v>0</v>
      </c>
      <c r="Z295" s="19">
        <v>0</v>
      </c>
      <c r="AA295" s="19">
        <v>0</v>
      </c>
      <c r="AC295" s="76">
        <f t="shared" si="8"/>
        <v>5.6377251906638497</v>
      </c>
      <c r="AD295" s="77"/>
      <c r="AE295" s="72"/>
    </row>
    <row r="296" spans="2:31" x14ac:dyDescent="0.25">
      <c r="B296" s="108">
        <v>42661</v>
      </c>
      <c r="C296" s="72">
        <f t="shared" si="9"/>
        <v>292</v>
      </c>
      <c r="D296" s="19">
        <v>0</v>
      </c>
      <c r="E296" s="19">
        <v>0</v>
      </c>
      <c r="F296" s="19">
        <v>0</v>
      </c>
      <c r="G296" s="19">
        <v>0</v>
      </c>
      <c r="H296" s="19">
        <v>0</v>
      </c>
      <c r="I296" s="19">
        <v>0</v>
      </c>
      <c r="J296" s="19">
        <v>0</v>
      </c>
      <c r="K296" s="19">
        <v>86.950790895673151</v>
      </c>
      <c r="L296" s="19">
        <v>261.49017925758699</v>
      </c>
      <c r="M296" s="19">
        <v>462.96098741058159</v>
      </c>
      <c r="N296" s="19">
        <v>648.07717340277895</v>
      </c>
      <c r="O296" s="19">
        <v>784.03043121877749</v>
      </c>
      <c r="P296" s="19">
        <v>980.68042397799195</v>
      </c>
      <c r="Q296" s="19">
        <v>953.88687074785094</v>
      </c>
      <c r="R296" s="19">
        <v>807.22317365404933</v>
      </c>
      <c r="S296" s="19">
        <v>518.8031998964982</v>
      </c>
      <c r="T296" s="19">
        <v>122.91257415766226</v>
      </c>
      <c r="U296" s="19">
        <v>0</v>
      </c>
      <c r="V296" s="19">
        <v>0</v>
      </c>
      <c r="W296" s="19">
        <v>0</v>
      </c>
      <c r="X296" s="19">
        <v>0</v>
      </c>
      <c r="Y296" s="19">
        <v>0</v>
      </c>
      <c r="Z296" s="19">
        <v>0</v>
      </c>
      <c r="AA296" s="19">
        <v>0</v>
      </c>
      <c r="AC296" s="76">
        <f t="shared" si="8"/>
        <v>5.6270158046194503</v>
      </c>
      <c r="AD296" s="77"/>
      <c r="AE296" s="72"/>
    </row>
    <row r="297" spans="2:31" x14ac:dyDescent="0.25">
      <c r="B297" s="108">
        <v>42662</v>
      </c>
      <c r="C297" s="72">
        <f t="shared" si="9"/>
        <v>293</v>
      </c>
      <c r="D297" s="19">
        <v>0</v>
      </c>
      <c r="E297" s="19">
        <v>0</v>
      </c>
      <c r="F297" s="19">
        <v>0</v>
      </c>
      <c r="G297" s="19">
        <v>0</v>
      </c>
      <c r="H297" s="19">
        <v>0</v>
      </c>
      <c r="I297" s="19">
        <v>0</v>
      </c>
      <c r="J297" s="19">
        <v>0</v>
      </c>
      <c r="K297" s="19">
        <v>86.302526537426431</v>
      </c>
      <c r="L297" s="19">
        <v>261.75588557634813</v>
      </c>
      <c r="M297" s="19">
        <v>464.97898495025345</v>
      </c>
      <c r="N297" s="19">
        <v>645.81973011438345</v>
      </c>
      <c r="O297" s="19">
        <v>781.50917179299211</v>
      </c>
      <c r="P297" s="19">
        <v>979.80381498446206</v>
      </c>
      <c r="Q297" s="19">
        <v>952.10659375646969</v>
      </c>
      <c r="R297" s="19">
        <v>803.57607491528211</v>
      </c>
      <c r="S297" s="19">
        <v>511.91014667235368</v>
      </c>
      <c r="T297" s="19">
        <v>117.37450755034072</v>
      </c>
      <c r="U297" s="19">
        <v>0</v>
      </c>
      <c r="V297" s="19">
        <v>0</v>
      </c>
      <c r="W297" s="19">
        <v>0</v>
      </c>
      <c r="X297" s="19">
        <v>0</v>
      </c>
      <c r="Y297" s="19">
        <v>0</v>
      </c>
      <c r="Z297" s="19">
        <v>0</v>
      </c>
      <c r="AA297" s="19">
        <v>0</v>
      </c>
      <c r="AC297" s="76">
        <f t="shared" si="8"/>
        <v>5.6051374368503133</v>
      </c>
      <c r="AD297" s="77"/>
      <c r="AE297" s="72"/>
    </row>
    <row r="298" spans="2:31" x14ac:dyDescent="0.25">
      <c r="B298" s="108">
        <v>42663</v>
      </c>
      <c r="C298" s="72">
        <f t="shared" si="9"/>
        <v>294</v>
      </c>
      <c r="D298" s="19">
        <v>0</v>
      </c>
      <c r="E298" s="19">
        <v>0</v>
      </c>
      <c r="F298" s="19">
        <v>0</v>
      </c>
      <c r="G298" s="19">
        <v>0</v>
      </c>
      <c r="H298" s="19">
        <v>0</v>
      </c>
      <c r="I298" s="19">
        <v>0</v>
      </c>
      <c r="J298" s="19">
        <v>0</v>
      </c>
      <c r="K298" s="19">
        <v>85.469068055994825</v>
      </c>
      <c r="L298" s="19">
        <v>261.3939807156367</v>
      </c>
      <c r="M298" s="19">
        <v>462.28211580292339</v>
      </c>
      <c r="N298" s="19">
        <v>646.88379328271515</v>
      </c>
      <c r="O298" s="19">
        <v>785.8058068540206</v>
      </c>
      <c r="P298" s="19">
        <v>978.82584985941878</v>
      </c>
      <c r="Q298" s="19">
        <v>950.21455005161874</v>
      </c>
      <c r="R298" s="19">
        <v>799.80678539173221</v>
      </c>
      <c r="S298" s="19">
        <v>504.8991276760438</v>
      </c>
      <c r="T298" s="19">
        <v>112.2759517213193</v>
      </c>
      <c r="U298" s="19">
        <v>0</v>
      </c>
      <c r="V298" s="19">
        <v>0</v>
      </c>
      <c r="W298" s="19">
        <v>0</v>
      </c>
      <c r="X298" s="19">
        <v>0</v>
      </c>
      <c r="Y298" s="19">
        <v>0</v>
      </c>
      <c r="Z298" s="19">
        <v>0</v>
      </c>
      <c r="AA298" s="19">
        <v>0</v>
      </c>
      <c r="AC298" s="76">
        <f t="shared" si="8"/>
        <v>5.5878570294114223</v>
      </c>
      <c r="AD298" s="77"/>
      <c r="AE298" s="72"/>
    </row>
    <row r="299" spans="2:31" x14ac:dyDescent="0.25">
      <c r="B299" s="108">
        <v>42664</v>
      </c>
      <c r="C299" s="72">
        <f t="shared" si="9"/>
        <v>295</v>
      </c>
      <c r="D299" s="19">
        <v>0</v>
      </c>
      <c r="E299" s="19">
        <v>0</v>
      </c>
      <c r="F299" s="19">
        <v>0</v>
      </c>
      <c r="G299" s="19">
        <v>0</v>
      </c>
      <c r="H299" s="19">
        <v>0</v>
      </c>
      <c r="I299" s="19">
        <v>0</v>
      </c>
      <c r="J299" s="19">
        <v>0</v>
      </c>
      <c r="K299" s="19">
        <v>84.454350869471654</v>
      </c>
      <c r="L299" s="19">
        <v>259.49057682095253</v>
      </c>
      <c r="M299" s="19">
        <v>461.46988525086766</v>
      </c>
      <c r="N299" s="19">
        <v>648.6711477415995</v>
      </c>
      <c r="O299" s="19">
        <v>784.76315714620841</v>
      </c>
      <c r="P299" s="19">
        <v>977.74856092503865</v>
      </c>
      <c r="Q299" s="19">
        <v>948.21323322760463</v>
      </c>
      <c r="R299" s="19">
        <v>795.91867027417595</v>
      </c>
      <c r="S299" s="19">
        <v>497.77679488312197</v>
      </c>
      <c r="T299" s="19">
        <v>107.66256312082007</v>
      </c>
      <c r="U299" s="19">
        <v>0</v>
      </c>
      <c r="V299" s="19">
        <v>0</v>
      </c>
      <c r="W299" s="19">
        <v>0</v>
      </c>
      <c r="X299" s="19">
        <v>0</v>
      </c>
      <c r="Y299" s="19">
        <v>0</v>
      </c>
      <c r="Z299" s="19">
        <v>0</v>
      </c>
      <c r="AA299" s="19">
        <v>0</v>
      </c>
      <c r="AC299" s="76">
        <f t="shared" si="8"/>
        <v>5.5661689402598613</v>
      </c>
      <c r="AD299" s="77"/>
      <c r="AE299" s="72"/>
    </row>
    <row r="300" spans="2:31" x14ac:dyDescent="0.25">
      <c r="B300" s="108">
        <v>42665</v>
      </c>
      <c r="C300" s="72">
        <f t="shared" si="9"/>
        <v>296</v>
      </c>
      <c r="D300" s="19">
        <v>0</v>
      </c>
      <c r="E300" s="19">
        <v>0</v>
      </c>
      <c r="F300" s="19">
        <v>0</v>
      </c>
      <c r="G300" s="19">
        <v>0</v>
      </c>
      <c r="H300" s="19">
        <v>0</v>
      </c>
      <c r="I300" s="19">
        <v>0</v>
      </c>
      <c r="J300" s="19">
        <v>0</v>
      </c>
      <c r="K300" s="19">
        <v>81.916801590063045</v>
      </c>
      <c r="L300" s="19">
        <v>254.93285632730425</v>
      </c>
      <c r="M300" s="19">
        <v>457.51202567370916</v>
      </c>
      <c r="N300" s="19">
        <v>642.80063211278843</v>
      </c>
      <c r="O300" s="19">
        <v>779.38791159103573</v>
      </c>
      <c r="P300" s="19">
        <v>976.57415474605557</v>
      </c>
      <c r="Q300" s="19">
        <v>946.10533847630143</v>
      </c>
      <c r="R300" s="19">
        <v>791.91534227391514</v>
      </c>
      <c r="S300" s="19">
        <v>490.55019871599438</v>
      </c>
      <c r="T300" s="19">
        <v>103.58552512717215</v>
      </c>
      <c r="U300" s="19">
        <v>0</v>
      </c>
      <c r="V300" s="19">
        <v>0</v>
      </c>
      <c r="W300" s="19">
        <v>0</v>
      </c>
      <c r="X300" s="19">
        <v>0</v>
      </c>
      <c r="Y300" s="19">
        <v>0</v>
      </c>
      <c r="Z300" s="19">
        <v>0</v>
      </c>
      <c r="AA300" s="19">
        <v>0</v>
      </c>
      <c r="AC300" s="76">
        <f t="shared" si="8"/>
        <v>5.5252807866343403</v>
      </c>
      <c r="AD300" s="77"/>
      <c r="AE300" s="72"/>
    </row>
    <row r="301" spans="2:31" x14ac:dyDescent="0.25">
      <c r="B301" s="108">
        <v>42666</v>
      </c>
      <c r="C301" s="72">
        <f t="shared" si="9"/>
        <v>297</v>
      </c>
      <c r="D301" s="19">
        <v>0</v>
      </c>
      <c r="E301" s="19">
        <v>0</v>
      </c>
      <c r="F301" s="19">
        <v>0</v>
      </c>
      <c r="G301" s="19">
        <v>0</v>
      </c>
      <c r="H301" s="19">
        <v>0</v>
      </c>
      <c r="I301" s="19">
        <v>0</v>
      </c>
      <c r="J301" s="19">
        <v>0</v>
      </c>
      <c r="K301" s="19">
        <v>80.228613621293121</v>
      </c>
      <c r="L301" s="19">
        <v>252.75283291367396</v>
      </c>
      <c r="M301" s="19">
        <v>455.04333009811239</v>
      </c>
      <c r="N301" s="19">
        <v>640.28359039824272</v>
      </c>
      <c r="O301" s="19">
        <v>775.84379101753984</v>
      </c>
      <c r="P301" s="19">
        <v>975.30501089961206</v>
      </c>
      <c r="Q301" s="19">
        <v>943.89376149846419</v>
      </c>
      <c r="R301" s="19">
        <v>787.80066080288225</v>
      </c>
      <c r="S301" s="19">
        <v>483.22678306643076</v>
      </c>
      <c r="T301" s="19">
        <v>100.10420504519755</v>
      </c>
      <c r="U301" s="19">
        <v>0</v>
      </c>
      <c r="V301" s="19">
        <v>0</v>
      </c>
      <c r="W301" s="19">
        <v>0</v>
      </c>
      <c r="X301" s="19">
        <v>0</v>
      </c>
      <c r="Y301" s="19">
        <v>0</v>
      </c>
      <c r="Z301" s="19">
        <v>0</v>
      </c>
      <c r="AA301" s="19">
        <v>0</v>
      </c>
      <c r="AC301" s="76">
        <f t="shared" si="8"/>
        <v>5.4944825793614482</v>
      </c>
      <c r="AD301" s="77"/>
      <c r="AE301" s="72"/>
    </row>
    <row r="302" spans="2:31" x14ac:dyDescent="0.25">
      <c r="B302" s="108">
        <v>42667</v>
      </c>
      <c r="C302" s="72">
        <f t="shared" si="9"/>
        <v>298</v>
      </c>
      <c r="D302" s="19">
        <v>0</v>
      </c>
      <c r="E302" s="19">
        <v>0</v>
      </c>
      <c r="F302" s="19">
        <v>0</v>
      </c>
      <c r="G302" s="19">
        <v>0</v>
      </c>
      <c r="H302" s="19">
        <v>0</v>
      </c>
      <c r="I302" s="19">
        <v>0</v>
      </c>
      <c r="J302" s="19">
        <v>0</v>
      </c>
      <c r="K302" s="19">
        <v>78.815310470627878</v>
      </c>
      <c r="L302" s="19">
        <v>249.18882197500389</v>
      </c>
      <c r="M302" s="19">
        <v>451.62006464344938</v>
      </c>
      <c r="N302" s="19">
        <v>636.54812167837736</v>
      </c>
      <c r="O302" s="19">
        <v>774.90252243107477</v>
      </c>
      <c r="P302" s="19">
        <v>973.94368041348082</v>
      </c>
      <c r="Q302" s="19">
        <v>941.5815970200872</v>
      </c>
      <c r="R302" s="19">
        <v>783.57873058544419</v>
      </c>
      <c r="S302" s="19">
        <v>475.81437825758303</v>
      </c>
      <c r="T302" s="19">
        <v>97.290060019192609</v>
      </c>
      <c r="U302" s="19">
        <v>0</v>
      </c>
      <c r="V302" s="19">
        <v>0</v>
      </c>
      <c r="W302" s="19">
        <v>0</v>
      </c>
      <c r="X302" s="19">
        <v>0</v>
      </c>
      <c r="Y302" s="19">
        <v>0</v>
      </c>
      <c r="Z302" s="19">
        <v>0</v>
      </c>
      <c r="AA302" s="19">
        <v>0</v>
      </c>
      <c r="AC302" s="76">
        <f t="shared" si="8"/>
        <v>5.4632832874943205</v>
      </c>
      <c r="AD302" s="77"/>
      <c r="AE302" s="72"/>
    </row>
    <row r="303" spans="2:31" x14ac:dyDescent="0.25">
      <c r="B303" s="108">
        <v>42668</v>
      </c>
      <c r="C303" s="72">
        <f t="shared" si="9"/>
        <v>299</v>
      </c>
      <c r="D303" s="19">
        <v>0</v>
      </c>
      <c r="E303" s="19">
        <v>0</v>
      </c>
      <c r="F303" s="19">
        <v>0</v>
      </c>
      <c r="G303" s="19">
        <v>0</v>
      </c>
      <c r="H303" s="19">
        <v>0</v>
      </c>
      <c r="I303" s="19">
        <v>0</v>
      </c>
      <c r="J303" s="19">
        <v>0</v>
      </c>
      <c r="K303" s="19">
        <v>77.513753709111569</v>
      </c>
      <c r="L303" s="19">
        <v>248.88530692880462</v>
      </c>
      <c r="M303" s="19">
        <v>449.53917739612109</v>
      </c>
      <c r="N303" s="19">
        <v>636.71672191178209</v>
      </c>
      <c r="O303" s="19">
        <v>775.50822828317075</v>
      </c>
      <c r="P303" s="19">
        <v>972.4928838662413</v>
      </c>
      <c r="Q303" s="19">
        <v>939.17213690318965</v>
      </c>
      <c r="R303" s="19">
        <v>779.25389967719798</v>
      </c>
      <c r="S303" s="19">
        <v>468.32119180237737</v>
      </c>
      <c r="T303" s="19">
        <v>95.232318105070433</v>
      </c>
      <c r="U303" s="19">
        <v>0</v>
      </c>
      <c r="V303" s="19">
        <v>0</v>
      </c>
      <c r="W303" s="19">
        <v>0</v>
      </c>
      <c r="X303" s="19">
        <v>0</v>
      </c>
      <c r="Y303" s="19">
        <v>0</v>
      </c>
      <c r="Z303" s="19">
        <v>0</v>
      </c>
      <c r="AA303" s="19">
        <v>0</v>
      </c>
      <c r="AC303" s="76">
        <f t="shared" si="8"/>
        <v>5.4426356185830675</v>
      </c>
      <c r="AD303" s="77"/>
      <c r="AE303" s="72"/>
    </row>
    <row r="304" spans="2:31" x14ac:dyDescent="0.25">
      <c r="B304" s="108">
        <v>42669</v>
      </c>
      <c r="C304" s="72">
        <f t="shared" si="9"/>
        <v>300</v>
      </c>
      <c r="D304" s="19">
        <v>0</v>
      </c>
      <c r="E304" s="19">
        <v>0</v>
      </c>
      <c r="F304" s="19">
        <v>0</v>
      </c>
      <c r="G304" s="19">
        <v>0</v>
      </c>
      <c r="H304" s="19">
        <v>0</v>
      </c>
      <c r="I304" s="19">
        <v>0</v>
      </c>
      <c r="J304" s="19">
        <v>0</v>
      </c>
      <c r="K304" s="19">
        <v>76.380142807053417</v>
      </c>
      <c r="L304" s="19">
        <v>247.48269580097525</v>
      </c>
      <c r="M304" s="19">
        <v>448.09167636032009</v>
      </c>
      <c r="N304" s="19">
        <v>635.53556127806473</v>
      </c>
      <c r="O304" s="19">
        <v>770.62800568606565</v>
      </c>
      <c r="P304" s="19">
        <v>970.95550914343198</v>
      </c>
      <c r="Q304" s="19">
        <v>936.66886784087592</v>
      </c>
      <c r="R304" s="19">
        <v>774.83075686687403</v>
      </c>
      <c r="S304" s="19">
        <v>460.7557968212073</v>
      </c>
      <c r="T304" s="19">
        <v>94.046203522613453</v>
      </c>
      <c r="U304" s="19">
        <v>0</v>
      </c>
      <c r="V304" s="19">
        <v>0</v>
      </c>
      <c r="W304" s="19">
        <v>0</v>
      </c>
      <c r="X304" s="19">
        <v>0</v>
      </c>
      <c r="Y304" s="19">
        <v>0</v>
      </c>
      <c r="Z304" s="19">
        <v>0</v>
      </c>
      <c r="AA304" s="19">
        <v>0</v>
      </c>
      <c r="AC304" s="76">
        <f t="shared" si="8"/>
        <v>5.4153752161274822</v>
      </c>
      <c r="AD304" s="77"/>
      <c r="AE304" s="72"/>
    </row>
    <row r="305" spans="2:31" x14ac:dyDescent="0.25">
      <c r="B305" s="108">
        <v>42670</v>
      </c>
      <c r="C305" s="72">
        <f t="shared" si="9"/>
        <v>301</v>
      </c>
      <c r="D305" s="19">
        <v>0</v>
      </c>
      <c r="E305" s="19">
        <v>0</v>
      </c>
      <c r="F305" s="19">
        <v>0</v>
      </c>
      <c r="G305" s="19">
        <v>0</v>
      </c>
      <c r="H305" s="19">
        <v>0</v>
      </c>
      <c r="I305" s="19">
        <v>0</v>
      </c>
      <c r="J305" s="19">
        <v>0</v>
      </c>
      <c r="K305" s="19">
        <v>75.203762891919197</v>
      </c>
      <c r="L305" s="19">
        <v>246.06280738083214</v>
      </c>
      <c r="M305" s="19">
        <v>449.18847700311312</v>
      </c>
      <c r="N305" s="19">
        <v>633.85071054193702</v>
      </c>
      <c r="O305" s="19">
        <v>771.68294017718449</v>
      </c>
      <c r="P305" s="19">
        <v>969.3346088440868</v>
      </c>
      <c r="Q305" s="19">
        <v>934.07546862702509</v>
      </c>
      <c r="R305" s="19">
        <v>770.31412843845794</v>
      </c>
      <c r="S305" s="19">
        <v>453.12711799077812</v>
      </c>
      <c r="T305" s="19">
        <v>93.88484694522522</v>
      </c>
      <c r="U305" s="19">
        <v>0</v>
      </c>
      <c r="V305" s="19">
        <v>0</v>
      </c>
      <c r="W305" s="19">
        <v>0</v>
      </c>
      <c r="X305" s="19">
        <v>0</v>
      </c>
      <c r="Y305" s="19">
        <v>0</v>
      </c>
      <c r="Z305" s="19">
        <v>0</v>
      </c>
      <c r="AA305" s="19">
        <v>0</v>
      </c>
      <c r="AC305" s="76">
        <f t="shared" si="8"/>
        <v>5.3967248688405585</v>
      </c>
      <c r="AD305" s="77"/>
      <c r="AE305" s="72"/>
    </row>
    <row r="306" spans="2:31" x14ac:dyDescent="0.25">
      <c r="B306" s="108">
        <v>42671</v>
      </c>
      <c r="C306" s="72">
        <f t="shared" si="9"/>
        <v>302</v>
      </c>
      <c r="D306" s="19">
        <v>0</v>
      </c>
      <c r="E306" s="19">
        <v>0</v>
      </c>
      <c r="F306" s="19">
        <v>0</v>
      </c>
      <c r="G306" s="19">
        <v>0</v>
      </c>
      <c r="H306" s="19">
        <v>0</v>
      </c>
      <c r="I306" s="19">
        <v>0</v>
      </c>
      <c r="J306" s="19">
        <v>0</v>
      </c>
      <c r="K306" s="19">
        <v>74.0318557477014</v>
      </c>
      <c r="L306" s="19">
        <v>244.6247459179688</v>
      </c>
      <c r="M306" s="19">
        <v>447.84475931714098</v>
      </c>
      <c r="N306" s="19">
        <v>633.23751256984644</v>
      </c>
      <c r="O306" s="19">
        <v>773.15176093518687</v>
      </c>
      <c r="P306" s="19">
        <v>967.63339733260761</v>
      </c>
      <c r="Q306" s="19">
        <v>931.39580699161468</v>
      </c>
      <c r="R306" s="19">
        <v>765.70907427207896</v>
      </c>
      <c r="S306" s="19">
        <v>445.44441490835584</v>
      </c>
      <c r="T306" s="19">
        <v>94.956585768994529</v>
      </c>
      <c r="U306" s="19">
        <v>0</v>
      </c>
      <c r="V306" s="19">
        <v>0</v>
      </c>
      <c r="W306" s="19">
        <v>0</v>
      </c>
      <c r="X306" s="19">
        <v>0</v>
      </c>
      <c r="Y306" s="19">
        <v>0</v>
      </c>
      <c r="Z306" s="19">
        <v>0</v>
      </c>
      <c r="AA306" s="19">
        <v>0</v>
      </c>
      <c r="AC306" s="76">
        <f t="shared" si="8"/>
        <v>5.3780299137614964</v>
      </c>
      <c r="AD306" s="77"/>
      <c r="AE306" s="72"/>
    </row>
    <row r="307" spans="2:31" x14ac:dyDescent="0.25">
      <c r="B307" s="108">
        <v>42672</v>
      </c>
      <c r="C307" s="72">
        <f t="shared" si="9"/>
        <v>303</v>
      </c>
      <c r="D307" s="19">
        <v>0</v>
      </c>
      <c r="E307" s="19">
        <v>0</v>
      </c>
      <c r="F307" s="19">
        <v>0</v>
      </c>
      <c r="G307" s="19">
        <v>0</v>
      </c>
      <c r="H307" s="19">
        <v>0</v>
      </c>
      <c r="I307" s="19">
        <v>0</v>
      </c>
      <c r="J307" s="19">
        <v>0</v>
      </c>
      <c r="K307" s="19">
        <v>73.609222723048504</v>
      </c>
      <c r="L307" s="19">
        <v>244.42185560921155</v>
      </c>
      <c r="M307" s="19">
        <v>448.86355335676649</v>
      </c>
      <c r="N307" s="19">
        <v>636.16789093464081</v>
      </c>
      <c r="O307" s="19">
        <v>772.99412801926655</v>
      </c>
      <c r="P307" s="19">
        <v>965.85524743142287</v>
      </c>
      <c r="Q307" s="19">
        <v>928.63393599339656</v>
      </c>
      <c r="R307" s="19">
        <v>761.02088326383398</v>
      </c>
      <c r="S307" s="19">
        <v>437.71726277155204</v>
      </c>
      <c r="T307" s="19">
        <v>97.550184561729495</v>
      </c>
      <c r="U307" s="19">
        <v>0</v>
      </c>
      <c r="V307" s="19">
        <v>0</v>
      </c>
      <c r="W307" s="19">
        <v>0</v>
      </c>
      <c r="X307" s="19">
        <v>0</v>
      </c>
      <c r="Y307" s="19">
        <v>0</v>
      </c>
      <c r="Z307" s="19">
        <v>0</v>
      </c>
      <c r="AA307" s="19">
        <v>0</v>
      </c>
      <c r="AC307" s="76">
        <f t="shared" si="8"/>
        <v>5.3668341646648674</v>
      </c>
      <c r="AD307" s="77"/>
      <c r="AE307" s="72"/>
    </row>
    <row r="308" spans="2:31" x14ac:dyDescent="0.25">
      <c r="B308" s="108">
        <v>42673</v>
      </c>
      <c r="C308" s="72">
        <f t="shared" si="9"/>
        <v>304</v>
      </c>
      <c r="D308" s="19">
        <v>0</v>
      </c>
      <c r="E308" s="19">
        <v>0</v>
      </c>
      <c r="F308" s="19">
        <v>0</v>
      </c>
      <c r="G308" s="19">
        <v>0</v>
      </c>
      <c r="H308" s="19">
        <v>0</v>
      </c>
      <c r="I308" s="19">
        <v>0</v>
      </c>
      <c r="J308" s="19">
        <v>0</v>
      </c>
      <c r="K308" s="19">
        <v>71.566939046918904</v>
      </c>
      <c r="L308" s="19">
        <v>241.841588902985</v>
      </c>
      <c r="M308" s="19">
        <v>445.14185362673271</v>
      </c>
      <c r="N308" s="19">
        <v>631.4873488347655</v>
      </c>
      <c r="O308" s="19">
        <v>768.70291596699724</v>
      </c>
      <c r="P308" s="19">
        <v>964.00368675053346</v>
      </c>
      <c r="Q308" s="19">
        <v>925.79408996250288</v>
      </c>
      <c r="R308" s="19">
        <v>756.25506804682982</v>
      </c>
      <c r="S308" s="19">
        <v>429.95553029368443</v>
      </c>
      <c r="T308" s="19">
        <v>102.0716104381039</v>
      </c>
      <c r="U308" s="19">
        <v>0</v>
      </c>
      <c r="V308" s="19">
        <v>0</v>
      </c>
      <c r="W308" s="19">
        <v>0</v>
      </c>
      <c r="X308" s="19">
        <v>0</v>
      </c>
      <c r="Y308" s="19">
        <v>0</v>
      </c>
      <c r="Z308" s="19">
        <v>0</v>
      </c>
      <c r="AA308" s="19">
        <v>0</v>
      </c>
      <c r="AC308" s="76">
        <f t="shared" si="8"/>
        <v>5.3368206318700535</v>
      </c>
      <c r="AD308" s="77"/>
      <c r="AE308" s="72"/>
    </row>
    <row r="309" spans="2:31" x14ac:dyDescent="0.25">
      <c r="B309" s="108">
        <v>42674</v>
      </c>
      <c r="C309" s="72">
        <f t="shared" si="9"/>
        <v>305</v>
      </c>
      <c r="D309" s="19">
        <v>0</v>
      </c>
      <c r="E309" s="19">
        <v>0</v>
      </c>
      <c r="F309" s="19">
        <v>0</v>
      </c>
      <c r="G309" s="19">
        <v>0</v>
      </c>
      <c r="H309" s="19">
        <v>0</v>
      </c>
      <c r="I309" s="19">
        <v>0</v>
      </c>
      <c r="J309" s="19">
        <v>0</v>
      </c>
      <c r="K309" s="19">
        <v>70.431522061784094</v>
      </c>
      <c r="L309" s="19">
        <v>240.8937388392857</v>
      </c>
      <c r="M309" s="19">
        <v>444.76686625883917</v>
      </c>
      <c r="N309" s="19">
        <v>634.93088591190872</v>
      </c>
      <c r="O309" s="19">
        <v>768.7485212776686</v>
      </c>
      <c r="P309" s="19">
        <v>962.08239365068482</v>
      </c>
      <c r="Q309" s="19">
        <v>922.88067998649342</v>
      </c>
      <c r="R309" s="19">
        <v>751.41735899808475</v>
      </c>
      <c r="S309" s="19">
        <v>422.16935479865396</v>
      </c>
      <c r="T309" s="19">
        <v>109.0971601365184</v>
      </c>
      <c r="U309" s="19">
        <v>0</v>
      </c>
      <c r="V309" s="19">
        <v>0</v>
      </c>
      <c r="W309" s="19">
        <v>0</v>
      </c>
      <c r="X309" s="19">
        <v>0</v>
      </c>
      <c r="Y309" s="19">
        <v>0</v>
      </c>
      <c r="Z309" s="19">
        <v>0</v>
      </c>
      <c r="AA309" s="19">
        <v>0</v>
      </c>
      <c r="AC309" s="76">
        <f t="shared" si="8"/>
        <v>5.3274184819199215</v>
      </c>
      <c r="AD309" s="77"/>
      <c r="AE309" s="72"/>
    </row>
    <row r="310" spans="2:31" x14ac:dyDescent="0.25">
      <c r="B310" s="108">
        <v>42675</v>
      </c>
      <c r="C310" s="72">
        <f t="shared" si="9"/>
        <v>306</v>
      </c>
      <c r="D310" s="19">
        <v>0</v>
      </c>
      <c r="E310" s="19">
        <v>0</v>
      </c>
      <c r="F310" s="19">
        <v>0</v>
      </c>
      <c r="G310" s="19">
        <v>0</v>
      </c>
      <c r="H310" s="19">
        <v>0</v>
      </c>
      <c r="I310" s="19">
        <v>0</v>
      </c>
      <c r="J310" s="19">
        <v>0</v>
      </c>
      <c r="K310" s="19">
        <v>69.311597694862201</v>
      </c>
      <c r="L310" s="19">
        <v>239.7691475496182</v>
      </c>
      <c r="M310" s="19">
        <v>444.43017519363661</v>
      </c>
      <c r="N310" s="19">
        <v>631.46197789727512</v>
      </c>
      <c r="O310" s="19">
        <v>768.58767131339255</v>
      </c>
      <c r="P310" s="19">
        <v>960.0951928376777</v>
      </c>
      <c r="Q310" s="19">
        <v>919.89828893445929</v>
      </c>
      <c r="R310" s="19">
        <v>746.51369751876041</v>
      </c>
      <c r="S310" s="19">
        <v>414.36911446754368</v>
      </c>
      <c r="T310" s="19">
        <v>119.44794702961188</v>
      </c>
      <c r="U310" s="19">
        <v>0</v>
      </c>
      <c r="V310" s="19">
        <v>0</v>
      </c>
      <c r="W310" s="19">
        <v>0</v>
      </c>
      <c r="X310" s="19">
        <v>0</v>
      </c>
      <c r="Y310" s="19">
        <v>0</v>
      </c>
      <c r="Z310" s="19">
        <v>0</v>
      </c>
      <c r="AA310" s="19">
        <v>0</v>
      </c>
      <c r="AC310" s="76">
        <f t="shared" si="8"/>
        <v>5.3138848104368384</v>
      </c>
      <c r="AD310" s="77"/>
      <c r="AE310" s="72"/>
    </row>
    <row r="311" spans="2:31" x14ac:dyDescent="0.25">
      <c r="B311" s="108">
        <v>42676</v>
      </c>
      <c r="C311" s="72">
        <f t="shared" si="9"/>
        <v>307</v>
      </c>
      <c r="D311" s="19">
        <v>0</v>
      </c>
      <c r="E311" s="19">
        <v>0</v>
      </c>
      <c r="F311" s="19">
        <v>0</v>
      </c>
      <c r="G311" s="19">
        <v>0</v>
      </c>
      <c r="H311" s="19">
        <v>0</v>
      </c>
      <c r="I311" s="19">
        <v>0</v>
      </c>
      <c r="J311" s="19">
        <v>0</v>
      </c>
      <c r="K311" s="19">
        <v>68.132472884883938</v>
      </c>
      <c r="L311" s="19">
        <v>238.94929893275514</v>
      </c>
      <c r="M311" s="19">
        <v>444.58379383963717</v>
      </c>
      <c r="N311" s="19">
        <v>634.70912652818811</v>
      </c>
      <c r="O311" s="19">
        <v>774.24716443555599</v>
      </c>
      <c r="P311" s="19">
        <v>958.04605058611025</v>
      </c>
      <c r="Q311" s="19">
        <v>916.85166601499782</v>
      </c>
      <c r="R311" s="19">
        <v>741.55022857838526</v>
      </c>
      <c r="S311" s="19">
        <v>406.5653977416373</v>
      </c>
      <c r="T311" s="19">
        <v>134.28679932486986</v>
      </c>
      <c r="U311" s="19">
        <v>0</v>
      </c>
      <c r="V311" s="19">
        <v>0</v>
      </c>
      <c r="W311" s="19">
        <v>0</v>
      </c>
      <c r="X311" s="19">
        <v>0</v>
      </c>
      <c r="Y311" s="19">
        <v>0</v>
      </c>
      <c r="Z311" s="19">
        <v>0</v>
      </c>
      <c r="AA311" s="19">
        <v>0</v>
      </c>
      <c r="AC311" s="76">
        <f t="shared" si="8"/>
        <v>5.3179219988670203</v>
      </c>
      <c r="AD311" s="77"/>
      <c r="AE311" s="72"/>
    </row>
    <row r="312" spans="2:31" x14ac:dyDescent="0.25">
      <c r="B312" s="108">
        <v>42677</v>
      </c>
      <c r="C312" s="72">
        <f t="shared" si="9"/>
        <v>308</v>
      </c>
      <c r="D312" s="19">
        <v>0</v>
      </c>
      <c r="E312" s="19">
        <v>0</v>
      </c>
      <c r="F312" s="19">
        <v>0</v>
      </c>
      <c r="G312" s="19">
        <v>0</v>
      </c>
      <c r="H312" s="19">
        <v>0</v>
      </c>
      <c r="I312" s="19">
        <v>0</v>
      </c>
      <c r="J312" s="19">
        <v>0</v>
      </c>
      <c r="K312" s="19">
        <v>66.7174227118565</v>
      </c>
      <c r="L312" s="19">
        <v>236.72347347347753</v>
      </c>
      <c r="M312" s="19">
        <v>442.82368062797639</v>
      </c>
      <c r="N312" s="19">
        <v>630.63749782477737</v>
      </c>
      <c r="O312" s="19">
        <v>767.9702824311139</v>
      </c>
      <c r="P312" s="19">
        <v>955.93906959176854</v>
      </c>
      <c r="Q312" s="19">
        <v>913.74572086519674</v>
      </c>
      <c r="R312" s="19">
        <v>736.53329251729315</v>
      </c>
      <c r="S312" s="19">
        <v>398.76896992334616</v>
      </c>
      <c r="T312" s="19">
        <v>155.22179451731026</v>
      </c>
      <c r="U312" s="19">
        <v>0</v>
      </c>
      <c r="V312" s="19">
        <v>0</v>
      </c>
      <c r="W312" s="19">
        <v>0</v>
      </c>
      <c r="X312" s="19">
        <v>0</v>
      </c>
      <c r="Y312" s="19">
        <v>0</v>
      </c>
      <c r="Z312" s="19">
        <v>0</v>
      </c>
      <c r="AA312" s="19">
        <v>0</v>
      </c>
      <c r="AC312" s="76">
        <f t="shared" si="8"/>
        <v>5.3050812044841171</v>
      </c>
      <c r="AD312" s="77"/>
      <c r="AE312" s="72"/>
    </row>
    <row r="313" spans="2:31" x14ac:dyDescent="0.25">
      <c r="B313" s="108">
        <v>42678</v>
      </c>
      <c r="C313" s="72">
        <f t="shared" si="9"/>
        <v>309</v>
      </c>
      <c r="D313" s="19">
        <v>0</v>
      </c>
      <c r="E313" s="19">
        <v>0</v>
      </c>
      <c r="F313" s="19">
        <v>0</v>
      </c>
      <c r="G313" s="19">
        <v>0</v>
      </c>
      <c r="H313" s="19">
        <v>0</v>
      </c>
      <c r="I313" s="19">
        <v>0</v>
      </c>
      <c r="J313" s="19">
        <v>0</v>
      </c>
      <c r="K313" s="19">
        <v>65.413650865353475</v>
      </c>
      <c r="L313" s="19">
        <v>234.42423126722062</v>
      </c>
      <c r="M313" s="19">
        <v>437.52874949163402</v>
      </c>
      <c r="N313" s="19">
        <v>623.85841661790846</v>
      </c>
      <c r="O313" s="19">
        <v>762.67370624583975</v>
      </c>
      <c r="P313" s="19">
        <v>953.77848345280108</v>
      </c>
      <c r="Q313" s="19">
        <v>910.58551716923864</v>
      </c>
      <c r="R313" s="19">
        <v>731.46941610548561</v>
      </c>
      <c r="S313" s="19">
        <v>390.99073705738789</v>
      </c>
      <c r="T313" s="19">
        <v>184.35083631481783</v>
      </c>
      <c r="U313" s="19">
        <v>0</v>
      </c>
      <c r="V313" s="19">
        <v>0</v>
      </c>
      <c r="W313" s="19">
        <v>0</v>
      </c>
      <c r="X313" s="19">
        <v>0</v>
      </c>
      <c r="Y313" s="19">
        <v>0</v>
      </c>
      <c r="Z313" s="19">
        <v>0</v>
      </c>
      <c r="AA313" s="19">
        <v>0</v>
      </c>
      <c r="AC313" s="76">
        <f t="shared" si="8"/>
        <v>5.2950737445876879</v>
      </c>
      <c r="AD313" s="77"/>
      <c r="AE313" s="72"/>
    </row>
    <row r="314" spans="2:31" x14ac:dyDescent="0.25">
      <c r="B314" s="108">
        <v>42679</v>
      </c>
      <c r="C314" s="72">
        <f t="shared" si="9"/>
        <v>310</v>
      </c>
      <c r="D314" s="19">
        <v>0</v>
      </c>
      <c r="E314" s="19">
        <v>0</v>
      </c>
      <c r="F314" s="19">
        <v>0</v>
      </c>
      <c r="G314" s="19">
        <v>0</v>
      </c>
      <c r="H314" s="19">
        <v>0</v>
      </c>
      <c r="I314" s="19">
        <v>0</v>
      </c>
      <c r="J314" s="19">
        <v>0</v>
      </c>
      <c r="K314" s="19">
        <v>63.621417142068672</v>
      </c>
      <c r="L314" s="19">
        <v>232.56625886769444</v>
      </c>
      <c r="M314" s="19">
        <v>440.6557750047956</v>
      </c>
      <c r="N314" s="19">
        <v>634.36872749564475</v>
      </c>
      <c r="O314" s="19">
        <v>774.56346703900829</v>
      </c>
      <c r="P314" s="19">
        <v>951.56865078088754</v>
      </c>
      <c r="Q314" s="19">
        <v>907.37626580682957</v>
      </c>
      <c r="R314" s="19">
        <v>726.36530286047946</v>
      </c>
      <c r="S314" s="19">
        <v>383.2417072191285</v>
      </c>
      <c r="T314" s="19">
        <v>224.06287347267244</v>
      </c>
      <c r="U314" s="19">
        <v>0</v>
      </c>
      <c r="V314" s="19">
        <v>0</v>
      </c>
      <c r="W314" s="19">
        <v>0</v>
      </c>
      <c r="X314" s="19">
        <v>0</v>
      </c>
      <c r="Y314" s="19">
        <v>0</v>
      </c>
      <c r="Z314" s="19">
        <v>0</v>
      </c>
      <c r="AA314" s="19">
        <v>0</v>
      </c>
      <c r="AC314" s="76">
        <f t="shared" si="8"/>
        <v>5.3383904456892095</v>
      </c>
      <c r="AD314" s="77"/>
      <c r="AE314" s="72"/>
    </row>
    <row r="315" spans="2:31" x14ac:dyDescent="0.25">
      <c r="B315" s="108">
        <v>42680</v>
      </c>
      <c r="C315" s="72">
        <f t="shared" si="9"/>
        <v>311</v>
      </c>
      <c r="D315" s="19">
        <v>0</v>
      </c>
      <c r="E315" s="19">
        <v>0</v>
      </c>
      <c r="F315" s="19">
        <v>0</v>
      </c>
      <c r="G315" s="19">
        <v>0</v>
      </c>
      <c r="H315" s="19">
        <v>0</v>
      </c>
      <c r="I315" s="19">
        <v>0</v>
      </c>
      <c r="J315" s="19">
        <v>0</v>
      </c>
      <c r="K315" s="19">
        <v>64.049215347879382</v>
      </c>
      <c r="L315" s="19">
        <v>236.62046044277429</v>
      </c>
      <c r="M315" s="19">
        <v>446.23250320732285</v>
      </c>
      <c r="N315" s="19">
        <v>639.86284210310737</v>
      </c>
      <c r="O315" s="19">
        <v>779.47077279927021</v>
      </c>
      <c r="P315" s="19">
        <v>949.31404894469983</v>
      </c>
      <c r="Q315" s="19">
        <v>904.12331753338015</v>
      </c>
      <c r="R315" s="19">
        <v>721.22782263141755</v>
      </c>
      <c r="S315" s="19">
        <v>375.5329493848875</v>
      </c>
      <c r="T315" s="19">
        <v>276.1965570260258</v>
      </c>
      <c r="U315" s="19">
        <v>0</v>
      </c>
      <c r="V315" s="19">
        <v>0</v>
      </c>
      <c r="W315" s="19">
        <v>0</v>
      </c>
      <c r="X315" s="19">
        <v>0</v>
      </c>
      <c r="Y315" s="19">
        <v>0</v>
      </c>
      <c r="Z315" s="19">
        <v>0</v>
      </c>
      <c r="AA315" s="19">
        <v>0</v>
      </c>
      <c r="AC315" s="76">
        <f t="shared" si="8"/>
        <v>5.392630489420764</v>
      </c>
      <c r="AD315" s="77"/>
      <c r="AE315" s="72"/>
    </row>
    <row r="316" spans="2:31" x14ac:dyDescent="0.25">
      <c r="B316" s="108">
        <v>42681</v>
      </c>
      <c r="C316" s="72">
        <f t="shared" si="9"/>
        <v>312</v>
      </c>
      <c r="D316" s="19">
        <v>0</v>
      </c>
      <c r="E316" s="19">
        <v>0</v>
      </c>
      <c r="F316" s="19">
        <v>0</v>
      </c>
      <c r="G316" s="19">
        <v>0</v>
      </c>
      <c r="H316" s="19">
        <v>0</v>
      </c>
      <c r="I316" s="19">
        <v>0</v>
      </c>
      <c r="J316" s="19">
        <v>0</v>
      </c>
      <c r="K316" s="19">
        <v>62.97094208334638</v>
      </c>
      <c r="L316" s="19">
        <v>235.9300989740386</v>
      </c>
      <c r="M316" s="19">
        <v>445.04111684021836</v>
      </c>
      <c r="N316" s="19">
        <v>638.60179237850855</v>
      </c>
      <c r="O316" s="19">
        <v>778.31268735764377</v>
      </c>
      <c r="P316" s="19">
        <v>947.01926744916432</v>
      </c>
      <c r="Q316" s="19">
        <v>900.83215519569762</v>
      </c>
      <c r="R316" s="19">
        <v>716.06400046175679</v>
      </c>
      <c r="S316" s="19">
        <v>367.87555010936637</v>
      </c>
      <c r="T316" s="19">
        <v>339.97472342523702</v>
      </c>
      <c r="U316" s="19">
        <v>0</v>
      </c>
      <c r="V316" s="19">
        <v>0</v>
      </c>
      <c r="W316" s="19">
        <v>0</v>
      </c>
      <c r="X316" s="19">
        <v>0</v>
      </c>
      <c r="Y316" s="19">
        <v>0</v>
      </c>
      <c r="Z316" s="19">
        <v>0</v>
      </c>
      <c r="AA316" s="19">
        <v>0</v>
      </c>
      <c r="AC316" s="76">
        <f t="shared" si="8"/>
        <v>5.4326223342749786</v>
      </c>
      <c r="AD316" s="77"/>
      <c r="AE316" s="72"/>
    </row>
    <row r="317" spans="2:31" x14ac:dyDescent="0.25">
      <c r="B317" s="108">
        <v>42682</v>
      </c>
      <c r="C317" s="72">
        <f t="shared" si="9"/>
        <v>313</v>
      </c>
      <c r="D317" s="19">
        <v>0</v>
      </c>
      <c r="E317" s="19">
        <v>0</v>
      </c>
      <c r="F317" s="19">
        <v>0</v>
      </c>
      <c r="G317" s="19">
        <v>0</v>
      </c>
      <c r="H317" s="19">
        <v>0</v>
      </c>
      <c r="I317" s="19">
        <v>0</v>
      </c>
      <c r="J317" s="19">
        <v>0</v>
      </c>
      <c r="K317" s="19">
        <v>61.726520049300248</v>
      </c>
      <c r="L317" s="19">
        <v>233.99039284380621</v>
      </c>
      <c r="M317" s="19">
        <v>443.04435464348916</v>
      </c>
      <c r="N317" s="19">
        <v>636.02122446385306</v>
      </c>
      <c r="O317" s="19">
        <v>776.42954458633596</v>
      </c>
      <c r="P317" s="19">
        <v>944.68900095526942</v>
      </c>
      <c r="Q317" s="19">
        <v>897.50838548892034</v>
      </c>
      <c r="R317" s="19">
        <v>710.88100474819464</v>
      </c>
      <c r="S317" s="19">
        <v>360.28056828753495</v>
      </c>
      <c r="T317" s="19">
        <v>408.78881881243154</v>
      </c>
      <c r="U317" s="19">
        <v>0</v>
      </c>
      <c r="V317" s="19">
        <v>0</v>
      </c>
      <c r="W317" s="19">
        <v>0</v>
      </c>
      <c r="X317" s="19">
        <v>0</v>
      </c>
      <c r="Y317" s="19">
        <v>0</v>
      </c>
      <c r="Z317" s="19">
        <v>0</v>
      </c>
      <c r="AA317" s="19">
        <v>0</v>
      </c>
      <c r="AC317" s="76">
        <f t="shared" si="8"/>
        <v>5.4733598148791351</v>
      </c>
      <c r="AD317" s="77"/>
      <c r="AE317" s="72"/>
    </row>
    <row r="318" spans="2:31" x14ac:dyDescent="0.25">
      <c r="B318" s="108">
        <v>42683</v>
      </c>
      <c r="C318" s="72">
        <f t="shared" si="9"/>
        <v>314</v>
      </c>
      <c r="D318" s="19">
        <v>0</v>
      </c>
      <c r="E318" s="19">
        <v>0</v>
      </c>
      <c r="F318" s="19">
        <v>0</v>
      </c>
      <c r="G318" s="19">
        <v>0</v>
      </c>
      <c r="H318" s="19">
        <v>0</v>
      </c>
      <c r="I318" s="19">
        <v>0</v>
      </c>
      <c r="J318" s="19">
        <v>0</v>
      </c>
      <c r="K318" s="19">
        <v>59.721812483658539</v>
      </c>
      <c r="L318" s="19">
        <v>231.06039747235164</v>
      </c>
      <c r="M318" s="19">
        <v>439.85337288089056</v>
      </c>
      <c r="N318" s="19">
        <v>632.35880447566706</v>
      </c>
      <c r="O318" s="19">
        <v>771.75827550219401</v>
      </c>
      <c r="P318" s="19">
        <v>942.32804194651078</v>
      </c>
      <c r="Q318" s="19">
        <v>894.15773026247382</v>
      </c>
      <c r="R318" s="19">
        <v>705.6861347190694</v>
      </c>
      <c r="S318" s="19">
        <v>352.75898833110932</v>
      </c>
      <c r="T318" s="19">
        <v>461.74225168631284</v>
      </c>
      <c r="U318" s="19">
        <v>0</v>
      </c>
      <c r="V318" s="19">
        <v>0</v>
      </c>
      <c r="W318" s="19">
        <v>0</v>
      </c>
      <c r="X318" s="19">
        <v>0</v>
      </c>
      <c r="Y318" s="19">
        <v>0</v>
      </c>
      <c r="Z318" s="19">
        <v>0</v>
      </c>
      <c r="AA318" s="19">
        <v>0</v>
      </c>
      <c r="AC318" s="76">
        <f t="shared" si="8"/>
        <v>5.491425809760238</v>
      </c>
      <c r="AD318" s="77"/>
      <c r="AE318" s="72"/>
    </row>
    <row r="319" spans="2:31" x14ac:dyDescent="0.25">
      <c r="B319" s="108">
        <v>42684</v>
      </c>
      <c r="C319" s="72">
        <f t="shared" si="9"/>
        <v>315</v>
      </c>
      <c r="D319" s="19">
        <v>0</v>
      </c>
      <c r="E319" s="19">
        <v>0</v>
      </c>
      <c r="F319" s="19">
        <v>0</v>
      </c>
      <c r="G319" s="19">
        <v>0</v>
      </c>
      <c r="H319" s="19">
        <v>0</v>
      </c>
      <c r="I319" s="19">
        <v>0</v>
      </c>
      <c r="J319" s="19">
        <v>0</v>
      </c>
      <c r="K319" s="19">
        <v>58.323967498439089</v>
      </c>
      <c r="L319" s="19">
        <v>228.87072435361333</v>
      </c>
      <c r="M319" s="19">
        <v>437.33333870924969</v>
      </c>
      <c r="N319" s="19">
        <v>630.01384296610502</v>
      </c>
      <c r="O319" s="19">
        <v>770.32017071891994</v>
      </c>
      <c r="P319" s="19">
        <v>939.9412730494621</v>
      </c>
      <c r="Q319" s="19">
        <v>890.78601738500242</v>
      </c>
      <c r="R319" s="19">
        <v>700.48680726127111</v>
      </c>
      <c r="S319" s="19">
        <v>345.32167214207891</v>
      </c>
      <c r="T319" s="19">
        <v>486.25640078073752</v>
      </c>
      <c r="U319" s="19">
        <v>0</v>
      </c>
      <c r="V319" s="19">
        <v>0</v>
      </c>
      <c r="W319" s="19">
        <v>0</v>
      </c>
      <c r="X319" s="19">
        <v>0</v>
      </c>
      <c r="Y319" s="19">
        <v>0</v>
      </c>
      <c r="Z319" s="19">
        <v>0</v>
      </c>
      <c r="AA319" s="19">
        <v>0</v>
      </c>
      <c r="AC319" s="76">
        <f t="shared" si="8"/>
        <v>5.4876542148648788</v>
      </c>
      <c r="AD319" s="77"/>
      <c r="AE319" s="72"/>
    </row>
    <row r="320" spans="2:31" x14ac:dyDescent="0.25">
      <c r="B320" s="108">
        <v>42685</v>
      </c>
      <c r="C320" s="72">
        <f t="shared" si="9"/>
        <v>316</v>
      </c>
      <c r="D320" s="19">
        <v>0</v>
      </c>
      <c r="E320" s="19">
        <v>0</v>
      </c>
      <c r="F320" s="19">
        <v>0</v>
      </c>
      <c r="G320" s="19">
        <v>0</v>
      </c>
      <c r="H320" s="19">
        <v>0</v>
      </c>
      <c r="I320" s="19">
        <v>0</v>
      </c>
      <c r="J320" s="19">
        <v>0</v>
      </c>
      <c r="K320" s="19">
        <v>56.705639994936419</v>
      </c>
      <c r="L320" s="19">
        <v>226.38916431029676</v>
      </c>
      <c r="M320" s="19">
        <v>433.9551624747927</v>
      </c>
      <c r="N320" s="19">
        <v>624.86529023246487</v>
      </c>
      <c r="O320" s="19">
        <v>760.78959076754154</v>
      </c>
      <c r="P320" s="19">
        <v>937.53365901739778</v>
      </c>
      <c r="Q320" s="19">
        <v>887.39917118046185</v>
      </c>
      <c r="R320" s="19">
        <v>695.29054313055917</v>
      </c>
      <c r="S320" s="19">
        <v>337.97931031609903</v>
      </c>
      <c r="T320" s="19">
        <v>456.73252045506689</v>
      </c>
      <c r="U320" s="19">
        <v>0</v>
      </c>
      <c r="V320" s="19">
        <v>0</v>
      </c>
      <c r="W320" s="19">
        <v>0</v>
      </c>
      <c r="X320" s="19">
        <v>0</v>
      </c>
      <c r="Y320" s="19">
        <v>0</v>
      </c>
      <c r="Z320" s="19">
        <v>0</v>
      </c>
      <c r="AA320" s="19">
        <v>0</v>
      </c>
      <c r="AC320" s="76">
        <f t="shared" si="8"/>
        <v>5.4176400518796175</v>
      </c>
      <c r="AD320" s="77"/>
      <c r="AE320" s="72"/>
    </row>
    <row r="321" spans="2:31" x14ac:dyDescent="0.25">
      <c r="B321" s="108">
        <v>42686</v>
      </c>
      <c r="C321" s="72">
        <f t="shared" si="9"/>
        <v>317</v>
      </c>
      <c r="D321" s="19">
        <v>0</v>
      </c>
      <c r="E321" s="19">
        <v>0</v>
      </c>
      <c r="F321" s="19">
        <v>0</v>
      </c>
      <c r="G321" s="19">
        <v>0</v>
      </c>
      <c r="H321" s="19">
        <v>0</v>
      </c>
      <c r="I321" s="19">
        <v>0</v>
      </c>
      <c r="J321" s="19">
        <v>0</v>
      </c>
      <c r="K321" s="19">
        <v>55.368023966766174</v>
      </c>
      <c r="L321" s="19">
        <v>224.67947794382579</v>
      </c>
      <c r="M321" s="19">
        <v>431.48687405113827</v>
      </c>
      <c r="N321" s="19">
        <v>624.84506525396705</v>
      </c>
      <c r="O321" s="19">
        <v>762.46341140890104</v>
      </c>
      <c r="P321" s="19">
        <v>935.11023838741744</v>
      </c>
      <c r="Q321" s="19">
        <v>884.00320244985528</v>
      </c>
      <c r="R321" s="19">
        <v>690.10495258615128</v>
      </c>
      <c r="S321" s="19">
        <v>330.74237305560411</v>
      </c>
      <c r="T321" s="19">
        <v>395.93498258164141</v>
      </c>
      <c r="U321" s="19">
        <v>0</v>
      </c>
      <c r="V321" s="19">
        <v>0</v>
      </c>
      <c r="W321" s="19">
        <v>0</v>
      </c>
      <c r="X321" s="19">
        <v>0</v>
      </c>
      <c r="Y321" s="19">
        <v>0</v>
      </c>
      <c r="Z321" s="19">
        <v>0</v>
      </c>
      <c r="AA321" s="19">
        <v>0</v>
      </c>
      <c r="AC321" s="76">
        <f t="shared" si="8"/>
        <v>5.3347386016852676</v>
      </c>
      <c r="AD321" s="77"/>
      <c r="AE321" s="72"/>
    </row>
    <row r="322" spans="2:31" x14ac:dyDescent="0.25">
      <c r="B322" s="108">
        <v>42687</v>
      </c>
      <c r="C322" s="72">
        <f t="shared" si="9"/>
        <v>318</v>
      </c>
      <c r="D322" s="19">
        <v>0</v>
      </c>
      <c r="E322" s="19">
        <v>0</v>
      </c>
      <c r="F322" s="19">
        <v>0</v>
      </c>
      <c r="G322" s="19">
        <v>0</v>
      </c>
      <c r="H322" s="19">
        <v>0</v>
      </c>
      <c r="I322" s="19">
        <v>0</v>
      </c>
      <c r="J322" s="19">
        <v>0</v>
      </c>
      <c r="K322" s="19">
        <v>53.501540147999222</v>
      </c>
      <c r="L322" s="19">
        <v>220.35160151921002</v>
      </c>
      <c r="M322" s="19">
        <v>426.20126236324057</v>
      </c>
      <c r="N322" s="19">
        <v>615.40943030071128</v>
      </c>
      <c r="O322" s="19">
        <v>760.17403201336867</v>
      </c>
      <c r="P322" s="19">
        <v>932.67611482305426</v>
      </c>
      <c r="Q322" s="19">
        <v>880.6041980954609</v>
      </c>
      <c r="R322" s="19">
        <v>684.93772049634197</v>
      </c>
      <c r="S322" s="19">
        <v>323.62106131446461</v>
      </c>
      <c r="T322" s="19">
        <v>309.74020537309104</v>
      </c>
      <c r="U322" s="19">
        <v>0</v>
      </c>
      <c r="V322" s="19">
        <v>0</v>
      </c>
      <c r="W322" s="19">
        <v>0</v>
      </c>
      <c r="X322" s="19">
        <v>0</v>
      </c>
      <c r="Y322" s="19">
        <v>0</v>
      </c>
      <c r="Z322" s="19">
        <v>0</v>
      </c>
      <c r="AA322" s="19">
        <v>0</v>
      </c>
      <c r="AC322" s="76">
        <f t="shared" si="8"/>
        <v>5.2072171664469433</v>
      </c>
      <c r="AD322" s="77"/>
      <c r="AE322" s="72"/>
    </row>
    <row r="323" spans="2:31" x14ac:dyDescent="0.25">
      <c r="B323" s="108">
        <v>42688</v>
      </c>
      <c r="C323" s="72">
        <f t="shared" si="9"/>
        <v>319</v>
      </c>
      <c r="D323" s="19">
        <v>0</v>
      </c>
      <c r="E323" s="19">
        <v>0</v>
      </c>
      <c r="F323" s="19">
        <v>0</v>
      </c>
      <c r="G323" s="19">
        <v>0</v>
      </c>
      <c r="H323" s="19">
        <v>0</v>
      </c>
      <c r="I323" s="19">
        <v>0</v>
      </c>
      <c r="J323" s="19">
        <v>0</v>
      </c>
      <c r="K323" s="19">
        <v>52.833529432200301</v>
      </c>
      <c r="L323" s="19">
        <v>221.14281295522019</v>
      </c>
      <c r="M323" s="19">
        <v>428.10530839035533</v>
      </c>
      <c r="N323" s="19">
        <v>618.00423518565867</v>
      </c>
      <c r="O323" s="19">
        <v>756.25897942768518</v>
      </c>
      <c r="P323" s="19">
        <v>930.23644815594253</v>
      </c>
      <c r="Q323" s="19">
        <v>877.20831036674406</v>
      </c>
      <c r="R323" s="19">
        <v>679.79659096764544</v>
      </c>
      <c r="S323" s="19">
        <v>316.62525873141828</v>
      </c>
      <c r="T323" s="19">
        <v>230.89263600771855</v>
      </c>
      <c r="U323" s="19">
        <v>0</v>
      </c>
      <c r="V323" s="19">
        <v>0</v>
      </c>
      <c r="W323" s="19">
        <v>0</v>
      </c>
      <c r="X323" s="19">
        <v>0</v>
      </c>
      <c r="Y323" s="19">
        <v>0</v>
      </c>
      <c r="Z323" s="19">
        <v>0</v>
      </c>
      <c r="AA323" s="19">
        <v>0</v>
      </c>
      <c r="AC323" s="76">
        <f t="shared" si="8"/>
        <v>5.1111041096205891</v>
      </c>
      <c r="AD323" s="77"/>
      <c r="AE323" s="72"/>
    </row>
    <row r="324" spans="2:31" x14ac:dyDescent="0.25">
      <c r="B324" s="108">
        <v>42689</v>
      </c>
      <c r="C324" s="72">
        <f t="shared" si="9"/>
        <v>320</v>
      </c>
      <c r="D324" s="19">
        <v>0</v>
      </c>
      <c r="E324" s="19">
        <v>0</v>
      </c>
      <c r="F324" s="19">
        <v>0</v>
      </c>
      <c r="G324" s="19">
        <v>0</v>
      </c>
      <c r="H324" s="19">
        <v>0</v>
      </c>
      <c r="I324" s="19">
        <v>0</v>
      </c>
      <c r="J324" s="19">
        <v>0</v>
      </c>
      <c r="K324" s="19">
        <v>51.534481244460927</v>
      </c>
      <c r="L324" s="19">
        <v>219.38525977725476</v>
      </c>
      <c r="M324" s="19">
        <v>426.832091433541</v>
      </c>
      <c r="N324" s="19">
        <v>617.44321036361634</v>
      </c>
      <c r="O324" s="19">
        <v>756.90118701412871</v>
      </c>
      <c r="P324" s="19">
        <v>927.79644514171639</v>
      </c>
      <c r="Q324" s="19">
        <v>873.82174574955195</v>
      </c>
      <c r="R324" s="19">
        <v>674.68935155552106</v>
      </c>
      <c r="S324" s="19">
        <v>309.76448493665805</v>
      </c>
      <c r="T324" s="19">
        <v>170.96268212897721</v>
      </c>
      <c r="U324" s="19">
        <v>0</v>
      </c>
      <c r="V324" s="19">
        <v>0</v>
      </c>
      <c r="W324" s="19">
        <v>0</v>
      </c>
      <c r="X324" s="19">
        <v>0</v>
      </c>
      <c r="Y324" s="19">
        <v>0</v>
      </c>
      <c r="Z324" s="19">
        <v>0</v>
      </c>
      <c r="AA324" s="19">
        <v>0</v>
      </c>
      <c r="AC324" s="76">
        <f t="shared" si="8"/>
        <v>5.0291309393454267</v>
      </c>
      <c r="AD324" s="77"/>
      <c r="AE324" s="72"/>
    </row>
    <row r="325" spans="2:31" x14ac:dyDescent="0.25">
      <c r="B325" s="108">
        <v>42690</v>
      </c>
      <c r="C325" s="72">
        <f t="shared" si="9"/>
        <v>321</v>
      </c>
      <c r="D325" s="19">
        <v>0</v>
      </c>
      <c r="E325" s="19">
        <v>0</v>
      </c>
      <c r="F325" s="19">
        <v>0</v>
      </c>
      <c r="G325" s="19">
        <v>0</v>
      </c>
      <c r="H325" s="19">
        <v>0</v>
      </c>
      <c r="I325" s="19">
        <v>0</v>
      </c>
      <c r="J325" s="19">
        <v>0</v>
      </c>
      <c r="K325" s="19">
        <v>50.172729333365609</v>
      </c>
      <c r="L325" s="19">
        <v>217.78884601348622</v>
      </c>
      <c r="M325" s="19">
        <v>425.1498174542898</v>
      </c>
      <c r="N325" s="19">
        <v>617.18971310825111</v>
      </c>
      <c r="O325" s="19">
        <v>753.76322631262667</v>
      </c>
      <c r="P325" s="19">
        <v>925.36134994692986</v>
      </c>
      <c r="Q325" s="19">
        <v>870.45075352250933</v>
      </c>
      <c r="R325" s="19">
        <v>669.62381711987689</v>
      </c>
      <c r="S325" s="19">
        <v>303.0478508333336</v>
      </c>
      <c r="T325" s="19">
        <v>130.28247573727256</v>
      </c>
      <c r="U325" s="19">
        <v>0</v>
      </c>
      <c r="V325" s="19">
        <v>0</v>
      </c>
      <c r="W325" s="19">
        <v>0</v>
      </c>
      <c r="X325" s="19">
        <v>0</v>
      </c>
      <c r="Y325" s="19">
        <v>0</v>
      </c>
      <c r="Z325" s="19">
        <v>0</v>
      </c>
      <c r="AA325" s="19">
        <v>0</v>
      </c>
      <c r="AC325" s="76">
        <f t="shared" si="8"/>
        <v>4.9628305793819418</v>
      </c>
      <c r="AD325" s="77"/>
      <c r="AE325" s="72"/>
    </row>
    <row r="326" spans="2:31" x14ac:dyDescent="0.25">
      <c r="B326" s="108">
        <v>42691</v>
      </c>
      <c r="C326" s="72">
        <f t="shared" si="9"/>
        <v>322</v>
      </c>
      <c r="D326" s="19">
        <v>0</v>
      </c>
      <c r="E326" s="19">
        <v>0</v>
      </c>
      <c r="F326" s="19">
        <v>0</v>
      </c>
      <c r="G326" s="19">
        <v>0</v>
      </c>
      <c r="H326" s="19">
        <v>0</v>
      </c>
      <c r="I326" s="19">
        <v>0</v>
      </c>
      <c r="J326" s="19">
        <v>0</v>
      </c>
      <c r="K326" s="19">
        <v>48.504938332830335</v>
      </c>
      <c r="L326" s="19">
        <v>214.20792953245783</v>
      </c>
      <c r="M326" s="19">
        <v>420.60046269873442</v>
      </c>
      <c r="N326" s="19">
        <v>609.96966742044106</v>
      </c>
      <c r="O326" s="19">
        <v>748.15067967017114</v>
      </c>
      <c r="P326" s="19">
        <v>922.93643438540323</v>
      </c>
      <c r="Q326" s="19">
        <v>867.10161400685013</v>
      </c>
      <c r="R326" s="19">
        <v>664.60781339330708</v>
      </c>
      <c r="S326" s="19">
        <v>296.48401646207748</v>
      </c>
      <c r="T326" s="19">
        <v>104.42870806825643</v>
      </c>
      <c r="U326" s="19">
        <v>0</v>
      </c>
      <c r="V326" s="19">
        <v>0</v>
      </c>
      <c r="W326" s="19">
        <v>0</v>
      </c>
      <c r="X326" s="19">
        <v>0</v>
      </c>
      <c r="Y326" s="19">
        <v>0</v>
      </c>
      <c r="Z326" s="19">
        <v>0</v>
      </c>
      <c r="AA326" s="19">
        <v>0</v>
      </c>
      <c r="AC326" s="76">
        <f t="shared" ref="AC326:AC370" si="10">(SUM((D326:AA326))/1000)</f>
        <v>4.8969922639705281</v>
      </c>
      <c r="AD326" s="77"/>
      <c r="AE326" s="72"/>
    </row>
    <row r="327" spans="2:31" x14ac:dyDescent="0.25">
      <c r="B327" s="108">
        <v>42692</v>
      </c>
      <c r="C327" s="72">
        <f t="shared" ref="C327:C370" si="11">B327-$B$5+1</f>
        <v>323</v>
      </c>
      <c r="D327" s="19">
        <v>0</v>
      </c>
      <c r="E327" s="19">
        <v>0</v>
      </c>
      <c r="F327" s="19">
        <v>0</v>
      </c>
      <c r="G327" s="19">
        <v>0</v>
      </c>
      <c r="H327" s="19">
        <v>0</v>
      </c>
      <c r="I327" s="19">
        <v>0</v>
      </c>
      <c r="J327" s="19">
        <v>0</v>
      </c>
      <c r="K327" s="19">
        <v>46.833764459490439</v>
      </c>
      <c r="L327" s="19">
        <v>211.37550226711804</v>
      </c>
      <c r="M327" s="19">
        <v>415.17464325308032</v>
      </c>
      <c r="N327" s="19">
        <v>604.07064659939374</v>
      </c>
      <c r="O327" s="19">
        <v>740.28235638222679</v>
      </c>
      <c r="P327" s="19">
        <v>920.52698792398746</v>
      </c>
      <c r="Q327" s="19">
        <v>863.7806265381397</v>
      </c>
      <c r="R327" s="19">
        <v>659.64916033416114</v>
      </c>
      <c r="S327" s="19">
        <v>290.08115205070891</v>
      </c>
      <c r="T327" s="19">
        <v>88.883597897672573</v>
      </c>
      <c r="U327" s="19">
        <v>0</v>
      </c>
      <c r="V327" s="19">
        <v>0</v>
      </c>
      <c r="W327" s="19">
        <v>0</v>
      </c>
      <c r="X327" s="19">
        <v>0</v>
      </c>
      <c r="Y327" s="19">
        <v>0</v>
      </c>
      <c r="Z327" s="19">
        <v>0</v>
      </c>
      <c r="AA327" s="19">
        <v>0</v>
      </c>
      <c r="AC327" s="76">
        <f t="shared" si="10"/>
        <v>4.8406584377059776</v>
      </c>
      <c r="AD327" s="77"/>
      <c r="AE327" s="72"/>
    </row>
    <row r="328" spans="2:31" x14ac:dyDescent="0.25">
      <c r="B328" s="108">
        <v>42693</v>
      </c>
      <c r="C328" s="72">
        <f t="shared" si="11"/>
        <v>324</v>
      </c>
      <c r="D328" s="19">
        <v>0</v>
      </c>
      <c r="E328" s="19">
        <v>0</v>
      </c>
      <c r="F328" s="19">
        <v>0</v>
      </c>
      <c r="G328" s="19">
        <v>0</v>
      </c>
      <c r="H328" s="19">
        <v>0</v>
      </c>
      <c r="I328" s="19">
        <v>0</v>
      </c>
      <c r="J328" s="19">
        <v>0</v>
      </c>
      <c r="K328" s="19">
        <v>46.206674710057278</v>
      </c>
      <c r="L328" s="19">
        <v>212.2145186057468</v>
      </c>
      <c r="M328" s="19">
        <v>417.59187911917627</v>
      </c>
      <c r="N328" s="19">
        <v>605.88049907437062</v>
      </c>
      <c r="O328" s="19">
        <v>741.79647842406553</v>
      </c>
      <c r="P328" s="19">
        <v>918.1383074793165</v>
      </c>
      <c r="Q328" s="19">
        <v>860.49409719044911</v>
      </c>
      <c r="R328" s="19">
        <v>654.75565534005113</v>
      </c>
      <c r="S328" s="19">
        <v>283.84690283243907</v>
      </c>
      <c r="T328" s="19">
        <v>80.703249721761651</v>
      </c>
      <c r="U328" s="19">
        <v>0</v>
      </c>
      <c r="V328" s="19">
        <v>0</v>
      </c>
      <c r="W328" s="19">
        <v>0</v>
      </c>
      <c r="X328" s="19">
        <v>0</v>
      </c>
      <c r="Y328" s="19">
        <v>0</v>
      </c>
      <c r="Z328" s="19">
        <v>0</v>
      </c>
      <c r="AA328" s="19">
        <v>0</v>
      </c>
      <c r="AC328" s="76">
        <f t="shared" si="10"/>
        <v>4.821628262497434</v>
      </c>
      <c r="AD328" s="77"/>
      <c r="AE328" s="72"/>
    </row>
    <row r="329" spans="2:31" x14ac:dyDescent="0.25">
      <c r="B329" s="108">
        <v>42694</v>
      </c>
      <c r="C329" s="72">
        <f t="shared" si="11"/>
        <v>325</v>
      </c>
      <c r="D329" s="19">
        <v>0</v>
      </c>
      <c r="E329" s="19">
        <v>0</v>
      </c>
      <c r="F329" s="19">
        <v>0</v>
      </c>
      <c r="G329" s="19">
        <v>0</v>
      </c>
      <c r="H329" s="19">
        <v>0</v>
      </c>
      <c r="I329" s="19">
        <v>0</v>
      </c>
      <c r="J329" s="19">
        <v>0</v>
      </c>
      <c r="K329" s="19">
        <v>44.559699388114012</v>
      </c>
      <c r="L329" s="19">
        <v>208.84864790491952</v>
      </c>
      <c r="M329" s="19">
        <v>413.54712914253469</v>
      </c>
      <c r="N329" s="19">
        <v>601.27632018375209</v>
      </c>
      <c r="O329" s="19">
        <v>736.74859272232834</v>
      </c>
      <c r="P329" s="19">
        <v>915.7756870286205</v>
      </c>
      <c r="Q329" s="19">
        <v>857.2483262855385</v>
      </c>
      <c r="R329" s="19">
        <v>649.93505640011574</v>
      </c>
      <c r="S329" s="19">
        <v>277.78835818358641</v>
      </c>
      <c r="T329" s="19">
        <v>78.792600296812807</v>
      </c>
      <c r="U329" s="19">
        <v>0</v>
      </c>
      <c r="V329" s="19">
        <v>0</v>
      </c>
      <c r="W329" s="19">
        <v>0</v>
      </c>
      <c r="X329" s="19">
        <v>0</v>
      </c>
      <c r="Y329" s="19">
        <v>0</v>
      </c>
      <c r="Z329" s="19">
        <v>0</v>
      </c>
      <c r="AA329" s="19">
        <v>0</v>
      </c>
      <c r="AC329" s="76">
        <f t="shared" si="10"/>
        <v>4.7845204175363234</v>
      </c>
      <c r="AD329" s="77"/>
      <c r="AE329" s="72"/>
    </row>
    <row r="330" spans="2:31" x14ac:dyDescent="0.25">
      <c r="B330" s="108">
        <v>42695</v>
      </c>
      <c r="C330" s="72">
        <f t="shared" si="11"/>
        <v>326</v>
      </c>
      <c r="D330" s="19">
        <v>0</v>
      </c>
      <c r="E330" s="19">
        <v>0</v>
      </c>
      <c r="F330" s="19">
        <v>0</v>
      </c>
      <c r="G330" s="19">
        <v>0</v>
      </c>
      <c r="H330" s="19">
        <v>0</v>
      </c>
      <c r="I330" s="19">
        <v>0</v>
      </c>
      <c r="J330" s="19">
        <v>0</v>
      </c>
      <c r="K330" s="19">
        <v>42.731578239170226</v>
      </c>
      <c r="L330" s="19">
        <v>205.46166650935979</v>
      </c>
      <c r="M330" s="19">
        <v>408.12099713105891</v>
      </c>
      <c r="N330" s="19">
        <v>596.75584872435002</v>
      </c>
      <c r="O330" s="19">
        <v>730.98892638477628</v>
      </c>
      <c r="P330" s="19">
        <v>913.44440705915611</v>
      </c>
      <c r="Q330" s="19">
        <v>854.049595721439</v>
      </c>
      <c r="R330" s="19">
        <v>645.19506526624298</v>
      </c>
      <c r="S330" s="19">
        <v>271.91202558627464</v>
      </c>
      <c r="T330" s="19">
        <v>83.883427667121737</v>
      </c>
      <c r="U330" s="19">
        <v>0</v>
      </c>
      <c r="V330" s="19">
        <v>0</v>
      </c>
      <c r="W330" s="19">
        <v>0</v>
      </c>
      <c r="X330" s="19">
        <v>0</v>
      </c>
      <c r="Y330" s="19">
        <v>0</v>
      </c>
      <c r="Z330" s="19">
        <v>0</v>
      </c>
      <c r="AA330" s="19">
        <v>0</v>
      </c>
      <c r="AC330" s="76">
        <f t="shared" si="10"/>
        <v>4.7525435382889487</v>
      </c>
      <c r="AD330" s="77"/>
      <c r="AE330" s="72"/>
    </row>
    <row r="331" spans="2:31" x14ac:dyDescent="0.25">
      <c r="B331" s="108">
        <v>42696</v>
      </c>
      <c r="C331" s="72">
        <f t="shared" si="11"/>
        <v>327</v>
      </c>
      <c r="D331" s="19">
        <v>0</v>
      </c>
      <c r="E331" s="19">
        <v>0</v>
      </c>
      <c r="F331" s="19">
        <v>0</v>
      </c>
      <c r="G331" s="19">
        <v>0</v>
      </c>
      <c r="H331" s="19">
        <v>0</v>
      </c>
      <c r="I331" s="19">
        <v>0</v>
      </c>
      <c r="J331" s="19">
        <v>0</v>
      </c>
      <c r="K331" s="19">
        <v>41.769722944744188</v>
      </c>
      <c r="L331" s="19">
        <v>204.20743385959992</v>
      </c>
      <c r="M331" s="19">
        <v>407.80345941662705</v>
      </c>
      <c r="N331" s="19">
        <v>593.96352355896624</v>
      </c>
      <c r="O331" s="19">
        <v>728.9171869428111</v>
      </c>
      <c r="P331" s="19">
        <v>911.14972388216643</v>
      </c>
      <c r="Q331" s="19">
        <v>850.90415615645009</v>
      </c>
      <c r="R331" s="19">
        <v>640.54331072433001</v>
      </c>
      <c r="S331" s="19">
        <v>266.22380986314232</v>
      </c>
      <c r="T331" s="19">
        <v>98.463455779187498</v>
      </c>
      <c r="U331" s="19">
        <v>0</v>
      </c>
      <c r="V331" s="19">
        <v>0</v>
      </c>
      <c r="W331" s="19">
        <v>0</v>
      </c>
      <c r="X331" s="19">
        <v>0</v>
      </c>
      <c r="Y331" s="19">
        <v>0</v>
      </c>
      <c r="Z331" s="19">
        <v>0</v>
      </c>
      <c r="AA331" s="19">
        <v>0</v>
      </c>
      <c r="AC331" s="76">
        <f t="shared" si="10"/>
        <v>4.7439457831280247</v>
      </c>
      <c r="AD331" s="77"/>
      <c r="AE331" s="72"/>
    </row>
    <row r="332" spans="2:31" x14ac:dyDescent="0.25">
      <c r="B332" s="108">
        <v>42697</v>
      </c>
      <c r="C332" s="72">
        <f t="shared" si="11"/>
        <v>328</v>
      </c>
      <c r="D332" s="19">
        <v>0</v>
      </c>
      <c r="E332" s="19">
        <v>0</v>
      </c>
      <c r="F332" s="19">
        <v>0</v>
      </c>
      <c r="G332" s="19">
        <v>0</v>
      </c>
      <c r="H332" s="19">
        <v>0</v>
      </c>
      <c r="I332" s="19">
        <v>0</v>
      </c>
      <c r="J332" s="19">
        <v>0</v>
      </c>
      <c r="K332" s="19">
        <v>40.908797372874886</v>
      </c>
      <c r="L332" s="19">
        <v>204.02684577712682</v>
      </c>
      <c r="M332" s="19">
        <v>408.05376986457043</v>
      </c>
      <c r="N332" s="19">
        <v>600.12822734827</v>
      </c>
      <c r="O332" s="19">
        <v>738.15370354674985</v>
      </c>
      <c r="P332" s="19">
        <v>908.89685883859499</v>
      </c>
      <c r="Q332" s="19">
        <v>847.8182140860132</v>
      </c>
      <c r="R332" s="19">
        <v>635.98733204659982</v>
      </c>
      <c r="S332" s="19">
        <v>260.72899806095688</v>
      </c>
      <c r="T332" s="19">
        <v>126.48408752546355</v>
      </c>
      <c r="U332" s="19">
        <v>0</v>
      </c>
      <c r="V332" s="19">
        <v>0</v>
      </c>
      <c r="W332" s="19">
        <v>0</v>
      </c>
      <c r="X332" s="19">
        <v>0</v>
      </c>
      <c r="Y332" s="19">
        <v>0</v>
      </c>
      <c r="Z332" s="19">
        <v>0</v>
      </c>
      <c r="AA332" s="19">
        <v>0</v>
      </c>
      <c r="AC332" s="76">
        <f t="shared" si="10"/>
        <v>4.771186834467219</v>
      </c>
      <c r="AD332" s="77"/>
      <c r="AE332" s="72"/>
    </row>
    <row r="333" spans="2:31" x14ac:dyDescent="0.25">
      <c r="B333" s="108">
        <v>42698</v>
      </c>
      <c r="C333" s="72">
        <f t="shared" si="11"/>
        <v>329</v>
      </c>
      <c r="D333" s="19">
        <v>0</v>
      </c>
      <c r="E333" s="19">
        <v>0</v>
      </c>
      <c r="F333" s="19">
        <v>0</v>
      </c>
      <c r="G333" s="19">
        <v>0</v>
      </c>
      <c r="H333" s="19">
        <v>0</v>
      </c>
      <c r="I333" s="19">
        <v>0</v>
      </c>
      <c r="J333" s="19">
        <v>0</v>
      </c>
      <c r="K333" s="19">
        <v>40.497888095186966</v>
      </c>
      <c r="L333" s="19">
        <v>205.27467277734723</v>
      </c>
      <c r="M333" s="19">
        <v>411.40454205734056</v>
      </c>
      <c r="N333" s="19">
        <v>603.43132676929406</v>
      </c>
      <c r="O333" s="19">
        <v>741.74531596526231</v>
      </c>
      <c r="P333" s="19">
        <v>906.69098742496874</v>
      </c>
      <c r="Q333" s="19">
        <v>844.7979188511365</v>
      </c>
      <c r="R333" s="19">
        <v>631.53456270478671</v>
      </c>
      <c r="S333" s="19">
        <v>255.43225027954233</v>
      </c>
      <c r="T333" s="19">
        <v>172.6518644826244</v>
      </c>
      <c r="U333" s="19">
        <v>0</v>
      </c>
      <c r="V333" s="19">
        <v>0</v>
      </c>
      <c r="W333" s="19">
        <v>0</v>
      </c>
      <c r="X333" s="19">
        <v>0</v>
      </c>
      <c r="Y333" s="19">
        <v>0</v>
      </c>
      <c r="Z333" s="19">
        <v>0</v>
      </c>
      <c r="AA333" s="19">
        <v>0</v>
      </c>
      <c r="AC333" s="76">
        <f t="shared" si="10"/>
        <v>4.8134613294074899</v>
      </c>
      <c r="AD333" s="77"/>
      <c r="AE333" s="72"/>
    </row>
    <row r="334" spans="2:31" x14ac:dyDescent="0.25">
      <c r="B334" s="108">
        <v>42699</v>
      </c>
      <c r="C334" s="72">
        <f t="shared" si="11"/>
        <v>330</v>
      </c>
      <c r="D334" s="19">
        <v>0</v>
      </c>
      <c r="E334" s="19">
        <v>0</v>
      </c>
      <c r="F334" s="19">
        <v>0</v>
      </c>
      <c r="G334" s="19">
        <v>0</v>
      </c>
      <c r="H334" s="19">
        <v>0</v>
      </c>
      <c r="I334" s="19">
        <v>0</v>
      </c>
      <c r="J334" s="19">
        <v>0</v>
      </c>
      <c r="K334" s="19">
        <v>39.441656883708859</v>
      </c>
      <c r="L334" s="19">
        <v>204.58353808994715</v>
      </c>
      <c r="M334" s="19">
        <v>410.94013778412835</v>
      </c>
      <c r="N334" s="19">
        <v>601.88164814626418</v>
      </c>
      <c r="O334" s="19">
        <v>740.33057551671061</v>
      </c>
      <c r="P334" s="19">
        <v>904.53722836890825</v>
      </c>
      <c r="Q334" s="19">
        <v>841.84934961798558</v>
      </c>
      <c r="R334" s="19">
        <v>627.19231442176635</v>
      </c>
      <c r="S334" s="19">
        <v>250.33759665359094</v>
      </c>
      <c r="T334" s="19">
        <v>241.33031243280942</v>
      </c>
      <c r="U334" s="19">
        <v>0</v>
      </c>
      <c r="V334" s="19">
        <v>0</v>
      </c>
      <c r="W334" s="19">
        <v>0</v>
      </c>
      <c r="X334" s="19">
        <v>0</v>
      </c>
      <c r="Y334" s="19">
        <v>0</v>
      </c>
      <c r="Z334" s="19">
        <v>0</v>
      </c>
      <c r="AA334" s="19">
        <v>0</v>
      </c>
      <c r="AC334" s="76">
        <f t="shared" si="10"/>
        <v>4.8624243579158204</v>
      </c>
      <c r="AD334" s="77"/>
      <c r="AE334" s="72"/>
    </row>
    <row r="335" spans="2:31" x14ac:dyDescent="0.25">
      <c r="B335" s="108">
        <v>42700</v>
      </c>
      <c r="C335" s="72">
        <f t="shared" si="11"/>
        <v>331</v>
      </c>
      <c r="D335" s="19">
        <v>0</v>
      </c>
      <c r="E335" s="19">
        <v>0</v>
      </c>
      <c r="F335" s="19">
        <v>0</v>
      </c>
      <c r="G335" s="19">
        <v>0</v>
      </c>
      <c r="H335" s="19">
        <v>0</v>
      </c>
      <c r="I335" s="19">
        <v>0</v>
      </c>
      <c r="J335" s="19">
        <v>0</v>
      </c>
      <c r="K335" s="19">
        <v>37.808248038614465</v>
      </c>
      <c r="L335" s="19">
        <v>200.59472043171547</v>
      </c>
      <c r="M335" s="19">
        <v>405.30562472242775</v>
      </c>
      <c r="N335" s="19">
        <v>595.53501663076588</v>
      </c>
      <c r="O335" s="19">
        <v>728.31644956693094</v>
      </c>
      <c r="P335" s="19">
        <v>902.44063268471098</v>
      </c>
      <c r="Q335" s="19">
        <v>838.97850236897477</v>
      </c>
      <c r="R335" s="19">
        <v>622.96776163583206</v>
      </c>
      <c r="S335" s="19">
        <v>245.44844059999818</v>
      </c>
      <c r="T335" s="19">
        <v>335.32771403923084</v>
      </c>
      <c r="U335" s="19">
        <v>0</v>
      </c>
      <c r="V335" s="19">
        <v>0</v>
      </c>
      <c r="W335" s="19">
        <v>0</v>
      </c>
      <c r="X335" s="19">
        <v>0</v>
      </c>
      <c r="Y335" s="19">
        <v>0</v>
      </c>
      <c r="Z335" s="19">
        <v>0</v>
      </c>
      <c r="AA335" s="19">
        <v>0</v>
      </c>
      <c r="AC335" s="76">
        <f t="shared" si="10"/>
        <v>4.9127231107192006</v>
      </c>
      <c r="AD335" s="77"/>
      <c r="AE335" s="72"/>
    </row>
    <row r="336" spans="2:31" x14ac:dyDescent="0.25">
      <c r="B336" s="108">
        <v>42701</v>
      </c>
      <c r="C336" s="72">
        <f t="shared" si="11"/>
        <v>332</v>
      </c>
      <c r="D336" s="19">
        <v>0</v>
      </c>
      <c r="E336" s="19">
        <v>0</v>
      </c>
      <c r="F336" s="19">
        <v>0</v>
      </c>
      <c r="G336" s="19">
        <v>0</v>
      </c>
      <c r="H336" s="19">
        <v>0</v>
      </c>
      <c r="I336" s="19">
        <v>0</v>
      </c>
      <c r="J336" s="19">
        <v>0</v>
      </c>
      <c r="K336" s="19">
        <v>36.707795137442119</v>
      </c>
      <c r="L336" s="19">
        <v>199.18444762805782</v>
      </c>
      <c r="M336" s="19">
        <v>404.67317755949841</v>
      </c>
      <c r="N336" s="19">
        <v>592.90431155306328</v>
      </c>
      <c r="O336" s="19">
        <v>728.50041631283375</v>
      </c>
      <c r="P336" s="19">
        <v>900.40617274019951</v>
      </c>
      <c r="Q336" s="19">
        <v>836.19127694609642</v>
      </c>
      <c r="R336" s="19">
        <v>618.86792644736283</v>
      </c>
      <c r="S336" s="19">
        <v>240.76756834478221</v>
      </c>
      <c r="T336" s="19">
        <v>454.92806743673356</v>
      </c>
      <c r="U336" s="19">
        <v>0</v>
      </c>
      <c r="V336" s="19">
        <v>0</v>
      </c>
      <c r="W336" s="19">
        <v>0</v>
      </c>
      <c r="X336" s="19">
        <v>0</v>
      </c>
      <c r="Y336" s="19">
        <v>0</v>
      </c>
      <c r="Z336" s="19">
        <v>0</v>
      </c>
      <c r="AA336" s="19">
        <v>0</v>
      </c>
      <c r="AC336" s="76">
        <f t="shared" si="10"/>
        <v>5.0131311601060693</v>
      </c>
      <c r="AD336" s="77"/>
      <c r="AE336" s="72"/>
    </row>
    <row r="337" spans="2:31" x14ac:dyDescent="0.25">
      <c r="B337" s="108">
        <v>42702</v>
      </c>
      <c r="C337" s="72">
        <f t="shared" si="11"/>
        <v>333</v>
      </c>
      <c r="D337" s="19">
        <v>0</v>
      </c>
      <c r="E337" s="19">
        <v>0</v>
      </c>
      <c r="F337" s="19">
        <v>0</v>
      </c>
      <c r="G337" s="19">
        <v>0</v>
      </c>
      <c r="H337" s="19">
        <v>0</v>
      </c>
      <c r="I337" s="19">
        <v>0</v>
      </c>
      <c r="J337" s="19">
        <v>0</v>
      </c>
      <c r="K337" s="19">
        <v>35.762807343272371</v>
      </c>
      <c r="L337" s="19">
        <v>197.95845104880317</v>
      </c>
      <c r="M337" s="19">
        <v>400.16489233488875</v>
      </c>
      <c r="N337" s="19">
        <v>589.67675302441342</v>
      </c>
      <c r="O337" s="19">
        <v>725.45520075962622</v>
      </c>
      <c r="P337" s="19">
        <v>898.43873136671459</v>
      </c>
      <c r="Q337" s="19">
        <v>833.49346418739788</v>
      </c>
      <c r="R337" s="19">
        <v>614.89966411214152</v>
      </c>
      <c r="S337" s="19">
        <v>236.29716464418627</v>
      </c>
      <c r="T337" s="19">
        <v>597.38810361168112</v>
      </c>
      <c r="U337" s="19">
        <v>0</v>
      </c>
      <c r="V337" s="19">
        <v>0</v>
      </c>
      <c r="W337" s="19">
        <v>0</v>
      </c>
      <c r="X337" s="19">
        <v>0</v>
      </c>
      <c r="Y337" s="19">
        <v>0</v>
      </c>
      <c r="Z337" s="19">
        <v>0</v>
      </c>
      <c r="AA337" s="19">
        <v>0</v>
      </c>
      <c r="AC337" s="76">
        <f t="shared" si="10"/>
        <v>5.1295352324331249</v>
      </c>
      <c r="AD337" s="77"/>
      <c r="AE337" s="72"/>
    </row>
    <row r="338" spans="2:31" x14ac:dyDescent="0.25">
      <c r="B338" s="108">
        <v>42703</v>
      </c>
      <c r="C338" s="72">
        <f t="shared" si="11"/>
        <v>334</v>
      </c>
      <c r="D338" s="19">
        <v>0</v>
      </c>
      <c r="E338" s="19">
        <v>0</v>
      </c>
      <c r="F338" s="19">
        <v>0</v>
      </c>
      <c r="G338" s="19">
        <v>0</v>
      </c>
      <c r="H338" s="19">
        <v>0</v>
      </c>
      <c r="I338" s="19">
        <v>0</v>
      </c>
      <c r="J338" s="19">
        <v>0</v>
      </c>
      <c r="K338" s="19">
        <v>34.950553468409552</v>
      </c>
      <c r="L338" s="19">
        <v>196.94031109150745</v>
      </c>
      <c r="M338" s="19">
        <v>402.43800434426288</v>
      </c>
      <c r="N338" s="19">
        <v>593.52008198656756</v>
      </c>
      <c r="O338" s="19">
        <v>728.49451661132593</v>
      </c>
      <c r="P338" s="19">
        <v>896.54309104460253</v>
      </c>
      <c r="Q338" s="19">
        <v>830.89073319735428</v>
      </c>
      <c r="R338" s="19">
        <v>611.06964913911656</v>
      </c>
      <c r="S338" s="19">
        <v>232.03883451670558</v>
      </c>
      <c r="T338" s="19">
        <v>756.85684503308312</v>
      </c>
      <c r="U338" s="19">
        <v>0</v>
      </c>
      <c r="V338" s="19">
        <v>0</v>
      </c>
      <c r="W338" s="19">
        <v>0</v>
      </c>
      <c r="X338" s="19">
        <v>0</v>
      </c>
      <c r="Y338" s="19">
        <v>0</v>
      </c>
      <c r="Z338" s="19">
        <v>0</v>
      </c>
      <c r="AA338" s="19">
        <v>0</v>
      </c>
      <c r="AC338" s="76">
        <f t="shared" si="10"/>
        <v>5.2837426204329345</v>
      </c>
      <c r="AD338" s="77"/>
      <c r="AE338" s="72"/>
    </row>
    <row r="339" spans="2:31" x14ac:dyDescent="0.25">
      <c r="B339" s="108">
        <v>42704</v>
      </c>
      <c r="C339" s="72">
        <f t="shared" si="11"/>
        <v>335</v>
      </c>
      <c r="D339" s="19">
        <v>0</v>
      </c>
      <c r="E339" s="19">
        <v>0</v>
      </c>
      <c r="F339" s="19">
        <v>0</v>
      </c>
      <c r="G339" s="19">
        <v>0</v>
      </c>
      <c r="H339" s="19">
        <v>0</v>
      </c>
      <c r="I339" s="19">
        <v>0</v>
      </c>
      <c r="J339" s="19">
        <v>0</v>
      </c>
      <c r="K339" s="19">
        <v>34.239296572804207</v>
      </c>
      <c r="L339" s="19">
        <v>197.20067074135673</v>
      </c>
      <c r="M339" s="19">
        <v>402.63957323029359</v>
      </c>
      <c r="N339" s="19">
        <v>593.05335771373848</v>
      </c>
      <c r="O339" s="19">
        <v>729.07923348565066</v>
      </c>
      <c r="P339" s="19">
        <v>894.72392319687242</v>
      </c>
      <c r="Q339" s="19">
        <v>828.38861879149658</v>
      </c>
      <c r="R339" s="19">
        <v>607.38436204305935</v>
      </c>
      <c r="S339" s="19">
        <v>227.99363070913512</v>
      </c>
      <c r="T339" s="19">
        <v>924.32018528848266</v>
      </c>
      <c r="U339" s="19">
        <v>0</v>
      </c>
      <c r="V339" s="19">
        <v>0</v>
      </c>
      <c r="W339" s="19">
        <v>0</v>
      </c>
      <c r="X339" s="19">
        <v>0</v>
      </c>
      <c r="Y339" s="19">
        <v>0</v>
      </c>
      <c r="Z339" s="19">
        <v>0</v>
      </c>
      <c r="AA339" s="19">
        <v>0</v>
      </c>
      <c r="AC339" s="76">
        <f t="shared" si="10"/>
        <v>5.4390228517728882</v>
      </c>
      <c r="AD339" s="77"/>
      <c r="AE339" s="72"/>
    </row>
    <row r="340" spans="2:31" x14ac:dyDescent="0.25">
      <c r="B340" s="108">
        <v>42705</v>
      </c>
      <c r="C340" s="72">
        <f t="shared" si="11"/>
        <v>336</v>
      </c>
      <c r="D340" s="19">
        <v>0</v>
      </c>
      <c r="E340" s="19">
        <v>0</v>
      </c>
      <c r="F340" s="19">
        <v>0</v>
      </c>
      <c r="G340" s="19">
        <v>0</v>
      </c>
      <c r="H340" s="19">
        <v>0</v>
      </c>
      <c r="I340" s="19">
        <v>0</v>
      </c>
      <c r="J340" s="19">
        <v>0</v>
      </c>
      <c r="K340" s="19">
        <v>33.167285421524433</v>
      </c>
      <c r="L340" s="19">
        <v>194.90393341068693</v>
      </c>
      <c r="M340" s="19">
        <v>399.42395322931452</v>
      </c>
      <c r="N340" s="19">
        <v>591.34888125282805</v>
      </c>
      <c r="O340" s="19">
        <v>729.24191022620164</v>
      </c>
      <c r="P340" s="19">
        <v>892.98577762385366</v>
      </c>
      <c r="Q340" s="19">
        <v>825.99250915496884</v>
      </c>
      <c r="R340" s="19">
        <v>603.85007679446267</v>
      </c>
      <c r="S340" s="19">
        <v>224.16208653237996</v>
      </c>
      <c r="T340" s="19">
        <v>1086.1573996407594</v>
      </c>
      <c r="U340" s="19">
        <v>0</v>
      </c>
      <c r="V340" s="19">
        <v>0</v>
      </c>
      <c r="W340" s="19">
        <v>0</v>
      </c>
      <c r="X340" s="19">
        <v>0</v>
      </c>
      <c r="Y340" s="19">
        <v>0</v>
      </c>
      <c r="Z340" s="19">
        <v>0</v>
      </c>
      <c r="AA340" s="19">
        <v>0</v>
      </c>
      <c r="AC340" s="76">
        <f t="shared" si="10"/>
        <v>5.581233813286981</v>
      </c>
      <c r="AD340" s="77"/>
      <c r="AE340" s="72"/>
    </row>
    <row r="341" spans="2:31" x14ac:dyDescent="0.25">
      <c r="B341" s="108">
        <v>42706</v>
      </c>
      <c r="C341" s="72">
        <f t="shared" si="11"/>
        <v>337</v>
      </c>
      <c r="D341" s="19">
        <v>0</v>
      </c>
      <c r="E341" s="19">
        <v>0</v>
      </c>
      <c r="F341" s="19">
        <v>0</v>
      </c>
      <c r="G341" s="19">
        <v>0</v>
      </c>
      <c r="H341" s="19">
        <v>0</v>
      </c>
      <c r="I341" s="19">
        <v>0</v>
      </c>
      <c r="J341" s="19">
        <v>0</v>
      </c>
      <c r="K341" s="19">
        <v>32.402732411854089</v>
      </c>
      <c r="L341" s="19">
        <v>194.44051993386356</v>
      </c>
      <c r="M341" s="19">
        <v>399.64662753363905</v>
      </c>
      <c r="N341" s="19">
        <v>592.88473814961003</v>
      </c>
      <c r="O341" s="19">
        <v>729.31800661971181</v>
      </c>
      <c r="P341" s="19">
        <v>891.33307211167289</v>
      </c>
      <c r="Q341" s="19">
        <v>823.70763375375577</v>
      </c>
      <c r="R341" s="19">
        <v>600.47284900035231</v>
      </c>
      <c r="S341" s="19">
        <v>220.5442536236705</v>
      </c>
      <c r="T341" s="19">
        <v>0</v>
      </c>
      <c r="U341" s="19">
        <v>0</v>
      </c>
      <c r="V341" s="19">
        <v>0</v>
      </c>
      <c r="W341" s="19">
        <v>0</v>
      </c>
      <c r="X341" s="19">
        <v>0</v>
      </c>
      <c r="Y341" s="19">
        <v>0</v>
      </c>
      <c r="Z341" s="19">
        <v>0</v>
      </c>
      <c r="AA341" s="19">
        <v>0</v>
      </c>
      <c r="AC341" s="76">
        <f t="shared" si="10"/>
        <v>4.4847504331381307</v>
      </c>
      <c r="AD341" s="77"/>
      <c r="AE341" s="72"/>
    </row>
    <row r="342" spans="2:31" x14ac:dyDescent="0.25">
      <c r="B342" s="108">
        <v>42707</v>
      </c>
      <c r="C342" s="72">
        <f t="shared" si="11"/>
        <v>338</v>
      </c>
      <c r="D342" s="19">
        <v>0</v>
      </c>
      <c r="E342" s="19">
        <v>0</v>
      </c>
      <c r="F342" s="19">
        <v>0</v>
      </c>
      <c r="G342" s="19">
        <v>0</v>
      </c>
      <c r="H342" s="19">
        <v>0</v>
      </c>
      <c r="I342" s="19">
        <v>0</v>
      </c>
      <c r="J342" s="19">
        <v>0</v>
      </c>
      <c r="K342" s="19">
        <v>31.495824359632326</v>
      </c>
      <c r="L342" s="19">
        <v>192.61377466093322</v>
      </c>
      <c r="M342" s="19">
        <v>397.14261231854192</v>
      </c>
      <c r="N342" s="19">
        <v>587.15406960744656</v>
      </c>
      <c r="O342" s="19">
        <v>723.38990031882986</v>
      </c>
      <c r="P342" s="19">
        <v>889.77008224717838</v>
      </c>
      <c r="Q342" s="19">
        <v>821.53905153615494</v>
      </c>
      <c r="R342" s="19">
        <v>597.25850484051364</v>
      </c>
      <c r="S342" s="19">
        <v>217.13974412219835</v>
      </c>
      <c r="T342" s="19">
        <v>0</v>
      </c>
      <c r="U342" s="19">
        <v>0</v>
      </c>
      <c r="V342" s="19">
        <v>0</v>
      </c>
      <c r="W342" s="19">
        <v>0</v>
      </c>
      <c r="X342" s="19">
        <v>0</v>
      </c>
      <c r="Y342" s="19">
        <v>0</v>
      </c>
      <c r="Z342" s="19">
        <v>0</v>
      </c>
      <c r="AA342" s="19">
        <v>0</v>
      </c>
      <c r="AC342" s="76">
        <f t="shared" si="10"/>
        <v>4.4575035640114296</v>
      </c>
      <c r="AD342" s="77"/>
      <c r="AE342" s="72"/>
    </row>
    <row r="343" spans="2:31" x14ac:dyDescent="0.25">
      <c r="B343" s="108">
        <v>42708</v>
      </c>
      <c r="C343" s="72">
        <f t="shared" si="11"/>
        <v>339</v>
      </c>
      <c r="D343" s="19">
        <v>0</v>
      </c>
      <c r="E343" s="19">
        <v>0</v>
      </c>
      <c r="F343" s="19">
        <v>0</v>
      </c>
      <c r="G343" s="19">
        <v>0</v>
      </c>
      <c r="H343" s="19">
        <v>0</v>
      </c>
      <c r="I343" s="19">
        <v>0</v>
      </c>
      <c r="J343" s="19">
        <v>0</v>
      </c>
      <c r="K343" s="19">
        <v>30.374608805513848</v>
      </c>
      <c r="L343" s="19">
        <v>190.15769627202729</v>
      </c>
      <c r="M343" s="19">
        <v>393.08745146187732</v>
      </c>
      <c r="N343" s="19">
        <v>582.6810535150712</v>
      </c>
      <c r="O343" s="19">
        <v>717.03911483366687</v>
      </c>
      <c r="P343" s="19">
        <v>888.30093147156947</v>
      </c>
      <c r="Q343" s="19">
        <v>819.49163946066494</v>
      </c>
      <c r="R343" s="19">
        <v>594.21263077424567</v>
      </c>
      <c r="S343" s="19">
        <v>213.94777668598937</v>
      </c>
      <c r="T343" s="19">
        <v>0</v>
      </c>
      <c r="U343" s="19">
        <v>0</v>
      </c>
      <c r="V343" s="19">
        <v>0</v>
      </c>
      <c r="W343" s="19">
        <v>0</v>
      </c>
      <c r="X343" s="19">
        <v>0</v>
      </c>
      <c r="Y343" s="19">
        <v>0</v>
      </c>
      <c r="Z343" s="19">
        <v>0</v>
      </c>
      <c r="AA343" s="19">
        <v>0</v>
      </c>
      <c r="AC343" s="76">
        <f t="shared" si="10"/>
        <v>4.4292929032806256</v>
      </c>
      <c r="AD343" s="77"/>
      <c r="AE343" s="72"/>
    </row>
    <row r="344" spans="2:31" x14ac:dyDescent="0.25">
      <c r="B344" s="108">
        <v>42709</v>
      </c>
      <c r="C344" s="72">
        <f t="shared" si="11"/>
        <v>340</v>
      </c>
      <c r="D344" s="19">
        <v>0</v>
      </c>
      <c r="E344" s="19">
        <v>0</v>
      </c>
      <c r="F344" s="19">
        <v>0</v>
      </c>
      <c r="G344" s="19">
        <v>0</v>
      </c>
      <c r="H344" s="19">
        <v>0</v>
      </c>
      <c r="I344" s="19">
        <v>0</v>
      </c>
      <c r="J344" s="19">
        <v>0</v>
      </c>
      <c r="K344" s="19">
        <v>29.822222835516939</v>
      </c>
      <c r="L344" s="19">
        <v>190.12017868599992</v>
      </c>
      <c r="M344" s="19">
        <v>394.05941656243255</v>
      </c>
      <c r="N344" s="19">
        <v>584.22337502930645</v>
      </c>
      <c r="O344" s="19">
        <v>718.23485004485622</v>
      </c>
      <c r="P344" s="19">
        <v>886.92958140449923</v>
      </c>
      <c r="Q344" s="19">
        <v>817.5700813849229</v>
      </c>
      <c r="R344" s="19">
        <v>591.34056402331134</v>
      </c>
      <c r="S344" s="19">
        <v>210.96722572940803</v>
      </c>
      <c r="T344" s="19">
        <v>0</v>
      </c>
      <c r="U344" s="19">
        <v>0</v>
      </c>
      <c r="V344" s="19">
        <v>0</v>
      </c>
      <c r="W344" s="19">
        <v>0</v>
      </c>
      <c r="X344" s="19">
        <v>0</v>
      </c>
      <c r="Y344" s="19">
        <v>0</v>
      </c>
      <c r="Z344" s="19">
        <v>0</v>
      </c>
      <c r="AA344" s="19">
        <v>0</v>
      </c>
      <c r="AC344" s="76">
        <f t="shared" si="10"/>
        <v>4.4232674957002525</v>
      </c>
      <c r="AD344" s="77"/>
      <c r="AE344" s="72"/>
    </row>
    <row r="345" spans="2:31" x14ac:dyDescent="0.25">
      <c r="B345" s="108">
        <v>42710</v>
      </c>
      <c r="C345" s="72">
        <f t="shared" si="11"/>
        <v>341</v>
      </c>
      <c r="D345" s="19">
        <v>0</v>
      </c>
      <c r="E345" s="19">
        <v>0</v>
      </c>
      <c r="F345" s="19">
        <v>0</v>
      </c>
      <c r="G345" s="19">
        <v>0</v>
      </c>
      <c r="H345" s="19">
        <v>0</v>
      </c>
      <c r="I345" s="19">
        <v>0</v>
      </c>
      <c r="J345" s="19">
        <v>0</v>
      </c>
      <c r="K345" s="19">
        <v>29.30545720665334</v>
      </c>
      <c r="L345" s="19">
        <v>190.03378354425604</v>
      </c>
      <c r="M345" s="19">
        <v>393.42484648226275</v>
      </c>
      <c r="N345" s="19">
        <v>583.98979600741552</v>
      </c>
      <c r="O345" s="19">
        <v>719.65806401302473</v>
      </c>
      <c r="P345" s="19">
        <v>885.65982246969713</v>
      </c>
      <c r="Q345" s="19">
        <v>815.77885734853896</v>
      </c>
      <c r="R345" s="19">
        <v>588.64738382741189</v>
      </c>
      <c r="S345" s="19">
        <v>208.19667322295757</v>
      </c>
      <c r="T345" s="19">
        <v>0</v>
      </c>
      <c r="U345" s="19">
        <v>0</v>
      </c>
      <c r="V345" s="19">
        <v>0</v>
      </c>
      <c r="W345" s="19">
        <v>0</v>
      </c>
      <c r="X345" s="19">
        <v>0</v>
      </c>
      <c r="Y345" s="19">
        <v>0</v>
      </c>
      <c r="Z345" s="19">
        <v>0</v>
      </c>
      <c r="AA345" s="19">
        <v>0</v>
      </c>
      <c r="AC345" s="76">
        <f t="shared" si="10"/>
        <v>4.4146946841222183</v>
      </c>
      <c r="AD345" s="77"/>
      <c r="AE345" s="72"/>
    </row>
    <row r="346" spans="2:31" x14ac:dyDescent="0.25">
      <c r="B346" s="108">
        <v>42711</v>
      </c>
      <c r="C346" s="72">
        <f t="shared" si="11"/>
        <v>342</v>
      </c>
      <c r="D346" s="19">
        <v>0</v>
      </c>
      <c r="E346" s="19">
        <v>0</v>
      </c>
      <c r="F346" s="19">
        <v>0</v>
      </c>
      <c r="G346" s="19">
        <v>0</v>
      </c>
      <c r="H346" s="19">
        <v>0</v>
      </c>
      <c r="I346" s="19">
        <v>0</v>
      </c>
      <c r="J346" s="19">
        <v>0</v>
      </c>
      <c r="K346" s="19">
        <v>28.824038943729242</v>
      </c>
      <c r="L346" s="19">
        <v>189.45465124986953</v>
      </c>
      <c r="M346" s="19">
        <v>393.27589921709074</v>
      </c>
      <c r="N346" s="19">
        <v>584.12999726037299</v>
      </c>
      <c r="O346" s="19">
        <v>719.06187412951317</v>
      </c>
      <c r="P346" s="19">
        <v>884.49526485235106</v>
      </c>
      <c r="Q346" s="19">
        <v>814.12223328085497</v>
      </c>
      <c r="R346" s="19">
        <v>586.13790345960297</v>
      </c>
      <c r="S346" s="19">
        <v>205.63446236955494</v>
      </c>
      <c r="T346" s="19">
        <v>0</v>
      </c>
      <c r="U346" s="19">
        <v>0</v>
      </c>
      <c r="V346" s="19">
        <v>0</v>
      </c>
      <c r="W346" s="19">
        <v>0</v>
      </c>
      <c r="X346" s="19">
        <v>0</v>
      </c>
      <c r="Y346" s="19">
        <v>0</v>
      </c>
      <c r="Z346" s="19">
        <v>0</v>
      </c>
      <c r="AA346" s="19">
        <v>0</v>
      </c>
      <c r="AC346" s="76">
        <f t="shared" si="10"/>
        <v>4.4051363247629398</v>
      </c>
      <c r="AD346" s="77"/>
      <c r="AE346" s="72"/>
    </row>
    <row r="347" spans="2:31" x14ac:dyDescent="0.25">
      <c r="B347" s="108">
        <v>42712</v>
      </c>
      <c r="C347" s="72">
        <f t="shared" si="11"/>
        <v>343</v>
      </c>
      <c r="D347" s="19">
        <v>0</v>
      </c>
      <c r="E347" s="19">
        <v>0</v>
      </c>
      <c r="F347" s="19">
        <v>0</v>
      </c>
      <c r="G347" s="19">
        <v>0</v>
      </c>
      <c r="H347" s="19">
        <v>0</v>
      </c>
      <c r="I347" s="19">
        <v>0</v>
      </c>
      <c r="J347" s="19">
        <v>0</v>
      </c>
      <c r="K347" s="19">
        <v>28.167215029977928</v>
      </c>
      <c r="L347" s="19">
        <v>188.73177877387917</v>
      </c>
      <c r="M347" s="19">
        <v>392.71323869825812</v>
      </c>
      <c r="N347" s="19">
        <v>584.59035956399703</v>
      </c>
      <c r="O347" s="19">
        <v>720.50013333019683</v>
      </c>
      <c r="P347" s="19">
        <v>883.4393298174989</v>
      </c>
      <c r="Q347" s="19">
        <v>812.60425116264969</v>
      </c>
      <c r="R347" s="19">
        <v>583.81666298063976</v>
      </c>
      <c r="S347" s="19">
        <v>203.27875245360883</v>
      </c>
      <c r="T347" s="19">
        <v>0</v>
      </c>
      <c r="U347" s="19">
        <v>0</v>
      </c>
      <c r="V347" s="19">
        <v>0</v>
      </c>
      <c r="W347" s="19">
        <v>0</v>
      </c>
      <c r="X347" s="19">
        <v>0</v>
      </c>
      <c r="Y347" s="19">
        <v>0</v>
      </c>
      <c r="Z347" s="19">
        <v>0</v>
      </c>
      <c r="AA347" s="19">
        <v>0</v>
      </c>
      <c r="AC347" s="76">
        <f t="shared" si="10"/>
        <v>4.397841721810706</v>
      </c>
      <c r="AD347" s="77"/>
      <c r="AE347" s="72"/>
    </row>
    <row r="348" spans="2:31" x14ac:dyDescent="0.25">
      <c r="B348" s="108">
        <v>42713</v>
      </c>
      <c r="C348" s="72">
        <f t="shared" si="11"/>
        <v>344</v>
      </c>
      <c r="D348" s="19">
        <v>0</v>
      </c>
      <c r="E348" s="19">
        <v>0</v>
      </c>
      <c r="F348" s="19">
        <v>0</v>
      </c>
      <c r="G348" s="19">
        <v>0</v>
      </c>
      <c r="H348" s="19">
        <v>0</v>
      </c>
      <c r="I348" s="19">
        <v>0</v>
      </c>
      <c r="J348" s="19">
        <v>0</v>
      </c>
      <c r="K348" s="19">
        <v>27.702776192305844</v>
      </c>
      <c r="L348" s="19">
        <v>188.05894933567131</v>
      </c>
      <c r="M348" s="19">
        <v>391.45447884946088</v>
      </c>
      <c r="N348" s="19">
        <v>584.02291822362156</v>
      </c>
      <c r="O348" s="19">
        <v>719.32451649890436</v>
      </c>
      <c r="P348" s="19">
        <v>882.49524141756535</v>
      </c>
      <c r="Q348" s="19">
        <v>811.22871966880928</v>
      </c>
      <c r="R348" s="19">
        <v>581.68792270363031</v>
      </c>
      <c r="S348" s="19">
        <v>201.12757415010162</v>
      </c>
      <c r="T348" s="19">
        <v>0</v>
      </c>
      <c r="U348" s="19">
        <v>0</v>
      </c>
      <c r="V348" s="19">
        <v>0</v>
      </c>
      <c r="W348" s="19">
        <v>0</v>
      </c>
      <c r="X348" s="19">
        <v>0</v>
      </c>
      <c r="Y348" s="19">
        <v>0</v>
      </c>
      <c r="Z348" s="19">
        <v>0</v>
      </c>
      <c r="AA348" s="19">
        <v>0</v>
      </c>
      <c r="AC348" s="76">
        <f t="shared" si="10"/>
        <v>4.3871030970400708</v>
      </c>
      <c r="AD348" s="77"/>
      <c r="AE348" s="72"/>
    </row>
    <row r="349" spans="2:31" x14ac:dyDescent="0.25">
      <c r="B349" s="108">
        <v>42714</v>
      </c>
      <c r="C349" s="72">
        <f t="shared" si="11"/>
        <v>345</v>
      </c>
      <c r="D349" s="19">
        <v>0</v>
      </c>
      <c r="E349" s="19">
        <v>0</v>
      </c>
      <c r="F349" s="19">
        <v>0</v>
      </c>
      <c r="G349" s="19">
        <v>0</v>
      </c>
      <c r="H349" s="19">
        <v>0</v>
      </c>
      <c r="I349" s="19">
        <v>0</v>
      </c>
      <c r="J349" s="19">
        <v>0</v>
      </c>
      <c r="K349" s="19">
        <v>27.019143910022962</v>
      </c>
      <c r="L349" s="19">
        <v>186.93383468240751</v>
      </c>
      <c r="M349" s="19">
        <v>390.96165201139894</v>
      </c>
      <c r="N349" s="19">
        <v>582.18698889593384</v>
      </c>
      <c r="O349" s="19">
        <v>718.98859085455479</v>
      </c>
      <c r="P349" s="19">
        <v>881.66601861594245</v>
      </c>
      <c r="Q349" s="19">
        <v>809.99920531689281</v>
      </c>
      <c r="R349" s="19">
        <v>579.75565733369456</v>
      </c>
      <c r="S349" s="19">
        <v>199.17888457985245</v>
      </c>
      <c r="T349" s="19">
        <v>0</v>
      </c>
      <c r="U349" s="19">
        <v>0</v>
      </c>
      <c r="V349" s="19">
        <v>0</v>
      </c>
      <c r="W349" s="19">
        <v>0</v>
      </c>
      <c r="X349" s="19">
        <v>0</v>
      </c>
      <c r="Y349" s="19">
        <v>0</v>
      </c>
      <c r="Z349" s="19">
        <v>0</v>
      </c>
      <c r="AA349" s="19">
        <v>0</v>
      </c>
      <c r="AC349" s="76">
        <f t="shared" si="10"/>
        <v>4.3766899762007005</v>
      </c>
      <c r="AD349" s="77"/>
      <c r="AE349" s="72"/>
    </row>
    <row r="350" spans="2:31" x14ac:dyDescent="0.25">
      <c r="B350" s="108">
        <v>42715</v>
      </c>
      <c r="C350" s="72">
        <f t="shared" si="11"/>
        <v>346</v>
      </c>
      <c r="D350" s="19">
        <v>0</v>
      </c>
      <c r="E350" s="19">
        <v>0</v>
      </c>
      <c r="F350" s="19">
        <v>0</v>
      </c>
      <c r="G350" s="19">
        <v>0</v>
      </c>
      <c r="H350" s="19">
        <v>0</v>
      </c>
      <c r="I350" s="19">
        <v>0</v>
      </c>
      <c r="J350" s="19">
        <v>0</v>
      </c>
      <c r="K350" s="19">
        <v>26.711333886388232</v>
      </c>
      <c r="L350" s="19">
        <v>187.24794517446156</v>
      </c>
      <c r="M350" s="19">
        <v>392.78326385218713</v>
      </c>
      <c r="N350" s="19">
        <v>586.33565684150869</v>
      </c>
      <c r="O350" s="19">
        <v>724.29325353457796</v>
      </c>
      <c r="P350" s="19">
        <v>880.95446785216438</v>
      </c>
      <c r="Q350" s="19">
        <v>808.91902414447941</v>
      </c>
      <c r="R350" s="19">
        <v>578.02355074172431</v>
      </c>
      <c r="S350" s="19">
        <v>197.43062140336863</v>
      </c>
      <c r="T350" s="19">
        <v>0</v>
      </c>
      <c r="U350" s="19">
        <v>0</v>
      </c>
      <c r="V350" s="19">
        <v>0</v>
      </c>
      <c r="W350" s="19">
        <v>0</v>
      </c>
      <c r="X350" s="19">
        <v>0</v>
      </c>
      <c r="Y350" s="19">
        <v>0</v>
      </c>
      <c r="Z350" s="19">
        <v>0</v>
      </c>
      <c r="AA350" s="19">
        <v>0</v>
      </c>
      <c r="AC350" s="76">
        <f t="shared" si="10"/>
        <v>4.3826991174308603</v>
      </c>
      <c r="AD350" s="77"/>
      <c r="AE350" s="72"/>
    </row>
    <row r="351" spans="2:31" x14ac:dyDescent="0.25">
      <c r="B351" s="108">
        <v>42716</v>
      </c>
      <c r="C351" s="72">
        <f t="shared" si="11"/>
        <v>347</v>
      </c>
      <c r="D351" s="19">
        <v>0</v>
      </c>
      <c r="E351" s="19">
        <v>0</v>
      </c>
      <c r="F351" s="19">
        <v>0</v>
      </c>
      <c r="G351" s="19">
        <v>0</v>
      </c>
      <c r="H351" s="19">
        <v>0</v>
      </c>
      <c r="I351" s="19">
        <v>0</v>
      </c>
      <c r="J351" s="19">
        <v>0</v>
      </c>
      <c r="K351" s="19">
        <v>26.444669065479992</v>
      </c>
      <c r="L351" s="19">
        <v>187.50601212574404</v>
      </c>
      <c r="M351" s="19">
        <v>393.33372026829494</v>
      </c>
      <c r="N351" s="19">
        <v>584.83082556662191</v>
      </c>
      <c r="O351" s="19">
        <v>723.25267619930878</v>
      </c>
      <c r="P351" s="19">
        <v>880.36317607277306</v>
      </c>
      <c r="Q351" s="19">
        <v>807.99123393610387</v>
      </c>
      <c r="R351" s="19">
        <v>576.49499132704318</v>
      </c>
      <c r="S351" s="19">
        <v>195.88075525893368</v>
      </c>
      <c r="T351" s="19">
        <v>0</v>
      </c>
      <c r="U351" s="19">
        <v>0</v>
      </c>
      <c r="V351" s="19">
        <v>0</v>
      </c>
      <c r="W351" s="19">
        <v>0</v>
      </c>
      <c r="X351" s="19">
        <v>0</v>
      </c>
      <c r="Y351" s="19">
        <v>0</v>
      </c>
      <c r="Z351" s="19">
        <v>0</v>
      </c>
      <c r="AA351" s="19">
        <v>0</v>
      </c>
      <c r="AC351" s="76">
        <f t="shared" si="10"/>
        <v>4.3760980598203032</v>
      </c>
      <c r="AD351" s="77"/>
      <c r="AE351" s="72"/>
    </row>
    <row r="352" spans="2:31" x14ac:dyDescent="0.25">
      <c r="B352" s="108">
        <v>42717</v>
      </c>
      <c r="C352" s="72">
        <f t="shared" si="11"/>
        <v>348</v>
      </c>
      <c r="D352" s="19">
        <v>0</v>
      </c>
      <c r="E352" s="19">
        <v>0</v>
      </c>
      <c r="F352" s="19">
        <v>0</v>
      </c>
      <c r="G352" s="19">
        <v>0</v>
      </c>
      <c r="H352" s="19">
        <v>0</v>
      </c>
      <c r="I352" s="19">
        <v>0</v>
      </c>
      <c r="J352" s="19">
        <v>0</v>
      </c>
      <c r="K352" s="19">
        <v>25.714385228500742</v>
      </c>
      <c r="L352" s="19">
        <v>185.09566023384491</v>
      </c>
      <c r="M352" s="19">
        <v>389.6150596637795</v>
      </c>
      <c r="N352" s="19">
        <v>580.60915996771473</v>
      </c>
      <c r="O352" s="19">
        <v>716.29308573667845</v>
      </c>
      <c r="P352" s="19">
        <v>879.89450425041957</v>
      </c>
      <c r="Q352" s="19">
        <v>807.21862701862756</v>
      </c>
      <c r="R352" s="19">
        <v>575.17306792073771</v>
      </c>
      <c r="S352" s="19">
        <v>194.52733987041813</v>
      </c>
      <c r="T352" s="19">
        <v>0</v>
      </c>
      <c r="U352" s="19">
        <v>0</v>
      </c>
      <c r="V352" s="19">
        <v>0</v>
      </c>
      <c r="W352" s="19">
        <v>0</v>
      </c>
      <c r="X352" s="19">
        <v>0</v>
      </c>
      <c r="Y352" s="19">
        <v>0</v>
      </c>
      <c r="Z352" s="19">
        <v>0</v>
      </c>
      <c r="AA352" s="19">
        <v>0</v>
      </c>
      <c r="AC352" s="76">
        <f t="shared" si="10"/>
        <v>4.3541408898907221</v>
      </c>
      <c r="AD352" s="77"/>
      <c r="AE352" s="72"/>
    </row>
    <row r="353" spans="2:31" x14ac:dyDescent="0.25">
      <c r="B353" s="108">
        <v>42718</v>
      </c>
      <c r="C353" s="72">
        <f t="shared" si="11"/>
        <v>349</v>
      </c>
      <c r="D353" s="19">
        <v>0</v>
      </c>
      <c r="E353" s="19">
        <v>0</v>
      </c>
      <c r="F353" s="19">
        <v>0</v>
      </c>
      <c r="G353" s="19">
        <v>0</v>
      </c>
      <c r="H353" s="19">
        <v>0</v>
      </c>
      <c r="I353" s="19">
        <v>0</v>
      </c>
      <c r="J353" s="19">
        <v>0</v>
      </c>
      <c r="K353" s="19">
        <v>25.482606388186859</v>
      </c>
      <c r="L353" s="19">
        <v>185.08861211670975</v>
      </c>
      <c r="M353" s="19">
        <v>389.99112883834255</v>
      </c>
      <c r="N353" s="19">
        <v>581.92546130545907</v>
      </c>
      <c r="O353" s="19">
        <v>716.78441376057242</v>
      </c>
      <c r="P353" s="19">
        <v>879.55058141214295</v>
      </c>
      <c r="Q353" s="19">
        <v>806.60372364193927</v>
      </c>
      <c r="R353" s="19">
        <v>574.06056617991237</v>
      </c>
      <c r="S353" s="19">
        <v>193.36855917697693</v>
      </c>
      <c r="T353" s="19">
        <v>0</v>
      </c>
      <c r="U353" s="19">
        <v>0</v>
      </c>
      <c r="V353" s="19">
        <v>0</v>
      </c>
      <c r="W353" s="19">
        <v>0</v>
      </c>
      <c r="X353" s="19">
        <v>0</v>
      </c>
      <c r="Y353" s="19">
        <v>0</v>
      </c>
      <c r="Z353" s="19">
        <v>0</v>
      </c>
      <c r="AA353" s="19">
        <v>0</v>
      </c>
      <c r="AC353" s="76">
        <f t="shared" si="10"/>
        <v>4.3528556528202422</v>
      </c>
      <c r="AD353" s="77"/>
      <c r="AE353" s="72"/>
    </row>
    <row r="354" spans="2:31" x14ac:dyDescent="0.25">
      <c r="B354" s="108">
        <v>42719</v>
      </c>
      <c r="C354" s="72">
        <f t="shared" si="11"/>
        <v>350</v>
      </c>
      <c r="D354" s="19">
        <v>0</v>
      </c>
      <c r="E354" s="19">
        <v>0</v>
      </c>
      <c r="F354" s="19">
        <v>0</v>
      </c>
      <c r="G354" s="19">
        <v>0</v>
      </c>
      <c r="H354" s="19">
        <v>0</v>
      </c>
      <c r="I354" s="19">
        <v>0</v>
      </c>
      <c r="J354" s="19">
        <v>0</v>
      </c>
      <c r="K354" s="19">
        <v>25.01457186626703</v>
      </c>
      <c r="L354" s="19">
        <v>184.12383885126812</v>
      </c>
      <c r="M354" s="19">
        <v>389.01028118808364</v>
      </c>
      <c r="N354" s="19">
        <v>579.29318605409424</v>
      </c>
      <c r="O354" s="19">
        <v>713.2409334769967</v>
      </c>
      <c r="P354" s="19">
        <v>879.33329919605103</v>
      </c>
      <c r="Q354" s="19">
        <v>806.14876596005092</v>
      </c>
      <c r="R354" s="19">
        <v>573.15996542300991</v>
      </c>
      <c r="S354" s="19">
        <v>192.40277087035213</v>
      </c>
      <c r="T354" s="19">
        <v>0</v>
      </c>
      <c r="U354" s="19">
        <v>0</v>
      </c>
      <c r="V354" s="19">
        <v>0</v>
      </c>
      <c r="W354" s="19">
        <v>0</v>
      </c>
      <c r="X354" s="19">
        <v>0</v>
      </c>
      <c r="Y354" s="19">
        <v>0</v>
      </c>
      <c r="Z354" s="19">
        <v>0</v>
      </c>
      <c r="AA354" s="19">
        <v>0</v>
      </c>
      <c r="AC354" s="76">
        <f t="shared" si="10"/>
        <v>4.3417276128861744</v>
      </c>
      <c r="AD354" s="77"/>
      <c r="AE354" s="72"/>
    </row>
    <row r="355" spans="2:31" x14ac:dyDescent="0.25">
      <c r="B355" s="108">
        <v>42720</v>
      </c>
      <c r="C355" s="72">
        <f t="shared" si="11"/>
        <v>351</v>
      </c>
      <c r="D355" s="19">
        <v>0</v>
      </c>
      <c r="E355" s="19">
        <v>0</v>
      </c>
      <c r="F355" s="19">
        <v>0</v>
      </c>
      <c r="G355" s="19">
        <v>0</v>
      </c>
      <c r="H355" s="19">
        <v>0</v>
      </c>
      <c r="I355" s="19">
        <v>0</v>
      </c>
      <c r="J355" s="19">
        <v>0</v>
      </c>
      <c r="K355" s="19">
        <v>24.880461277551266</v>
      </c>
      <c r="L355" s="19">
        <v>184.08787871208094</v>
      </c>
      <c r="M355" s="19">
        <v>387.73757576747158</v>
      </c>
      <c r="N355" s="19">
        <v>576.26959152664028</v>
      </c>
      <c r="O355" s="19">
        <v>710.29570158316142</v>
      </c>
      <c r="P355" s="19">
        <v>879.2443069539014</v>
      </c>
      <c r="Q355" s="19">
        <v>805.85571262592498</v>
      </c>
      <c r="R355" s="19">
        <v>572.47343585770727</v>
      </c>
      <c r="S355" s="19">
        <v>191.62854576640078</v>
      </c>
      <c r="T355" s="19">
        <v>0</v>
      </c>
      <c r="U355" s="19">
        <v>0</v>
      </c>
      <c r="V355" s="19">
        <v>0</v>
      </c>
      <c r="W355" s="19">
        <v>0</v>
      </c>
      <c r="X355" s="19">
        <v>0</v>
      </c>
      <c r="Y355" s="19">
        <v>0</v>
      </c>
      <c r="Z355" s="19">
        <v>0</v>
      </c>
      <c r="AA355" s="19">
        <v>0</v>
      </c>
      <c r="AC355" s="76">
        <f t="shared" si="10"/>
        <v>4.3324732100708401</v>
      </c>
      <c r="AD355" s="77"/>
      <c r="AE355" s="72"/>
    </row>
    <row r="356" spans="2:31" x14ac:dyDescent="0.25">
      <c r="B356" s="108">
        <v>42721</v>
      </c>
      <c r="C356" s="72">
        <f t="shared" si="11"/>
        <v>352</v>
      </c>
      <c r="D356" s="19">
        <v>0</v>
      </c>
      <c r="E356" s="19">
        <v>0</v>
      </c>
      <c r="F356" s="19">
        <v>0</v>
      </c>
      <c r="G356" s="19">
        <v>0</v>
      </c>
      <c r="H356" s="19">
        <v>0</v>
      </c>
      <c r="I356" s="19">
        <v>0</v>
      </c>
      <c r="J356" s="19">
        <v>0</v>
      </c>
      <c r="K356" s="19">
        <v>24.975526561373965</v>
      </c>
      <c r="L356" s="19">
        <v>185.92717803460008</v>
      </c>
      <c r="M356" s="19">
        <v>392.41660419194443</v>
      </c>
      <c r="N356" s="19">
        <v>584.29036444012365</v>
      </c>
      <c r="O356" s="19">
        <v>719.62639092500808</v>
      </c>
      <c r="P356" s="19">
        <v>879.28500741525897</v>
      </c>
      <c r="Q356" s="19">
        <v>805.7262340117037</v>
      </c>
      <c r="R356" s="19">
        <v>572.00283615568515</v>
      </c>
      <c r="S356" s="19">
        <v>191.04470248592318</v>
      </c>
      <c r="T356" s="19">
        <v>0</v>
      </c>
      <c r="U356" s="19">
        <v>0</v>
      </c>
      <c r="V356" s="19">
        <v>0</v>
      </c>
      <c r="W356" s="19">
        <v>0</v>
      </c>
      <c r="X356" s="19">
        <v>0</v>
      </c>
      <c r="Y356" s="19">
        <v>0</v>
      </c>
      <c r="Z356" s="19">
        <v>0</v>
      </c>
      <c r="AA356" s="19">
        <v>0</v>
      </c>
      <c r="AC356" s="76">
        <f t="shared" si="10"/>
        <v>4.3552948442216213</v>
      </c>
      <c r="AD356" s="77"/>
      <c r="AE356" s="72"/>
    </row>
    <row r="357" spans="2:31" x14ac:dyDescent="0.25">
      <c r="B357" s="108">
        <v>42722</v>
      </c>
      <c r="C357" s="72">
        <f t="shared" si="11"/>
        <v>353</v>
      </c>
      <c r="D357" s="19">
        <v>0</v>
      </c>
      <c r="E357" s="19">
        <v>0</v>
      </c>
      <c r="F357" s="19">
        <v>0</v>
      </c>
      <c r="G357" s="19">
        <v>0</v>
      </c>
      <c r="H357" s="19">
        <v>0</v>
      </c>
      <c r="I357" s="19">
        <v>0</v>
      </c>
      <c r="J357" s="19">
        <v>0</v>
      </c>
      <c r="K357" s="19">
        <v>24.978474817466047</v>
      </c>
      <c r="L357" s="19">
        <v>185.98615311178219</v>
      </c>
      <c r="M357" s="19">
        <v>392.96566110825682</v>
      </c>
      <c r="N357" s="19">
        <v>585.51913674390767</v>
      </c>
      <c r="O357" s="19">
        <v>720.58707083295417</v>
      </c>
      <c r="P357" s="19">
        <v>879.45655292707499</v>
      </c>
      <c r="Q357" s="19">
        <v>805.76170806450705</v>
      </c>
      <c r="R357" s="19">
        <v>571.7497113327214</v>
      </c>
      <c r="S357" s="19">
        <v>190.6503369760953</v>
      </c>
      <c r="T357" s="19">
        <v>0</v>
      </c>
      <c r="U357" s="19">
        <v>0</v>
      </c>
      <c r="V357" s="19">
        <v>0</v>
      </c>
      <c r="W357" s="19">
        <v>0</v>
      </c>
      <c r="X357" s="19">
        <v>0</v>
      </c>
      <c r="Y357" s="19">
        <v>0</v>
      </c>
      <c r="Z357" s="19">
        <v>0</v>
      </c>
      <c r="AA357" s="19">
        <v>0</v>
      </c>
      <c r="AC357" s="76">
        <f t="shared" si="10"/>
        <v>4.3576548059147653</v>
      </c>
      <c r="AD357" s="77"/>
      <c r="AE357" s="72"/>
    </row>
    <row r="358" spans="2:31" x14ac:dyDescent="0.25">
      <c r="B358" s="108">
        <v>42723</v>
      </c>
      <c r="C358" s="72">
        <f t="shared" si="11"/>
        <v>354</v>
      </c>
      <c r="D358" s="19">
        <v>0</v>
      </c>
      <c r="E358" s="19">
        <v>0</v>
      </c>
      <c r="F358" s="19">
        <v>0</v>
      </c>
      <c r="G358" s="19">
        <v>0</v>
      </c>
      <c r="H358" s="19">
        <v>0</v>
      </c>
      <c r="I358" s="19">
        <v>0</v>
      </c>
      <c r="J358" s="19">
        <v>0</v>
      </c>
      <c r="K358" s="19">
        <v>24.634264014154695</v>
      </c>
      <c r="L358" s="19">
        <v>184.82184724337688</v>
      </c>
      <c r="M358" s="19">
        <v>391.65731653699646</v>
      </c>
      <c r="N358" s="19">
        <v>584.94407659720468</v>
      </c>
      <c r="O358" s="19">
        <v>720.17882416851774</v>
      </c>
      <c r="P358" s="19">
        <v>879.75984228065488</v>
      </c>
      <c r="Q358" s="19">
        <v>805.96321680651693</v>
      </c>
      <c r="R358" s="19">
        <v>571.71529089788226</v>
      </c>
      <c r="S358" s="19">
        <v>190.44484646768262</v>
      </c>
      <c r="T358" s="19">
        <v>0</v>
      </c>
      <c r="U358" s="19">
        <v>0</v>
      </c>
      <c r="V358" s="19">
        <v>0</v>
      </c>
      <c r="W358" s="19">
        <v>0</v>
      </c>
      <c r="X358" s="19">
        <v>0</v>
      </c>
      <c r="Y358" s="19">
        <v>0</v>
      </c>
      <c r="Z358" s="19">
        <v>0</v>
      </c>
      <c r="AA358" s="19">
        <v>0</v>
      </c>
      <c r="AC358" s="76">
        <f t="shared" si="10"/>
        <v>4.3541195250129867</v>
      </c>
      <c r="AD358" s="77"/>
      <c r="AE358" s="72"/>
    </row>
    <row r="359" spans="2:31" x14ac:dyDescent="0.25">
      <c r="B359" s="108">
        <v>42724</v>
      </c>
      <c r="C359" s="72">
        <f t="shared" si="11"/>
        <v>355</v>
      </c>
      <c r="D359" s="19">
        <v>0</v>
      </c>
      <c r="E359" s="19">
        <v>0</v>
      </c>
      <c r="F359" s="19">
        <v>0</v>
      </c>
      <c r="G359" s="19">
        <v>0</v>
      </c>
      <c r="H359" s="19">
        <v>0</v>
      </c>
      <c r="I359" s="19">
        <v>0</v>
      </c>
      <c r="J359" s="19">
        <v>0</v>
      </c>
      <c r="K359" s="19">
        <v>24.866719652887099</v>
      </c>
      <c r="L359" s="19">
        <v>186.26062289903101</v>
      </c>
      <c r="M359" s="19">
        <v>393.54340586910166</v>
      </c>
      <c r="N359" s="19">
        <v>586.65596126172613</v>
      </c>
      <c r="O359" s="19">
        <v>720.20105236507652</v>
      </c>
      <c r="P359" s="19">
        <v>880.1955181360612</v>
      </c>
      <c r="Q359" s="19">
        <v>806.33154348672565</v>
      </c>
      <c r="R359" s="19">
        <v>571.9004872420719</v>
      </c>
      <c r="S359" s="19">
        <v>190.42794753429718</v>
      </c>
      <c r="T359" s="19">
        <v>0</v>
      </c>
      <c r="U359" s="19">
        <v>0</v>
      </c>
      <c r="V359" s="19">
        <v>0</v>
      </c>
      <c r="W359" s="19">
        <v>0</v>
      </c>
      <c r="X359" s="19">
        <v>0</v>
      </c>
      <c r="Y359" s="19">
        <v>0</v>
      </c>
      <c r="Z359" s="19">
        <v>0</v>
      </c>
      <c r="AA359" s="19">
        <v>0</v>
      </c>
      <c r="AC359" s="76">
        <f t="shared" si="10"/>
        <v>4.3603832584469782</v>
      </c>
      <c r="AD359" s="77"/>
      <c r="AE359" s="72"/>
    </row>
    <row r="360" spans="2:31" x14ac:dyDescent="0.25">
      <c r="B360" s="108">
        <v>42725</v>
      </c>
      <c r="C360" s="72">
        <f t="shared" si="11"/>
        <v>356</v>
      </c>
      <c r="D360" s="19">
        <v>0</v>
      </c>
      <c r="E360" s="19">
        <v>0</v>
      </c>
      <c r="F360" s="19">
        <v>0</v>
      </c>
      <c r="G360" s="19">
        <v>0</v>
      </c>
      <c r="H360" s="19">
        <v>0</v>
      </c>
      <c r="I360" s="19">
        <v>0</v>
      </c>
      <c r="J360" s="19">
        <v>0</v>
      </c>
      <c r="K360" s="19">
        <v>24.830507177267027</v>
      </c>
      <c r="L360" s="19">
        <v>186.56665330736411</v>
      </c>
      <c r="M360" s="19">
        <v>394.01045915991813</v>
      </c>
      <c r="N360" s="19">
        <v>588.06000610371223</v>
      </c>
      <c r="O360" s="19">
        <v>726.20511169474378</v>
      </c>
      <c r="P360" s="19">
        <v>880.76396505208936</v>
      </c>
      <c r="Q360" s="19">
        <v>806.867170390463</v>
      </c>
      <c r="R360" s="19">
        <v>572.3058942434858</v>
      </c>
      <c r="S360" s="19">
        <v>190.59968799739957</v>
      </c>
      <c r="T360" s="19">
        <v>0</v>
      </c>
      <c r="U360" s="19">
        <v>0</v>
      </c>
      <c r="V360" s="19">
        <v>0</v>
      </c>
      <c r="W360" s="19">
        <v>0</v>
      </c>
      <c r="X360" s="19">
        <v>0</v>
      </c>
      <c r="Y360" s="19">
        <v>0</v>
      </c>
      <c r="Z360" s="19">
        <v>0</v>
      </c>
      <c r="AA360" s="19">
        <v>0</v>
      </c>
      <c r="AC360" s="76">
        <f t="shared" si="10"/>
        <v>4.3702094551264423</v>
      </c>
      <c r="AD360" s="77"/>
      <c r="AE360" s="72"/>
    </row>
    <row r="361" spans="2:31" x14ac:dyDescent="0.25">
      <c r="B361" s="108">
        <v>42726</v>
      </c>
      <c r="C361" s="72">
        <f t="shared" si="11"/>
        <v>357</v>
      </c>
      <c r="D361" s="19">
        <v>0</v>
      </c>
      <c r="E361" s="19">
        <v>0</v>
      </c>
      <c r="F361" s="19">
        <v>0</v>
      </c>
      <c r="G361" s="19">
        <v>0</v>
      </c>
      <c r="H361" s="19">
        <v>0</v>
      </c>
      <c r="I361" s="19">
        <v>0</v>
      </c>
      <c r="J361" s="19">
        <v>0</v>
      </c>
      <c r="K361" s="19">
        <v>24.78693317785849</v>
      </c>
      <c r="L361" s="19">
        <v>185.12717802990849</v>
      </c>
      <c r="M361" s="19">
        <v>391.55943964631399</v>
      </c>
      <c r="N361" s="19">
        <v>584.91713938260034</v>
      </c>
      <c r="O361" s="19">
        <v>721.66704250679777</v>
      </c>
      <c r="P361" s="19">
        <v>881.46530812798494</v>
      </c>
      <c r="Q361" s="19">
        <v>807.57027731159826</v>
      </c>
      <c r="R361" s="19">
        <v>572.9317860756006</v>
      </c>
      <c r="S361" s="19">
        <v>190.96045250334325</v>
      </c>
      <c r="T361" s="19">
        <v>0</v>
      </c>
      <c r="U361" s="19">
        <v>0</v>
      </c>
      <c r="V361" s="19">
        <v>0</v>
      </c>
      <c r="W361" s="19">
        <v>0</v>
      </c>
      <c r="X361" s="19">
        <v>0</v>
      </c>
      <c r="Y361" s="19">
        <v>0</v>
      </c>
      <c r="Z361" s="19">
        <v>0</v>
      </c>
      <c r="AA361" s="19">
        <v>0</v>
      </c>
      <c r="AC361" s="76">
        <f t="shared" si="10"/>
        <v>4.3609855567620048</v>
      </c>
      <c r="AD361" s="77"/>
      <c r="AE361" s="72"/>
    </row>
    <row r="362" spans="2:31" x14ac:dyDescent="0.25">
      <c r="B362" s="108">
        <v>42727</v>
      </c>
      <c r="C362" s="72">
        <f t="shared" si="11"/>
        <v>358</v>
      </c>
      <c r="D362" s="19">
        <v>0</v>
      </c>
      <c r="E362" s="19">
        <v>0</v>
      </c>
      <c r="F362" s="19">
        <v>0</v>
      </c>
      <c r="G362" s="19">
        <v>0</v>
      </c>
      <c r="H362" s="19">
        <v>0</v>
      </c>
      <c r="I362" s="19">
        <v>0</v>
      </c>
      <c r="J362" s="19">
        <v>0</v>
      </c>
      <c r="K362" s="19">
        <v>24.793308915620401</v>
      </c>
      <c r="L362" s="19">
        <v>185.06920576682012</v>
      </c>
      <c r="M362" s="19">
        <v>390.74446895119769</v>
      </c>
      <c r="N362" s="19">
        <v>583.48788662107881</v>
      </c>
      <c r="O362" s="19">
        <v>720.37530094989654</v>
      </c>
      <c r="P362" s="19">
        <v>882.29941226111373</v>
      </c>
      <c r="Q362" s="19">
        <v>808.44074069116243</v>
      </c>
      <c r="R362" s="19">
        <v>573.77811621178455</v>
      </c>
      <c r="S362" s="19">
        <v>191.5109616848622</v>
      </c>
      <c r="T362" s="19">
        <v>0</v>
      </c>
      <c r="U362" s="19">
        <v>0</v>
      </c>
      <c r="V362" s="19">
        <v>0</v>
      </c>
      <c r="W362" s="19">
        <v>0</v>
      </c>
      <c r="X362" s="19">
        <v>0</v>
      </c>
      <c r="Y362" s="19">
        <v>0</v>
      </c>
      <c r="Z362" s="19">
        <v>0</v>
      </c>
      <c r="AA362" s="19">
        <v>0</v>
      </c>
      <c r="AC362" s="76">
        <f t="shared" si="10"/>
        <v>4.3604994020535361</v>
      </c>
      <c r="AD362" s="77"/>
      <c r="AE362" s="72"/>
    </row>
    <row r="363" spans="2:31" x14ac:dyDescent="0.25">
      <c r="B363" s="108">
        <v>42728</v>
      </c>
      <c r="C363" s="72">
        <f t="shared" si="11"/>
        <v>359</v>
      </c>
      <c r="D363" s="19">
        <v>0</v>
      </c>
      <c r="E363" s="19">
        <v>0</v>
      </c>
      <c r="F363" s="19">
        <v>0</v>
      </c>
      <c r="G363" s="19">
        <v>0</v>
      </c>
      <c r="H363" s="19">
        <v>0</v>
      </c>
      <c r="I363" s="19">
        <v>0</v>
      </c>
      <c r="J363" s="19">
        <v>0</v>
      </c>
      <c r="K363" s="19">
        <v>24.980597989001964</v>
      </c>
      <c r="L363" s="19">
        <v>185.50383725097325</v>
      </c>
      <c r="M363" s="19">
        <v>392.27069272162436</v>
      </c>
      <c r="N363" s="19">
        <v>586.20860747584766</v>
      </c>
      <c r="O363" s="19">
        <v>724.90359094400003</v>
      </c>
      <c r="P363" s="19">
        <v>883.26588202282232</v>
      </c>
      <c r="Q363" s="19">
        <v>809.47813342494806</v>
      </c>
      <c r="R363" s="19">
        <v>574.8445166293842</v>
      </c>
      <c r="S363" s="19">
        <v>192.25226490730066</v>
      </c>
      <c r="T363" s="19">
        <v>0</v>
      </c>
      <c r="U363" s="19">
        <v>0</v>
      </c>
      <c r="V363" s="19">
        <v>0</v>
      </c>
      <c r="W363" s="19">
        <v>0</v>
      </c>
      <c r="X363" s="19">
        <v>0</v>
      </c>
      <c r="Y363" s="19">
        <v>0</v>
      </c>
      <c r="Z363" s="19">
        <v>0</v>
      </c>
      <c r="AA363" s="19">
        <v>0</v>
      </c>
      <c r="AC363" s="76">
        <f t="shared" si="10"/>
        <v>4.373708123365903</v>
      </c>
      <c r="AD363" s="77"/>
      <c r="AE363" s="72"/>
    </row>
    <row r="364" spans="2:31" x14ac:dyDescent="0.25">
      <c r="B364" s="108">
        <v>42729</v>
      </c>
      <c r="C364" s="72">
        <f t="shared" si="11"/>
        <v>360</v>
      </c>
      <c r="D364" s="19">
        <v>0</v>
      </c>
      <c r="E364" s="19">
        <v>0</v>
      </c>
      <c r="F364" s="19">
        <v>0</v>
      </c>
      <c r="G364" s="19">
        <v>0</v>
      </c>
      <c r="H364" s="19">
        <v>0</v>
      </c>
      <c r="I364" s="19">
        <v>0</v>
      </c>
      <c r="J364" s="19">
        <v>0</v>
      </c>
      <c r="K364" s="19">
        <v>25.190072236270868</v>
      </c>
      <c r="L364" s="19">
        <v>185.68641715755129</v>
      </c>
      <c r="M364" s="19">
        <v>393.59934946573912</v>
      </c>
      <c r="N364" s="19">
        <v>587.17749945663195</v>
      </c>
      <c r="O364" s="19">
        <v>723.36305869649391</v>
      </c>
      <c r="P364" s="19">
        <v>884.36406215274985</v>
      </c>
      <c r="Q364" s="19">
        <v>810.68172534150881</v>
      </c>
      <c r="R364" s="19">
        <v>576.13029722484657</v>
      </c>
      <c r="S364" s="19">
        <v>193.18572668753845</v>
      </c>
      <c r="T364" s="19">
        <v>0</v>
      </c>
      <c r="U364" s="19">
        <v>0</v>
      </c>
      <c r="V364" s="19">
        <v>0</v>
      </c>
      <c r="W364" s="19">
        <v>0</v>
      </c>
      <c r="X364" s="19">
        <v>0</v>
      </c>
      <c r="Y364" s="19">
        <v>0</v>
      </c>
      <c r="Z364" s="19">
        <v>0</v>
      </c>
      <c r="AA364" s="19">
        <v>0</v>
      </c>
      <c r="AC364" s="76">
        <f t="shared" si="10"/>
        <v>4.3793782084193307</v>
      </c>
      <c r="AD364" s="77"/>
      <c r="AE364" s="72"/>
    </row>
    <row r="365" spans="2:31" x14ac:dyDescent="0.25">
      <c r="B365" s="108">
        <v>42730</v>
      </c>
      <c r="C365" s="72">
        <f t="shared" si="11"/>
        <v>361</v>
      </c>
      <c r="D365" s="19">
        <v>0</v>
      </c>
      <c r="E365" s="19">
        <v>0</v>
      </c>
      <c r="F365" s="19">
        <v>0</v>
      </c>
      <c r="G365" s="19">
        <v>0</v>
      </c>
      <c r="H365" s="19">
        <v>0</v>
      </c>
      <c r="I365" s="19">
        <v>0</v>
      </c>
      <c r="J365" s="19">
        <v>0</v>
      </c>
      <c r="K365" s="19">
        <v>25.542809874987814</v>
      </c>
      <c r="L365" s="19">
        <v>186.55961589892831</v>
      </c>
      <c r="M365" s="19">
        <v>394.33231463272836</v>
      </c>
      <c r="N365" s="19">
        <v>587.74387367839336</v>
      </c>
      <c r="O365" s="19">
        <v>724.3338917715929</v>
      </c>
      <c r="P365" s="19">
        <v>885.59303866984487</v>
      </c>
      <c r="Q365" s="19">
        <v>812.05048435077413</v>
      </c>
      <c r="R365" s="19">
        <v>577.63444545991456</v>
      </c>
      <c r="S365" s="19">
        <v>194.31300695915144</v>
      </c>
      <c r="T365" s="19">
        <v>0</v>
      </c>
      <c r="U365" s="19">
        <v>0</v>
      </c>
      <c r="V365" s="19">
        <v>0</v>
      </c>
      <c r="W365" s="19">
        <v>0</v>
      </c>
      <c r="X365" s="19">
        <v>0</v>
      </c>
      <c r="Y365" s="19">
        <v>0</v>
      </c>
      <c r="Z365" s="19">
        <v>0</v>
      </c>
      <c r="AA365" s="19">
        <v>0</v>
      </c>
      <c r="AC365" s="76">
        <f t="shared" si="10"/>
        <v>4.3881034812963158</v>
      </c>
      <c r="AD365" s="77"/>
      <c r="AE365" s="72"/>
    </row>
    <row r="366" spans="2:31" x14ac:dyDescent="0.25">
      <c r="B366" s="108">
        <v>42731</v>
      </c>
      <c r="C366" s="72">
        <f t="shared" si="11"/>
        <v>362</v>
      </c>
      <c r="D366" s="19">
        <v>0</v>
      </c>
      <c r="E366" s="19">
        <v>0</v>
      </c>
      <c r="F366" s="19">
        <v>0</v>
      </c>
      <c r="G366" s="19">
        <v>0</v>
      </c>
      <c r="H366" s="19">
        <v>0</v>
      </c>
      <c r="I366" s="19">
        <v>0</v>
      </c>
      <c r="J366" s="19">
        <v>0</v>
      </c>
      <c r="K366" s="19">
        <v>25.840836201137098</v>
      </c>
      <c r="L366" s="19">
        <v>187.33843563757046</v>
      </c>
      <c r="M366" s="19">
        <v>395.65710577167266</v>
      </c>
      <c r="N366" s="19">
        <v>590.86249053691245</v>
      </c>
      <c r="O366" s="19">
        <v>729.15041014824021</v>
      </c>
      <c r="P366" s="19">
        <v>886.95164059637204</v>
      </c>
      <c r="Q366" s="19">
        <v>813.5830782622163</v>
      </c>
      <c r="R366" s="19">
        <v>579.35562626689625</v>
      </c>
      <c r="S366" s="19">
        <v>195.63603543914596</v>
      </c>
      <c r="T366" s="19">
        <v>0</v>
      </c>
      <c r="U366" s="19">
        <v>0</v>
      </c>
      <c r="V366" s="19">
        <v>0</v>
      </c>
      <c r="W366" s="19">
        <v>0</v>
      </c>
      <c r="X366" s="19">
        <v>0</v>
      </c>
      <c r="Y366" s="19">
        <v>0</v>
      </c>
      <c r="Z366" s="19">
        <v>0</v>
      </c>
      <c r="AA366" s="19">
        <v>0</v>
      </c>
      <c r="AC366" s="76">
        <f t="shared" si="10"/>
        <v>4.4043756588601637</v>
      </c>
      <c r="AD366" s="77"/>
      <c r="AE366" s="72"/>
    </row>
    <row r="367" spans="2:31" x14ac:dyDescent="0.25">
      <c r="B367" s="108">
        <v>42732</v>
      </c>
      <c r="C367" s="72">
        <f t="shared" si="11"/>
        <v>363</v>
      </c>
      <c r="D367" s="19">
        <v>0</v>
      </c>
      <c r="E367" s="19">
        <v>0</v>
      </c>
      <c r="F367" s="19">
        <v>0</v>
      </c>
      <c r="G367" s="19">
        <v>0</v>
      </c>
      <c r="H367" s="19">
        <v>0</v>
      </c>
      <c r="I367" s="19">
        <v>0</v>
      </c>
      <c r="J367" s="19">
        <v>0</v>
      </c>
      <c r="K367" s="19">
        <v>26.190981723929493</v>
      </c>
      <c r="L367" s="19">
        <v>188.01114984251981</v>
      </c>
      <c r="M367" s="19">
        <v>395.93930828676531</v>
      </c>
      <c r="N367" s="19">
        <v>589.51408388344964</v>
      </c>
      <c r="O367" s="19">
        <v>731.11792948482753</v>
      </c>
      <c r="P367" s="19">
        <v>888.43844228920011</v>
      </c>
      <c r="Q367" s="19">
        <v>815.2778772702269</v>
      </c>
      <c r="R367" s="19">
        <v>581.29218224828435</v>
      </c>
      <c r="S367" s="19">
        <v>197.15698042814</v>
      </c>
      <c r="T367" s="19">
        <v>0</v>
      </c>
      <c r="U367" s="19">
        <v>0</v>
      </c>
      <c r="V367" s="19">
        <v>0</v>
      </c>
      <c r="W367" s="19">
        <v>0</v>
      </c>
      <c r="X367" s="19">
        <v>0</v>
      </c>
      <c r="Y367" s="19">
        <v>0</v>
      </c>
      <c r="Z367" s="19">
        <v>0</v>
      </c>
      <c r="AA367" s="19">
        <v>0</v>
      </c>
      <c r="AC367" s="76">
        <f t="shared" si="10"/>
        <v>4.4129389354573423</v>
      </c>
      <c r="AD367" s="77"/>
      <c r="AE367" s="72"/>
    </row>
    <row r="368" spans="2:31" x14ac:dyDescent="0.25">
      <c r="B368" s="108">
        <v>42733</v>
      </c>
      <c r="C368" s="72">
        <f t="shared" si="11"/>
        <v>364</v>
      </c>
      <c r="D368" s="19">
        <v>0</v>
      </c>
      <c r="E368" s="19">
        <v>0</v>
      </c>
      <c r="F368" s="19">
        <v>0</v>
      </c>
      <c r="G368" s="19">
        <v>0</v>
      </c>
      <c r="H368" s="19">
        <v>0</v>
      </c>
      <c r="I368" s="19">
        <v>0</v>
      </c>
      <c r="J368" s="19">
        <v>0</v>
      </c>
      <c r="K368" s="19">
        <v>27.057225344947433</v>
      </c>
      <c r="L368" s="19">
        <v>190.707199356811</v>
      </c>
      <c r="M368" s="19">
        <v>400.39281806852603</v>
      </c>
      <c r="N368" s="19">
        <v>597.72387996282248</v>
      </c>
      <c r="O368" s="19">
        <v>733.58590902680453</v>
      </c>
      <c r="P368" s="19">
        <v>890.05176637069508</v>
      </c>
      <c r="Q368" s="19">
        <v>817.13295710288298</v>
      </c>
      <c r="R368" s="19">
        <v>583.44213421232428</v>
      </c>
      <c r="S368" s="19">
        <v>198.87821244611874</v>
      </c>
      <c r="T368" s="19">
        <v>0</v>
      </c>
      <c r="U368" s="19">
        <v>0</v>
      </c>
      <c r="V368" s="19">
        <v>0</v>
      </c>
      <c r="W368" s="19">
        <v>0</v>
      </c>
      <c r="X368" s="19">
        <v>0</v>
      </c>
      <c r="Y368" s="19">
        <v>0</v>
      </c>
      <c r="Z368" s="19">
        <v>0</v>
      </c>
      <c r="AA368" s="19">
        <v>0</v>
      </c>
      <c r="AC368" s="76">
        <f t="shared" si="10"/>
        <v>4.4389721018919328</v>
      </c>
      <c r="AD368" s="77"/>
      <c r="AE368" s="72"/>
    </row>
    <row r="369" spans="2:31" x14ac:dyDescent="0.25">
      <c r="B369" s="108">
        <v>42734</v>
      </c>
      <c r="C369" s="72">
        <f t="shared" si="11"/>
        <v>365</v>
      </c>
      <c r="D369" s="19">
        <v>0</v>
      </c>
      <c r="E369" s="19">
        <v>0</v>
      </c>
      <c r="F369" s="19">
        <v>0</v>
      </c>
      <c r="G369" s="19">
        <v>0</v>
      </c>
      <c r="H369" s="19">
        <v>0</v>
      </c>
      <c r="I369" s="19">
        <v>0</v>
      </c>
      <c r="J369" s="19">
        <v>0</v>
      </c>
      <c r="K369" s="19">
        <v>26.921300633536784</v>
      </c>
      <c r="L369" s="19">
        <v>189.37213802244372</v>
      </c>
      <c r="M369" s="19">
        <v>398.06272516895433</v>
      </c>
      <c r="N369" s="19">
        <v>593.43511089857304</v>
      </c>
      <c r="O369" s="19">
        <v>730.23727447261911</v>
      </c>
      <c r="P369" s="19">
        <v>891.78968724955791</v>
      </c>
      <c r="Q369" s="19">
        <v>819.14610282879426</v>
      </c>
      <c r="R369" s="19">
        <v>585.80318209138625</v>
      </c>
      <c r="S369" s="19">
        <v>200.80226316922545</v>
      </c>
      <c r="T369" s="19">
        <v>0</v>
      </c>
      <c r="U369" s="19">
        <v>0</v>
      </c>
      <c r="V369" s="19">
        <v>0</v>
      </c>
      <c r="W369" s="19">
        <v>0</v>
      </c>
      <c r="X369" s="19">
        <v>0</v>
      </c>
      <c r="Y369" s="19">
        <v>0</v>
      </c>
      <c r="Z369" s="19">
        <v>0</v>
      </c>
      <c r="AA369" s="19">
        <v>0</v>
      </c>
      <c r="AC369" s="76">
        <f t="shared" si="10"/>
        <v>4.4355697845350912</v>
      </c>
      <c r="AD369" s="77"/>
      <c r="AE369" s="72"/>
    </row>
    <row r="370" spans="2:31" x14ac:dyDescent="0.25">
      <c r="B370" s="108">
        <v>42735</v>
      </c>
      <c r="C370" s="72">
        <f t="shared" si="11"/>
        <v>366</v>
      </c>
      <c r="D370" s="78">
        <v>0</v>
      </c>
      <c r="E370" s="78">
        <v>0</v>
      </c>
      <c r="F370" s="78">
        <v>0</v>
      </c>
      <c r="G370" s="78">
        <v>0</v>
      </c>
      <c r="H370" s="78">
        <v>0</v>
      </c>
      <c r="I370" s="78">
        <v>0</v>
      </c>
      <c r="J370" s="78">
        <v>0</v>
      </c>
      <c r="K370" s="78">
        <v>0</v>
      </c>
      <c r="L370" s="78">
        <v>2</v>
      </c>
      <c r="M370" s="78">
        <v>48</v>
      </c>
      <c r="N370" s="78">
        <v>98</v>
      </c>
      <c r="O370" s="78">
        <v>452</v>
      </c>
      <c r="P370" s="78">
        <v>453</v>
      </c>
      <c r="Q370" s="78">
        <v>374</v>
      </c>
      <c r="R370" s="78">
        <v>406</v>
      </c>
      <c r="S370" s="78">
        <v>308</v>
      </c>
      <c r="T370" s="78">
        <v>168</v>
      </c>
      <c r="U370" s="78">
        <v>32</v>
      </c>
      <c r="V370" s="78">
        <v>0</v>
      </c>
      <c r="W370" s="78">
        <v>0</v>
      </c>
      <c r="X370" s="78">
        <v>0</v>
      </c>
      <c r="Y370" s="78">
        <v>0</v>
      </c>
      <c r="Z370" s="78">
        <v>0</v>
      </c>
      <c r="AA370" s="78">
        <v>0</v>
      </c>
      <c r="AC370" s="76">
        <f t="shared" si="10"/>
        <v>2.3410000000000002</v>
      </c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4:AC370"/>
  <sheetViews>
    <sheetView workbookViewId="0">
      <selection activeCell="P16" sqref="P16"/>
    </sheetView>
  </sheetViews>
  <sheetFormatPr defaultColWidth="9.140625" defaultRowHeight="15" x14ac:dyDescent="0.25"/>
  <cols>
    <col min="1" max="2" width="11" style="2" customWidth="1"/>
    <col min="3" max="3" width="11" style="3" customWidth="1"/>
    <col min="4" max="27" width="5" style="2" bestFit="1" customWidth="1"/>
    <col min="28" max="28" width="9.140625" style="2"/>
    <col min="29" max="29" width="10.5703125" style="2" bestFit="1" customWidth="1"/>
    <col min="30" max="16384" width="9.140625" style="2"/>
  </cols>
  <sheetData>
    <row r="4" spans="2:29" s="3" customFormat="1" x14ac:dyDescent="0.25">
      <c r="D4" s="3">
        <v>1</v>
      </c>
      <c r="E4" s="3">
        <v>2</v>
      </c>
      <c r="F4" s="3">
        <v>3</v>
      </c>
      <c r="G4" s="3">
        <v>4</v>
      </c>
      <c r="H4" s="3">
        <v>5</v>
      </c>
      <c r="I4" s="3">
        <v>6</v>
      </c>
      <c r="J4" s="3">
        <v>7</v>
      </c>
      <c r="K4" s="3">
        <v>8</v>
      </c>
      <c r="L4" s="3">
        <v>9</v>
      </c>
      <c r="M4" s="3">
        <v>10</v>
      </c>
      <c r="N4" s="3">
        <v>11</v>
      </c>
      <c r="O4" s="3">
        <v>12</v>
      </c>
      <c r="P4" s="3">
        <v>13</v>
      </c>
      <c r="Q4" s="3">
        <v>14</v>
      </c>
      <c r="R4" s="3">
        <v>15</v>
      </c>
      <c r="S4" s="3">
        <v>16</v>
      </c>
      <c r="T4" s="3">
        <v>17</v>
      </c>
      <c r="U4" s="3">
        <v>18</v>
      </c>
      <c r="V4" s="3">
        <v>19</v>
      </c>
      <c r="W4" s="3">
        <v>20</v>
      </c>
      <c r="X4" s="3">
        <v>21</v>
      </c>
      <c r="Y4" s="3">
        <v>22</v>
      </c>
      <c r="Z4" s="3">
        <v>23</v>
      </c>
      <c r="AA4" s="3">
        <v>24</v>
      </c>
      <c r="AC4" s="3" t="s">
        <v>101</v>
      </c>
    </row>
    <row r="5" spans="2:29" x14ac:dyDescent="0.25">
      <c r="B5" s="4">
        <v>42370</v>
      </c>
      <c r="C5" s="3">
        <v>1</v>
      </c>
      <c r="D5" s="2" t="s">
        <v>77</v>
      </c>
      <c r="E5" s="2">
        <v>7.9</v>
      </c>
      <c r="F5" s="2">
        <v>8</v>
      </c>
      <c r="G5" s="2">
        <v>8.5</v>
      </c>
      <c r="H5" s="2">
        <v>6.4</v>
      </c>
      <c r="I5" s="2">
        <v>6.7</v>
      </c>
      <c r="J5" s="2">
        <v>7.8</v>
      </c>
      <c r="K5" s="2">
        <v>8.1999999999999993</v>
      </c>
      <c r="L5" s="2">
        <v>8.1999999999999993</v>
      </c>
      <c r="M5" s="2">
        <v>9.3000000000000007</v>
      </c>
      <c r="N5" s="2">
        <v>10.8</v>
      </c>
      <c r="O5" s="2">
        <v>12.7</v>
      </c>
      <c r="P5" s="2">
        <v>14.5</v>
      </c>
      <c r="Q5" s="2">
        <v>14.7</v>
      </c>
      <c r="R5" s="2">
        <v>14.9</v>
      </c>
      <c r="S5" s="2">
        <v>14.8</v>
      </c>
      <c r="T5" s="2">
        <v>14.2</v>
      </c>
      <c r="U5" s="2">
        <v>13.4</v>
      </c>
      <c r="V5" s="2">
        <v>11.9</v>
      </c>
      <c r="W5" s="2">
        <v>10.5</v>
      </c>
      <c r="X5" s="2">
        <v>11.6</v>
      </c>
      <c r="Y5" s="2">
        <v>11.9</v>
      </c>
      <c r="Z5" s="2">
        <v>11.7</v>
      </c>
      <c r="AA5" s="2">
        <v>11.9</v>
      </c>
      <c r="AC5" s="5">
        <f>(SUM((D5:AA5))/24)</f>
        <v>10.4375</v>
      </c>
    </row>
    <row r="6" spans="2:29" x14ac:dyDescent="0.25">
      <c r="B6" s="4">
        <v>42371</v>
      </c>
      <c r="C6" s="3">
        <v>2</v>
      </c>
      <c r="D6" s="2">
        <v>11.9</v>
      </c>
      <c r="E6" s="2">
        <v>12</v>
      </c>
      <c r="F6" s="2">
        <v>12.2</v>
      </c>
      <c r="G6" s="2">
        <v>11.4</v>
      </c>
      <c r="H6" s="2">
        <v>10.8</v>
      </c>
      <c r="I6" s="2">
        <v>9.6</v>
      </c>
      <c r="J6" s="2">
        <v>9.3000000000000007</v>
      </c>
      <c r="K6" s="2">
        <v>8.1999999999999993</v>
      </c>
      <c r="L6" s="2">
        <v>9.9</v>
      </c>
      <c r="M6" s="2">
        <v>11.5</v>
      </c>
      <c r="N6" s="2">
        <v>13.4</v>
      </c>
      <c r="O6" s="2">
        <v>12.6</v>
      </c>
      <c r="P6" s="2">
        <v>12</v>
      </c>
      <c r="Q6" s="2">
        <v>13.1</v>
      </c>
      <c r="R6" s="2">
        <v>15.1</v>
      </c>
      <c r="S6" s="2">
        <v>15.4</v>
      </c>
      <c r="T6" s="2">
        <v>15.3</v>
      </c>
      <c r="U6" s="2">
        <v>13.7</v>
      </c>
      <c r="V6" s="2">
        <v>11.4</v>
      </c>
      <c r="W6" s="2">
        <v>10.5</v>
      </c>
      <c r="X6" s="2">
        <v>9.9</v>
      </c>
      <c r="Y6" s="2">
        <v>11.6</v>
      </c>
      <c r="Z6" s="2">
        <v>12.1</v>
      </c>
      <c r="AA6" s="2">
        <v>10.6</v>
      </c>
      <c r="AC6" s="5">
        <f t="shared" ref="AC6:AC69" si="0">(SUM((D6:AA6))/24)</f>
        <v>11.812500000000002</v>
      </c>
    </row>
    <row r="7" spans="2:29" x14ac:dyDescent="0.25">
      <c r="B7" s="4">
        <v>42372</v>
      </c>
      <c r="C7" s="3">
        <v>3</v>
      </c>
      <c r="D7" s="2">
        <v>10.199999999999999</v>
      </c>
      <c r="E7" s="2">
        <v>9.6</v>
      </c>
      <c r="F7" s="2">
        <v>9.9</v>
      </c>
      <c r="G7" s="2">
        <v>9.6</v>
      </c>
      <c r="H7" s="2">
        <v>8.4</v>
      </c>
      <c r="I7" s="2">
        <v>6.7</v>
      </c>
      <c r="J7" s="2">
        <v>4.0999999999999996</v>
      </c>
      <c r="K7" s="2">
        <v>5.8</v>
      </c>
      <c r="L7" s="2">
        <v>7</v>
      </c>
      <c r="M7" s="2">
        <v>7.3</v>
      </c>
      <c r="N7" s="2">
        <v>10.5</v>
      </c>
      <c r="O7" s="2">
        <v>12</v>
      </c>
      <c r="P7" s="2">
        <v>13</v>
      </c>
      <c r="Q7" s="2">
        <v>12.7</v>
      </c>
      <c r="R7" s="2">
        <v>13.9</v>
      </c>
      <c r="S7" s="2">
        <v>14.1</v>
      </c>
      <c r="T7" s="2">
        <v>13.6</v>
      </c>
      <c r="U7" s="2">
        <v>12.4</v>
      </c>
      <c r="V7" s="2">
        <v>11.8</v>
      </c>
      <c r="W7" s="2">
        <v>10.199999999999999</v>
      </c>
      <c r="X7" s="2">
        <v>10.199999999999999</v>
      </c>
      <c r="Y7" s="2">
        <v>8.8000000000000007</v>
      </c>
      <c r="Z7" s="2">
        <v>8.3000000000000007</v>
      </c>
      <c r="AA7" s="2">
        <v>8.4</v>
      </c>
      <c r="AC7" s="5">
        <f t="shared" si="0"/>
        <v>9.9375</v>
      </c>
    </row>
    <row r="8" spans="2:29" x14ac:dyDescent="0.25">
      <c r="B8" s="4">
        <v>42373</v>
      </c>
      <c r="C8" s="3">
        <v>4</v>
      </c>
      <c r="D8" s="2">
        <v>7.7</v>
      </c>
      <c r="E8" s="2">
        <v>7.5</v>
      </c>
      <c r="F8" s="2">
        <v>8.8000000000000007</v>
      </c>
      <c r="G8" s="2">
        <v>10</v>
      </c>
      <c r="H8" s="2">
        <v>9.9</v>
      </c>
      <c r="I8" s="2">
        <v>10.9</v>
      </c>
      <c r="J8" s="2">
        <v>11.8</v>
      </c>
      <c r="K8" s="2">
        <v>12.1</v>
      </c>
      <c r="L8" s="2">
        <v>12.6</v>
      </c>
      <c r="M8" s="2">
        <v>11.5</v>
      </c>
      <c r="N8" s="2">
        <v>11.4</v>
      </c>
      <c r="O8" s="2">
        <v>11.4</v>
      </c>
      <c r="P8" s="2">
        <v>12</v>
      </c>
      <c r="Q8" s="2">
        <v>12.9</v>
      </c>
      <c r="R8" s="2">
        <v>13.4</v>
      </c>
      <c r="S8" s="2">
        <v>13.3</v>
      </c>
      <c r="T8" s="2">
        <v>12.8</v>
      </c>
      <c r="U8" s="2">
        <v>12.3</v>
      </c>
      <c r="V8" s="2">
        <v>10.7</v>
      </c>
      <c r="W8" s="2">
        <v>10.1</v>
      </c>
      <c r="X8" s="2">
        <v>9.6999999999999993</v>
      </c>
      <c r="Y8" s="2">
        <v>10.5</v>
      </c>
      <c r="Z8" s="2">
        <v>11.1</v>
      </c>
      <c r="AA8" s="2">
        <v>10.9</v>
      </c>
      <c r="AC8" s="5">
        <f>(SUM((D8:AA8))/24)</f>
        <v>11.054166666666667</v>
      </c>
    </row>
    <row r="9" spans="2:29" x14ac:dyDescent="0.25">
      <c r="B9" s="4">
        <v>42374</v>
      </c>
      <c r="C9" s="3">
        <v>5</v>
      </c>
      <c r="D9" s="2">
        <v>10.8</v>
      </c>
      <c r="E9" s="2">
        <v>10.7</v>
      </c>
      <c r="F9" s="2">
        <v>10.9</v>
      </c>
      <c r="G9" s="2">
        <v>11.2</v>
      </c>
      <c r="H9" s="2">
        <v>11.4</v>
      </c>
      <c r="I9" s="2">
        <v>10.3</v>
      </c>
      <c r="J9" s="2">
        <v>10.8</v>
      </c>
      <c r="K9" s="2">
        <v>9.6999999999999993</v>
      </c>
      <c r="L9" s="2">
        <v>8.9</v>
      </c>
      <c r="M9" s="2">
        <v>8</v>
      </c>
      <c r="N9" s="2">
        <v>9.8000000000000007</v>
      </c>
      <c r="O9" s="2">
        <v>12.1</v>
      </c>
      <c r="P9" s="2">
        <v>13.4</v>
      </c>
      <c r="Q9" s="2">
        <v>13.2</v>
      </c>
      <c r="R9" s="2">
        <v>13.2</v>
      </c>
      <c r="S9" s="2">
        <v>13.3</v>
      </c>
      <c r="T9" s="2">
        <v>12.6</v>
      </c>
      <c r="U9" s="2">
        <v>10.9</v>
      </c>
      <c r="V9" s="2">
        <v>9.8000000000000007</v>
      </c>
      <c r="W9" s="2">
        <v>7.6</v>
      </c>
      <c r="X9" s="2">
        <v>10.1</v>
      </c>
      <c r="Y9" s="2">
        <v>8.5</v>
      </c>
      <c r="Z9" s="2">
        <v>9.9</v>
      </c>
      <c r="AA9" s="2">
        <v>10.7</v>
      </c>
      <c r="AC9" s="5">
        <f t="shared" si="0"/>
        <v>10.741666666666667</v>
      </c>
    </row>
    <row r="10" spans="2:29" x14ac:dyDescent="0.25">
      <c r="B10" s="4">
        <v>42375</v>
      </c>
      <c r="C10" s="3">
        <v>6</v>
      </c>
      <c r="D10" s="2">
        <v>9</v>
      </c>
      <c r="E10" s="2">
        <v>10</v>
      </c>
      <c r="F10" s="2">
        <v>8.6</v>
      </c>
      <c r="G10" s="2">
        <v>7.3</v>
      </c>
      <c r="H10" s="2">
        <v>7.6</v>
      </c>
      <c r="I10" s="2">
        <v>7.9</v>
      </c>
      <c r="J10" s="2">
        <v>7.4</v>
      </c>
      <c r="K10" s="2">
        <v>7.4</v>
      </c>
      <c r="L10" s="2">
        <v>7.7</v>
      </c>
      <c r="M10" s="2">
        <v>9.1999999999999993</v>
      </c>
      <c r="N10" s="2">
        <v>10.199999999999999</v>
      </c>
      <c r="O10" s="2">
        <v>11.7</v>
      </c>
      <c r="P10" s="2">
        <v>12.9</v>
      </c>
      <c r="Q10" s="2">
        <v>13.6</v>
      </c>
      <c r="R10" s="2">
        <v>12.7</v>
      </c>
      <c r="S10" s="2">
        <v>12.7</v>
      </c>
      <c r="T10" s="2">
        <v>12.7</v>
      </c>
      <c r="U10" s="2">
        <v>12</v>
      </c>
      <c r="V10" s="2">
        <v>11.4</v>
      </c>
      <c r="W10" s="2">
        <v>11</v>
      </c>
      <c r="X10" s="2">
        <v>10.4</v>
      </c>
      <c r="Y10" s="2">
        <v>11.1</v>
      </c>
      <c r="Z10" s="2">
        <v>9.5</v>
      </c>
      <c r="AA10" s="2">
        <v>6.7</v>
      </c>
      <c r="AC10" s="5">
        <f t="shared" si="0"/>
        <v>10.029166666666667</v>
      </c>
    </row>
    <row r="11" spans="2:29" x14ac:dyDescent="0.25">
      <c r="B11" s="4">
        <v>42376</v>
      </c>
      <c r="C11" s="3">
        <v>7</v>
      </c>
      <c r="D11" s="2">
        <v>4.3</v>
      </c>
      <c r="E11" s="2">
        <v>6.8</v>
      </c>
      <c r="F11" s="2">
        <v>10.7</v>
      </c>
      <c r="G11" s="2">
        <v>8.6999999999999993</v>
      </c>
      <c r="H11" s="2">
        <v>11.8</v>
      </c>
      <c r="I11" s="2">
        <v>12.9</v>
      </c>
      <c r="J11" s="2">
        <v>13.1</v>
      </c>
      <c r="K11" s="2">
        <v>13.4</v>
      </c>
      <c r="L11" s="2">
        <v>12.9</v>
      </c>
      <c r="M11" s="2">
        <v>13.5</v>
      </c>
      <c r="N11" s="2">
        <v>15.4</v>
      </c>
      <c r="O11" s="2">
        <v>17.3</v>
      </c>
      <c r="P11" s="2">
        <v>18.100000000000001</v>
      </c>
      <c r="Q11" s="2">
        <v>19.2</v>
      </c>
      <c r="R11" s="2">
        <v>19.7</v>
      </c>
      <c r="S11" s="2">
        <v>19.3</v>
      </c>
      <c r="T11" s="2">
        <v>19</v>
      </c>
      <c r="U11" s="2">
        <v>18.5</v>
      </c>
      <c r="V11" s="2">
        <v>15.8</v>
      </c>
      <c r="W11" s="2">
        <v>13.3</v>
      </c>
      <c r="X11" s="2">
        <v>14</v>
      </c>
      <c r="Y11" s="2">
        <v>15.8</v>
      </c>
      <c r="Z11" s="2">
        <v>17</v>
      </c>
      <c r="AA11" s="2">
        <v>18.3</v>
      </c>
      <c r="AC11" s="5">
        <f t="shared" si="0"/>
        <v>14.533333333333333</v>
      </c>
    </row>
    <row r="12" spans="2:29" x14ac:dyDescent="0.25">
      <c r="B12" s="4">
        <v>42377</v>
      </c>
      <c r="C12" s="3">
        <v>8</v>
      </c>
      <c r="D12" s="2">
        <v>18.100000000000001</v>
      </c>
      <c r="E12" s="2">
        <v>18.5</v>
      </c>
      <c r="F12" s="2">
        <v>18.600000000000001</v>
      </c>
      <c r="G12" s="2">
        <v>18.3</v>
      </c>
      <c r="H12" s="2">
        <v>17.5</v>
      </c>
      <c r="I12" s="2">
        <v>17</v>
      </c>
      <c r="J12" s="2">
        <v>16.5</v>
      </c>
      <c r="K12" s="2">
        <v>14.8</v>
      </c>
      <c r="L12" s="2">
        <v>14.3</v>
      </c>
      <c r="M12" s="2">
        <v>16.2</v>
      </c>
      <c r="N12" s="2">
        <v>18.8</v>
      </c>
      <c r="O12" s="2">
        <v>20</v>
      </c>
      <c r="P12" s="2">
        <v>21.5</v>
      </c>
      <c r="Q12" s="2">
        <v>22</v>
      </c>
      <c r="R12" s="2">
        <v>22.2</v>
      </c>
      <c r="S12" s="2">
        <v>21.1</v>
      </c>
      <c r="T12" s="2">
        <v>19.5</v>
      </c>
      <c r="U12" s="2">
        <v>17.399999999999999</v>
      </c>
      <c r="V12" s="2">
        <v>15.1</v>
      </c>
      <c r="W12" s="2">
        <v>13.6</v>
      </c>
      <c r="X12" s="2">
        <v>11.7</v>
      </c>
      <c r="Y12" s="2">
        <v>11.6</v>
      </c>
      <c r="Z12" s="2">
        <v>12.1</v>
      </c>
      <c r="AA12" s="2">
        <v>16.2</v>
      </c>
      <c r="AC12" s="5">
        <f t="shared" si="0"/>
        <v>17.19166666666667</v>
      </c>
    </row>
    <row r="13" spans="2:29" x14ac:dyDescent="0.25">
      <c r="B13" s="4">
        <v>42378</v>
      </c>
      <c r="C13" s="3">
        <v>9</v>
      </c>
      <c r="D13" s="2">
        <v>16.7</v>
      </c>
      <c r="E13" s="2">
        <v>16.3</v>
      </c>
      <c r="F13" s="2">
        <v>15.7</v>
      </c>
      <c r="G13" s="2">
        <v>16.2</v>
      </c>
      <c r="H13" s="2">
        <v>15.4</v>
      </c>
      <c r="I13" s="2">
        <v>15</v>
      </c>
      <c r="J13" s="2">
        <v>11.2</v>
      </c>
      <c r="K13" s="2">
        <v>11.6</v>
      </c>
      <c r="L13" s="2">
        <v>11.9</v>
      </c>
      <c r="M13" s="2">
        <v>13.8</v>
      </c>
      <c r="N13" s="2">
        <v>16</v>
      </c>
      <c r="O13" s="2">
        <v>15.9</v>
      </c>
      <c r="P13" s="2">
        <v>16.3</v>
      </c>
      <c r="Q13" s="2">
        <v>17.2</v>
      </c>
      <c r="R13" s="2">
        <v>18.100000000000001</v>
      </c>
      <c r="S13" s="2">
        <v>19</v>
      </c>
      <c r="T13" s="2">
        <v>18.5</v>
      </c>
      <c r="U13" s="2">
        <v>16.899999999999999</v>
      </c>
      <c r="V13" s="2">
        <v>11.6</v>
      </c>
      <c r="W13" s="2">
        <v>10.5</v>
      </c>
      <c r="X13" s="2">
        <v>9.3000000000000007</v>
      </c>
      <c r="Y13" s="2">
        <v>8.1</v>
      </c>
      <c r="Z13" s="2">
        <v>11</v>
      </c>
      <c r="AA13" s="2">
        <v>13.9</v>
      </c>
      <c r="AC13" s="5">
        <f t="shared" si="0"/>
        <v>14.420833333333334</v>
      </c>
    </row>
    <row r="14" spans="2:29" x14ac:dyDescent="0.25">
      <c r="B14" s="4">
        <v>42379</v>
      </c>
      <c r="C14" s="3">
        <v>10</v>
      </c>
      <c r="D14" s="2">
        <v>14.4</v>
      </c>
      <c r="E14" s="2">
        <v>14.1</v>
      </c>
      <c r="F14" s="2">
        <v>13.1</v>
      </c>
      <c r="G14" s="2">
        <v>12.3</v>
      </c>
      <c r="H14" s="2">
        <v>9.1999999999999993</v>
      </c>
      <c r="I14" s="2">
        <v>8.3000000000000007</v>
      </c>
      <c r="J14" s="2">
        <v>6.5</v>
      </c>
      <c r="K14" s="2">
        <v>6.3</v>
      </c>
      <c r="L14" s="2">
        <v>6</v>
      </c>
      <c r="M14" s="2">
        <v>7.8</v>
      </c>
      <c r="N14" s="2">
        <v>9.3000000000000007</v>
      </c>
      <c r="O14" s="2">
        <v>13.1</v>
      </c>
      <c r="P14" s="2">
        <v>15.7</v>
      </c>
      <c r="Q14" s="2">
        <v>16</v>
      </c>
      <c r="R14" s="2">
        <v>16.5</v>
      </c>
      <c r="S14" s="2">
        <v>17</v>
      </c>
      <c r="T14" s="2">
        <v>16.399999999999999</v>
      </c>
      <c r="U14" s="2">
        <v>15.3</v>
      </c>
      <c r="V14" s="2">
        <v>12.6</v>
      </c>
      <c r="W14" s="2">
        <v>10.3</v>
      </c>
      <c r="X14" s="2">
        <v>8.9</v>
      </c>
      <c r="Y14" s="2">
        <v>8.6999999999999993</v>
      </c>
      <c r="Z14" s="2">
        <v>8.1</v>
      </c>
      <c r="AA14" s="2">
        <v>12.4</v>
      </c>
      <c r="AC14" s="5">
        <f t="shared" si="0"/>
        <v>11.595833333333333</v>
      </c>
    </row>
    <row r="15" spans="2:29" x14ac:dyDescent="0.25">
      <c r="B15" s="4">
        <v>42380</v>
      </c>
      <c r="C15" s="3">
        <v>11</v>
      </c>
      <c r="D15" s="2">
        <v>14.1</v>
      </c>
      <c r="E15" s="2">
        <v>13.4</v>
      </c>
      <c r="F15" s="2">
        <v>13.7</v>
      </c>
      <c r="G15" s="2">
        <v>13.6</v>
      </c>
      <c r="H15" s="2">
        <v>14.2</v>
      </c>
      <c r="I15" s="2">
        <v>13.6</v>
      </c>
      <c r="J15" s="2">
        <v>12</v>
      </c>
      <c r="K15" s="2">
        <v>12.5</v>
      </c>
      <c r="L15" s="2">
        <v>12.5</v>
      </c>
      <c r="M15" s="2">
        <v>13.1</v>
      </c>
      <c r="N15" s="2">
        <v>15.1</v>
      </c>
      <c r="O15" s="2">
        <v>15.6</v>
      </c>
      <c r="P15" s="2">
        <v>16</v>
      </c>
      <c r="Q15" s="2">
        <v>15.8</v>
      </c>
      <c r="R15" s="2">
        <v>17.3</v>
      </c>
      <c r="S15" s="2">
        <v>16.100000000000001</v>
      </c>
      <c r="T15" s="2">
        <v>16.2</v>
      </c>
      <c r="U15" s="2">
        <v>15.2</v>
      </c>
      <c r="V15" s="2">
        <v>14.2</v>
      </c>
      <c r="W15" s="2">
        <v>13.4</v>
      </c>
      <c r="X15" s="2">
        <v>13</v>
      </c>
      <c r="Y15" s="2">
        <v>11.8</v>
      </c>
      <c r="Z15" s="2">
        <v>11.2</v>
      </c>
      <c r="AA15" s="2">
        <v>10.4</v>
      </c>
      <c r="AC15" s="5">
        <f t="shared" si="0"/>
        <v>13.916666666666664</v>
      </c>
    </row>
    <row r="16" spans="2:29" x14ac:dyDescent="0.25">
      <c r="B16" s="4">
        <v>42381</v>
      </c>
      <c r="C16" s="3">
        <v>12</v>
      </c>
      <c r="D16" s="2">
        <v>10.5</v>
      </c>
      <c r="E16" s="2">
        <v>10.199999999999999</v>
      </c>
      <c r="F16" s="2">
        <v>10</v>
      </c>
      <c r="G16" s="2">
        <v>9</v>
      </c>
      <c r="H16" s="2">
        <v>9.6</v>
      </c>
      <c r="I16" s="2">
        <v>9.4</v>
      </c>
      <c r="J16" s="2">
        <v>9.1</v>
      </c>
      <c r="K16" s="2">
        <v>8.6</v>
      </c>
      <c r="L16" s="2">
        <v>8.3000000000000007</v>
      </c>
      <c r="M16" s="2">
        <v>9.1999999999999993</v>
      </c>
      <c r="N16" s="2">
        <v>10.7</v>
      </c>
      <c r="O16" s="2">
        <v>12.1</v>
      </c>
      <c r="P16" s="2">
        <v>12.8</v>
      </c>
      <c r="Q16" s="2">
        <v>13.5</v>
      </c>
      <c r="R16" s="2">
        <v>14</v>
      </c>
      <c r="S16" s="2">
        <v>13.9</v>
      </c>
      <c r="T16" s="2">
        <v>13.5</v>
      </c>
      <c r="U16" s="2">
        <v>12.6</v>
      </c>
      <c r="V16" s="2">
        <v>11.2</v>
      </c>
      <c r="W16" s="2">
        <v>10</v>
      </c>
      <c r="X16" s="2">
        <v>10.4</v>
      </c>
      <c r="Y16" s="2">
        <v>10.199999999999999</v>
      </c>
      <c r="Z16" s="2">
        <v>10.3</v>
      </c>
      <c r="AA16" s="2">
        <v>10.199999999999999</v>
      </c>
      <c r="AC16" s="5">
        <f t="shared" si="0"/>
        <v>10.804166666666667</v>
      </c>
    </row>
    <row r="17" spans="2:29" x14ac:dyDescent="0.25">
      <c r="B17" s="4">
        <v>42382</v>
      </c>
      <c r="C17" s="3">
        <v>13</v>
      </c>
      <c r="D17" s="2">
        <v>9.8000000000000007</v>
      </c>
      <c r="E17" s="2">
        <v>9.5</v>
      </c>
      <c r="F17" s="2">
        <v>9.4</v>
      </c>
      <c r="G17" s="2">
        <v>9.6999999999999993</v>
      </c>
      <c r="H17" s="2">
        <v>10.199999999999999</v>
      </c>
      <c r="I17" s="2">
        <v>9.5</v>
      </c>
      <c r="J17" s="2">
        <v>5.6</v>
      </c>
      <c r="K17" s="2">
        <v>4.0999999999999996</v>
      </c>
      <c r="L17" s="2">
        <v>2</v>
      </c>
      <c r="M17" s="2">
        <v>5.9</v>
      </c>
      <c r="N17" s="2">
        <v>8.6999999999999993</v>
      </c>
      <c r="O17" s="2">
        <v>11.6</v>
      </c>
      <c r="P17" s="2">
        <v>12.9</v>
      </c>
      <c r="Q17" s="2">
        <v>14</v>
      </c>
      <c r="R17" s="2">
        <v>14.4</v>
      </c>
      <c r="S17" s="2">
        <v>13.9</v>
      </c>
      <c r="T17" s="2">
        <v>13.3</v>
      </c>
      <c r="U17" s="2">
        <v>12</v>
      </c>
      <c r="V17" s="2">
        <v>8.6</v>
      </c>
      <c r="W17" s="2">
        <v>6.1</v>
      </c>
      <c r="X17" s="2">
        <v>6.6</v>
      </c>
      <c r="Y17" s="2">
        <v>6.6</v>
      </c>
      <c r="Z17" s="2">
        <v>6</v>
      </c>
      <c r="AA17" s="2">
        <v>4.5999999999999996</v>
      </c>
      <c r="AC17" s="5">
        <f t="shared" si="0"/>
        <v>8.9583333333333339</v>
      </c>
    </row>
    <row r="18" spans="2:29" x14ac:dyDescent="0.25">
      <c r="B18" s="4">
        <v>42383</v>
      </c>
      <c r="C18" s="3">
        <v>14</v>
      </c>
      <c r="D18" s="2">
        <v>4.4000000000000004</v>
      </c>
      <c r="E18" s="2">
        <v>4.8</v>
      </c>
      <c r="F18" s="2">
        <v>4.2</v>
      </c>
      <c r="G18" s="2">
        <v>4.0999999999999996</v>
      </c>
      <c r="H18" s="2">
        <v>4</v>
      </c>
      <c r="I18" s="2">
        <v>3.5</v>
      </c>
      <c r="J18" s="2">
        <v>4.0999999999999996</v>
      </c>
      <c r="K18" s="2">
        <v>5</v>
      </c>
      <c r="L18" s="2">
        <v>4.9000000000000004</v>
      </c>
      <c r="M18" s="2">
        <v>7.5</v>
      </c>
      <c r="N18" s="2">
        <v>9.3000000000000007</v>
      </c>
      <c r="O18" s="2">
        <v>9.9</v>
      </c>
      <c r="P18" s="2">
        <v>11.4</v>
      </c>
      <c r="Q18" s="2">
        <v>14.5</v>
      </c>
      <c r="R18" s="2">
        <v>13.9</v>
      </c>
      <c r="S18" s="2">
        <v>14.3</v>
      </c>
      <c r="T18" s="2">
        <v>13.9</v>
      </c>
      <c r="U18" s="2">
        <v>13.1</v>
      </c>
      <c r="V18" s="2">
        <v>11.6</v>
      </c>
      <c r="W18" s="2">
        <v>12.1</v>
      </c>
      <c r="X18" s="2">
        <v>11.3</v>
      </c>
      <c r="Y18" s="2">
        <v>10.8</v>
      </c>
      <c r="Z18" s="2">
        <v>9.3000000000000007</v>
      </c>
      <c r="AA18" s="2">
        <v>7.9</v>
      </c>
      <c r="AC18" s="5">
        <f t="shared" si="0"/>
        <v>8.7416666666666689</v>
      </c>
    </row>
    <row r="19" spans="2:29" x14ac:dyDescent="0.25">
      <c r="B19" s="4">
        <v>42384</v>
      </c>
      <c r="C19" s="3">
        <v>15</v>
      </c>
      <c r="D19" s="2">
        <v>6.4</v>
      </c>
      <c r="E19" s="2">
        <v>4.2</v>
      </c>
      <c r="F19" s="2">
        <v>3.7</v>
      </c>
      <c r="G19" s="2">
        <v>5</v>
      </c>
      <c r="H19" s="2">
        <v>4.5</v>
      </c>
      <c r="I19" s="2">
        <v>6</v>
      </c>
      <c r="J19" s="2">
        <v>7</v>
      </c>
      <c r="K19" s="2">
        <v>7.1</v>
      </c>
      <c r="L19" s="2">
        <v>6.8</v>
      </c>
      <c r="M19" s="2">
        <v>5.8</v>
      </c>
      <c r="N19" s="2">
        <v>7.1</v>
      </c>
      <c r="O19" s="2">
        <v>10.3</v>
      </c>
      <c r="P19" s="2">
        <v>11</v>
      </c>
      <c r="Q19" s="2">
        <v>11.3</v>
      </c>
      <c r="R19" s="2">
        <v>11.6</v>
      </c>
      <c r="S19" s="2">
        <v>11.7</v>
      </c>
      <c r="T19" s="2">
        <v>11</v>
      </c>
      <c r="U19" s="2">
        <v>11.4</v>
      </c>
      <c r="V19" s="2">
        <v>10.5</v>
      </c>
      <c r="W19" s="2">
        <v>10.5</v>
      </c>
      <c r="X19" s="2">
        <v>8.9</v>
      </c>
      <c r="Y19" s="2">
        <v>8.6</v>
      </c>
      <c r="Z19" s="2">
        <v>8</v>
      </c>
      <c r="AA19" s="2">
        <v>6.6</v>
      </c>
      <c r="AC19" s="5">
        <f t="shared" si="0"/>
        <v>8.125</v>
      </c>
    </row>
    <row r="20" spans="2:29" x14ac:dyDescent="0.25">
      <c r="B20" s="4">
        <v>42385</v>
      </c>
      <c r="C20" s="3">
        <v>16</v>
      </c>
      <c r="D20" s="2">
        <v>7.4</v>
      </c>
      <c r="E20" s="2">
        <v>6.5</v>
      </c>
      <c r="F20" s="2">
        <v>5.6</v>
      </c>
      <c r="G20" s="2">
        <v>5.2</v>
      </c>
      <c r="H20" s="2">
        <v>4.8</v>
      </c>
      <c r="I20" s="2">
        <v>4.5999999999999996</v>
      </c>
      <c r="J20" s="2">
        <v>4.7</v>
      </c>
      <c r="K20" s="2">
        <v>3.6</v>
      </c>
      <c r="L20" s="2">
        <v>4.0999999999999996</v>
      </c>
      <c r="M20" s="2">
        <v>6.9</v>
      </c>
      <c r="N20" s="2">
        <v>8.8000000000000007</v>
      </c>
      <c r="O20" s="2">
        <v>9.5</v>
      </c>
      <c r="P20" s="2">
        <v>10.3</v>
      </c>
      <c r="Q20" s="2">
        <v>10.7</v>
      </c>
      <c r="R20" s="2">
        <v>10.8</v>
      </c>
      <c r="S20" s="2">
        <v>11.6</v>
      </c>
      <c r="T20" s="2">
        <v>10.8</v>
      </c>
      <c r="U20" s="2">
        <v>9.9</v>
      </c>
      <c r="V20" s="2">
        <v>8.4</v>
      </c>
      <c r="W20" s="2">
        <v>7.7</v>
      </c>
      <c r="X20" s="2">
        <v>7.1</v>
      </c>
      <c r="Y20" s="2">
        <v>6.3</v>
      </c>
      <c r="Z20" s="2">
        <v>5.6</v>
      </c>
      <c r="AA20" s="2">
        <v>6.1</v>
      </c>
      <c r="AC20" s="5">
        <f t="shared" si="0"/>
        <v>7.3749999999999991</v>
      </c>
    </row>
    <row r="21" spans="2:29" x14ac:dyDescent="0.25">
      <c r="B21" s="4">
        <v>42386</v>
      </c>
      <c r="C21" s="3">
        <v>17</v>
      </c>
      <c r="D21" s="2">
        <v>4.8</v>
      </c>
      <c r="E21" s="2">
        <v>3.8</v>
      </c>
      <c r="F21" s="2">
        <v>1.7</v>
      </c>
      <c r="G21" s="2">
        <v>2.2999999999999998</v>
      </c>
      <c r="H21" s="2">
        <v>3.2</v>
      </c>
      <c r="I21" s="2">
        <v>-1</v>
      </c>
      <c r="J21" s="2">
        <v>-2.6</v>
      </c>
      <c r="K21" s="2">
        <v>-2.1</v>
      </c>
      <c r="L21" s="2">
        <v>-1.3</v>
      </c>
      <c r="M21" s="2">
        <v>2.2000000000000002</v>
      </c>
      <c r="N21" s="2">
        <v>6.7</v>
      </c>
      <c r="O21" s="2">
        <v>8.6</v>
      </c>
      <c r="P21" s="2">
        <v>10.7</v>
      </c>
      <c r="Q21" s="2">
        <v>11.5</v>
      </c>
      <c r="R21" s="2">
        <v>12.4</v>
      </c>
      <c r="S21" s="2">
        <v>12.7</v>
      </c>
      <c r="T21" s="2">
        <v>11.9</v>
      </c>
      <c r="U21" s="2">
        <v>10.8</v>
      </c>
      <c r="V21" s="2">
        <v>8.6</v>
      </c>
      <c r="W21" s="2">
        <v>7.3</v>
      </c>
      <c r="X21" s="2">
        <v>5.6</v>
      </c>
      <c r="Y21" s="2">
        <v>5.7</v>
      </c>
      <c r="Z21" s="2">
        <v>5.4</v>
      </c>
      <c r="AA21" s="2">
        <v>5.6</v>
      </c>
      <c r="AC21" s="5">
        <f t="shared" si="0"/>
        <v>5.6041666666666652</v>
      </c>
    </row>
    <row r="22" spans="2:29" x14ac:dyDescent="0.25">
      <c r="B22" s="4">
        <v>42387</v>
      </c>
      <c r="C22" s="3">
        <v>18</v>
      </c>
      <c r="D22" s="2">
        <v>5.5</v>
      </c>
      <c r="E22" s="2">
        <v>4.9000000000000004</v>
      </c>
      <c r="F22" s="2">
        <v>4.3</v>
      </c>
      <c r="G22" s="2">
        <v>5.0999999999999996</v>
      </c>
      <c r="H22" s="2">
        <v>5.4</v>
      </c>
      <c r="I22" s="2">
        <v>5.2</v>
      </c>
      <c r="J22" s="2">
        <v>2.9</v>
      </c>
      <c r="K22" s="2">
        <v>2.5</v>
      </c>
      <c r="L22" s="2">
        <v>2</v>
      </c>
      <c r="M22" s="2">
        <v>5.5</v>
      </c>
      <c r="N22" s="2">
        <v>8.5</v>
      </c>
      <c r="O22" s="2">
        <v>10.9</v>
      </c>
      <c r="P22" s="2">
        <v>11.9</v>
      </c>
      <c r="Q22" s="2">
        <v>14</v>
      </c>
      <c r="R22" s="2">
        <v>14.7</v>
      </c>
      <c r="S22" s="2">
        <v>13</v>
      </c>
      <c r="T22" s="2">
        <v>12.2</v>
      </c>
      <c r="U22" s="2">
        <v>12.3</v>
      </c>
      <c r="V22" s="2">
        <v>11</v>
      </c>
      <c r="W22" s="2">
        <v>10</v>
      </c>
      <c r="X22" s="2">
        <v>8.6999999999999993</v>
      </c>
      <c r="Y22" s="2">
        <v>9.5</v>
      </c>
      <c r="Z22" s="2">
        <v>9.1</v>
      </c>
      <c r="AA22" s="2">
        <v>8.9</v>
      </c>
      <c r="AC22" s="5">
        <f t="shared" si="0"/>
        <v>8.25</v>
      </c>
    </row>
    <row r="23" spans="2:29" x14ac:dyDescent="0.25">
      <c r="B23" s="4">
        <v>42388</v>
      </c>
      <c r="C23" s="3">
        <v>19</v>
      </c>
      <c r="D23" s="2">
        <v>8.4</v>
      </c>
      <c r="E23" s="2">
        <v>6.7</v>
      </c>
      <c r="F23" s="2">
        <v>8.6999999999999993</v>
      </c>
      <c r="G23" s="2">
        <v>9.1999999999999993</v>
      </c>
      <c r="H23" s="2">
        <v>9.8000000000000007</v>
      </c>
      <c r="I23" s="2">
        <v>7.7</v>
      </c>
      <c r="J23" s="2">
        <v>5.5</v>
      </c>
      <c r="K23" s="2">
        <v>3.2</v>
      </c>
      <c r="L23" s="2">
        <v>1.9</v>
      </c>
      <c r="M23" s="2">
        <v>6</v>
      </c>
      <c r="N23" s="2">
        <v>10.8</v>
      </c>
      <c r="O23" s="2">
        <v>11</v>
      </c>
      <c r="P23" s="2">
        <v>12</v>
      </c>
      <c r="Q23" s="2">
        <v>12.7</v>
      </c>
      <c r="R23" s="2">
        <v>13.6</v>
      </c>
      <c r="S23" s="2">
        <v>14.1</v>
      </c>
      <c r="T23" s="2">
        <v>13.5</v>
      </c>
      <c r="U23" s="2">
        <v>11.5</v>
      </c>
      <c r="V23" s="2">
        <v>9.1</v>
      </c>
      <c r="W23" s="2">
        <v>7</v>
      </c>
      <c r="X23" s="2">
        <v>5.0999999999999996</v>
      </c>
      <c r="Y23" s="2">
        <v>4.5999999999999996</v>
      </c>
      <c r="Z23" s="2">
        <v>4.5</v>
      </c>
      <c r="AA23" s="2">
        <v>4.4000000000000004</v>
      </c>
      <c r="AC23" s="5">
        <f>(SUM((D23:AA23))/24)</f>
        <v>8.3749999999999982</v>
      </c>
    </row>
    <row r="24" spans="2:29" x14ac:dyDescent="0.25">
      <c r="B24" s="4">
        <v>42389</v>
      </c>
      <c r="C24" s="3">
        <v>20</v>
      </c>
      <c r="D24" s="2">
        <v>4.0999999999999996</v>
      </c>
      <c r="E24" s="2">
        <v>4.9000000000000004</v>
      </c>
      <c r="F24" s="2">
        <v>3.5</v>
      </c>
      <c r="G24" s="2">
        <v>2.9</v>
      </c>
      <c r="H24" s="2">
        <v>2.4</v>
      </c>
      <c r="I24" s="2">
        <v>2.6</v>
      </c>
      <c r="J24" s="2">
        <v>2.5</v>
      </c>
      <c r="K24" s="2">
        <v>3.2</v>
      </c>
      <c r="L24" s="2">
        <v>2.9</v>
      </c>
      <c r="M24" s="2">
        <v>6</v>
      </c>
      <c r="N24" s="2">
        <v>9.9</v>
      </c>
      <c r="O24" s="2">
        <v>13.1</v>
      </c>
      <c r="P24" s="2">
        <v>13.4</v>
      </c>
      <c r="Q24" s="2">
        <v>13.4</v>
      </c>
      <c r="R24" s="2">
        <v>14.5</v>
      </c>
      <c r="S24" s="2">
        <v>14.3</v>
      </c>
      <c r="T24" s="2">
        <v>13.7</v>
      </c>
      <c r="U24" s="2">
        <v>11.1</v>
      </c>
      <c r="V24" s="2">
        <v>7.3</v>
      </c>
      <c r="W24" s="2">
        <v>6.9</v>
      </c>
      <c r="X24" s="2">
        <v>6.9</v>
      </c>
      <c r="Y24" s="2">
        <v>5.2</v>
      </c>
      <c r="Z24" s="2">
        <v>4.7</v>
      </c>
      <c r="AA24" s="2">
        <v>2.7</v>
      </c>
      <c r="AC24" s="5">
        <f t="shared" ref="AC24" si="1">(SUM((D24:AA24))/24)</f>
        <v>7.1708333333333334</v>
      </c>
    </row>
    <row r="25" spans="2:29" x14ac:dyDescent="0.25">
      <c r="B25" s="4">
        <v>42390</v>
      </c>
      <c r="C25" s="3">
        <v>21</v>
      </c>
      <c r="D25" s="2">
        <v>2.4</v>
      </c>
      <c r="E25" s="2">
        <v>0.9</v>
      </c>
      <c r="F25" s="2">
        <v>3</v>
      </c>
      <c r="G25" s="2">
        <v>2.7</v>
      </c>
      <c r="H25" s="2">
        <v>2.7</v>
      </c>
      <c r="I25" s="2">
        <v>2.2000000000000002</v>
      </c>
      <c r="J25" s="2">
        <v>1.5</v>
      </c>
      <c r="K25" s="2">
        <v>1.8</v>
      </c>
      <c r="L25" s="2">
        <v>1.8</v>
      </c>
      <c r="M25" s="2">
        <v>6</v>
      </c>
      <c r="N25" s="2">
        <v>9.9</v>
      </c>
      <c r="O25" s="2">
        <v>11.9</v>
      </c>
      <c r="P25" s="2">
        <v>13.6</v>
      </c>
      <c r="Q25" s="2">
        <v>13.9</v>
      </c>
      <c r="R25" s="2">
        <v>14.2</v>
      </c>
      <c r="S25" s="2">
        <v>14.6</v>
      </c>
      <c r="T25" s="2">
        <v>13.9</v>
      </c>
      <c r="U25" s="2">
        <v>12.7</v>
      </c>
      <c r="V25" s="2">
        <v>8.1</v>
      </c>
      <c r="W25" s="2">
        <v>6.8</v>
      </c>
      <c r="X25" s="2">
        <v>5.9</v>
      </c>
      <c r="Y25" s="2">
        <v>5.5</v>
      </c>
      <c r="Z25" s="2">
        <v>5.6</v>
      </c>
      <c r="AA25" s="2">
        <v>4.9000000000000004</v>
      </c>
      <c r="AC25" s="5">
        <f t="shared" si="0"/>
        <v>6.9375</v>
      </c>
    </row>
    <row r="26" spans="2:29" x14ac:dyDescent="0.25">
      <c r="B26" s="4">
        <v>42391</v>
      </c>
      <c r="C26" s="3">
        <v>22</v>
      </c>
      <c r="D26" s="2">
        <v>3.3</v>
      </c>
      <c r="E26" s="2">
        <v>3.3</v>
      </c>
      <c r="F26" s="2">
        <v>3</v>
      </c>
      <c r="G26" s="2">
        <v>2.9</v>
      </c>
      <c r="H26" s="2">
        <v>2.5</v>
      </c>
      <c r="I26" s="2">
        <v>2.8</v>
      </c>
      <c r="J26" s="2">
        <v>2.6</v>
      </c>
      <c r="K26" s="2">
        <v>4.4000000000000004</v>
      </c>
      <c r="L26" s="2">
        <v>4.5999999999999996</v>
      </c>
      <c r="M26" s="2">
        <v>8.3000000000000007</v>
      </c>
      <c r="N26" s="2">
        <v>10.5</v>
      </c>
      <c r="O26" s="2">
        <v>12.8</v>
      </c>
      <c r="P26" s="2">
        <v>13</v>
      </c>
      <c r="Q26" s="2">
        <v>13</v>
      </c>
      <c r="R26" s="2">
        <v>13.2</v>
      </c>
      <c r="S26" s="2">
        <v>13.2</v>
      </c>
      <c r="T26" s="2">
        <v>12.7</v>
      </c>
      <c r="U26" s="2">
        <v>12.6</v>
      </c>
      <c r="V26" s="2">
        <v>11.8</v>
      </c>
      <c r="W26" s="2">
        <v>10.8</v>
      </c>
      <c r="X26" s="2">
        <v>9.5</v>
      </c>
      <c r="Y26" s="2">
        <v>9.9</v>
      </c>
      <c r="Z26" s="2">
        <v>10.199999999999999</v>
      </c>
      <c r="AA26" s="2">
        <v>9.6</v>
      </c>
      <c r="AC26" s="5">
        <f t="shared" si="0"/>
        <v>8.3541666666666679</v>
      </c>
    </row>
    <row r="27" spans="2:29" x14ac:dyDescent="0.25">
      <c r="B27" s="4">
        <v>42392</v>
      </c>
      <c r="C27" s="3">
        <v>23</v>
      </c>
      <c r="D27" s="2">
        <v>7.7</v>
      </c>
      <c r="E27" s="2">
        <v>6.6</v>
      </c>
      <c r="F27" s="2">
        <v>7.2</v>
      </c>
      <c r="G27" s="2">
        <v>5.9</v>
      </c>
      <c r="H27" s="2">
        <v>6.3</v>
      </c>
      <c r="I27" s="2">
        <v>5.6</v>
      </c>
      <c r="J27" s="2">
        <v>6.1</v>
      </c>
      <c r="K27" s="2">
        <v>5.7</v>
      </c>
      <c r="L27" s="2">
        <v>6.6</v>
      </c>
      <c r="M27" s="2">
        <v>7.3</v>
      </c>
      <c r="N27" s="2">
        <v>10.5</v>
      </c>
      <c r="O27" s="2">
        <v>13.4</v>
      </c>
      <c r="P27" s="2">
        <v>15.2</v>
      </c>
      <c r="Q27" s="2">
        <v>16.3</v>
      </c>
      <c r="R27" s="2">
        <v>16.399999999999999</v>
      </c>
      <c r="S27" s="2">
        <v>15.8</v>
      </c>
      <c r="T27" s="2">
        <v>15.3</v>
      </c>
      <c r="U27" s="2">
        <v>13.6</v>
      </c>
      <c r="V27" s="2">
        <v>11.3</v>
      </c>
      <c r="W27" s="2">
        <v>9.6</v>
      </c>
      <c r="X27" s="2">
        <v>8</v>
      </c>
      <c r="Y27" s="2">
        <v>7.3</v>
      </c>
      <c r="Z27" s="2">
        <v>8.4</v>
      </c>
      <c r="AA27" s="2">
        <v>8.9</v>
      </c>
      <c r="AC27" s="5">
        <f t="shared" si="0"/>
        <v>9.7916666666666696</v>
      </c>
    </row>
    <row r="28" spans="2:29" x14ac:dyDescent="0.25">
      <c r="B28" s="4">
        <v>42393</v>
      </c>
      <c r="C28" s="3">
        <v>24</v>
      </c>
      <c r="D28" s="2">
        <v>7.6</v>
      </c>
      <c r="E28" s="2">
        <v>6.7</v>
      </c>
      <c r="F28" s="2">
        <v>6.2</v>
      </c>
      <c r="G28" s="2">
        <v>5.5</v>
      </c>
      <c r="H28" s="2">
        <v>5</v>
      </c>
      <c r="I28" s="2">
        <v>5.6</v>
      </c>
      <c r="J28" s="2">
        <v>5.9</v>
      </c>
      <c r="K28" s="2">
        <v>6.4</v>
      </c>
      <c r="L28" s="2">
        <v>6.7</v>
      </c>
      <c r="M28" s="2">
        <v>7.8</v>
      </c>
      <c r="N28" s="2">
        <v>11.3</v>
      </c>
      <c r="O28" s="2">
        <v>12.4</v>
      </c>
      <c r="P28" s="2">
        <v>12.5</v>
      </c>
      <c r="Q28" s="2">
        <v>12.8</v>
      </c>
      <c r="R28" s="2">
        <v>12.9</v>
      </c>
      <c r="S28" s="2">
        <v>13</v>
      </c>
      <c r="T28" s="2">
        <v>13.3</v>
      </c>
      <c r="U28" s="2">
        <v>12.8</v>
      </c>
      <c r="V28" s="2">
        <v>12.4</v>
      </c>
      <c r="W28" s="2">
        <v>11.9</v>
      </c>
      <c r="X28" s="2">
        <v>11.5</v>
      </c>
      <c r="Y28" s="2">
        <v>11.3</v>
      </c>
      <c r="Z28" s="2">
        <v>11.2</v>
      </c>
      <c r="AA28" s="2">
        <v>11.2</v>
      </c>
      <c r="AC28" s="5">
        <f t="shared" si="0"/>
        <v>9.7458333333333353</v>
      </c>
    </row>
    <row r="29" spans="2:29" x14ac:dyDescent="0.25">
      <c r="B29" s="4">
        <v>42394</v>
      </c>
      <c r="C29" s="3">
        <v>25</v>
      </c>
      <c r="D29" s="2">
        <v>11.1</v>
      </c>
      <c r="E29" s="2">
        <v>11</v>
      </c>
      <c r="F29" s="2">
        <v>11</v>
      </c>
      <c r="G29" s="2">
        <v>10.9</v>
      </c>
      <c r="H29" s="2">
        <v>10.9</v>
      </c>
      <c r="I29" s="2">
        <v>11</v>
      </c>
      <c r="J29" s="2">
        <v>11.7</v>
      </c>
      <c r="K29" s="2">
        <v>11.6</v>
      </c>
      <c r="L29" s="2">
        <v>11.7</v>
      </c>
      <c r="M29" s="2">
        <v>12</v>
      </c>
      <c r="N29" s="2">
        <v>13.1</v>
      </c>
      <c r="O29" s="2">
        <v>13.5</v>
      </c>
      <c r="P29" s="2">
        <v>14</v>
      </c>
      <c r="Q29" s="2">
        <v>14.6</v>
      </c>
      <c r="R29" s="2">
        <v>14.2</v>
      </c>
      <c r="S29" s="2">
        <v>14.5</v>
      </c>
      <c r="T29" s="2">
        <v>14.1</v>
      </c>
      <c r="U29" s="2">
        <v>13.4</v>
      </c>
      <c r="V29" s="2">
        <v>10.4</v>
      </c>
      <c r="W29" s="2">
        <v>9.3000000000000007</v>
      </c>
      <c r="X29" s="2">
        <v>11.4</v>
      </c>
      <c r="Y29" s="2">
        <v>11.9</v>
      </c>
      <c r="Z29" s="2">
        <v>11.6</v>
      </c>
      <c r="AA29" s="2">
        <v>11.4</v>
      </c>
      <c r="AC29" s="5">
        <f t="shared" si="0"/>
        <v>12.095833333333333</v>
      </c>
    </row>
    <row r="30" spans="2:29" x14ac:dyDescent="0.25">
      <c r="B30" s="4">
        <v>42395</v>
      </c>
      <c r="C30" s="3">
        <v>26</v>
      </c>
      <c r="D30" s="2">
        <v>11.5</v>
      </c>
      <c r="E30" s="2">
        <v>11.3</v>
      </c>
      <c r="F30" s="2">
        <v>11.5</v>
      </c>
      <c r="G30" s="2">
        <v>11.6</v>
      </c>
      <c r="H30" s="2">
        <v>11.9</v>
      </c>
      <c r="I30" s="2">
        <v>11.5</v>
      </c>
      <c r="J30" s="2">
        <v>11.2</v>
      </c>
      <c r="K30" s="2">
        <v>11.3</v>
      </c>
      <c r="L30" s="2">
        <v>11.4</v>
      </c>
      <c r="M30" s="2">
        <v>11.8</v>
      </c>
      <c r="N30" s="2">
        <v>12.4</v>
      </c>
      <c r="O30" s="2">
        <v>13.2</v>
      </c>
      <c r="P30" s="2">
        <v>14.4</v>
      </c>
      <c r="Q30" s="2">
        <v>15.1</v>
      </c>
      <c r="R30" s="2">
        <v>15.8</v>
      </c>
      <c r="S30" s="2">
        <v>15.6</v>
      </c>
      <c r="T30" s="2">
        <v>15.5</v>
      </c>
      <c r="U30" s="2">
        <v>14.1</v>
      </c>
      <c r="V30" s="2">
        <v>12</v>
      </c>
      <c r="W30" s="2">
        <v>11.5</v>
      </c>
      <c r="X30" s="2">
        <v>9.1</v>
      </c>
      <c r="Y30" s="2">
        <v>8.8000000000000007</v>
      </c>
      <c r="Z30" s="2">
        <v>7.4</v>
      </c>
      <c r="AA30" s="2">
        <v>6.2</v>
      </c>
      <c r="AC30" s="5">
        <f t="shared" si="0"/>
        <v>11.920833333333333</v>
      </c>
    </row>
    <row r="31" spans="2:29" x14ac:dyDescent="0.25">
      <c r="B31" s="4">
        <v>42396</v>
      </c>
      <c r="C31" s="3">
        <v>27</v>
      </c>
      <c r="D31" s="2">
        <v>7.5</v>
      </c>
      <c r="E31" s="2">
        <v>6.8</v>
      </c>
      <c r="F31" s="2">
        <v>6.5</v>
      </c>
      <c r="G31" s="2">
        <v>6.1</v>
      </c>
      <c r="H31" s="2">
        <v>6.6</v>
      </c>
      <c r="I31" s="2">
        <v>6.4</v>
      </c>
      <c r="J31" s="2">
        <v>5.9</v>
      </c>
      <c r="K31" s="2">
        <v>5.7</v>
      </c>
      <c r="L31" s="2">
        <v>5.3</v>
      </c>
      <c r="M31" s="2">
        <v>7</v>
      </c>
      <c r="N31" s="2">
        <v>12</v>
      </c>
      <c r="O31" s="2">
        <v>14.1</v>
      </c>
      <c r="P31" s="2">
        <v>15.5</v>
      </c>
      <c r="Q31" s="2">
        <v>15.7</v>
      </c>
      <c r="R31" s="2">
        <v>15.8</v>
      </c>
      <c r="S31" s="2">
        <v>15.3</v>
      </c>
      <c r="T31" s="2">
        <v>14.8</v>
      </c>
      <c r="U31" s="2">
        <v>13.4</v>
      </c>
      <c r="V31" s="2">
        <v>11.8</v>
      </c>
      <c r="W31" s="2">
        <v>12.1</v>
      </c>
      <c r="X31" s="2">
        <v>12.1</v>
      </c>
      <c r="Y31" s="2">
        <v>9.4</v>
      </c>
      <c r="Z31" s="2">
        <v>10.3</v>
      </c>
      <c r="AA31" s="2">
        <v>8.4</v>
      </c>
      <c r="AC31" s="5">
        <f t="shared" si="0"/>
        <v>10.187500000000002</v>
      </c>
    </row>
    <row r="32" spans="2:29" x14ac:dyDescent="0.25">
      <c r="B32" s="4">
        <v>42397</v>
      </c>
      <c r="C32" s="3">
        <v>28</v>
      </c>
      <c r="D32" s="2">
        <v>8.9</v>
      </c>
      <c r="E32" s="2">
        <v>7.9</v>
      </c>
      <c r="F32" s="2">
        <v>6.4</v>
      </c>
      <c r="G32" s="2">
        <v>9.1999999999999993</v>
      </c>
      <c r="H32" s="2">
        <v>7.1</v>
      </c>
      <c r="I32" s="2">
        <v>6.2</v>
      </c>
      <c r="J32" s="2">
        <v>6.5</v>
      </c>
      <c r="K32" s="2">
        <v>5.9</v>
      </c>
      <c r="L32" s="2">
        <v>6.6</v>
      </c>
      <c r="M32" s="2">
        <v>8.1999999999999993</v>
      </c>
      <c r="N32" s="2">
        <v>12.1</v>
      </c>
      <c r="O32" s="2">
        <v>13.7</v>
      </c>
      <c r="P32" s="2">
        <v>14.3</v>
      </c>
      <c r="Q32" s="2">
        <v>15.7</v>
      </c>
      <c r="R32" s="2">
        <v>16.2</v>
      </c>
      <c r="S32" s="2">
        <v>15.1</v>
      </c>
      <c r="T32" s="2">
        <v>15.1</v>
      </c>
      <c r="U32" s="2">
        <v>13.8</v>
      </c>
      <c r="V32" s="2">
        <v>11.4</v>
      </c>
      <c r="W32" s="2">
        <v>8.5</v>
      </c>
      <c r="X32" s="2">
        <v>9.1</v>
      </c>
      <c r="Y32" s="2">
        <v>9.1999999999999993</v>
      </c>
      <c r="Z32" s="2">
        <v>9.1999999999999993</v>
      </c>
      <c r="AA32" s="2">
        <v>8.8000000000000007</v>
      </c>
      <c r="AC32" s="5">
        <f t="shared" si="0"/>
        <v>10.212499999999999</v>
      </c>
    </row>
    <row r="33" spans="2:29" x14ac:dyDescent="0.25">
      <c r="B33" s="4">
        <v>42398</v>
      </c>
      <c r="C33" s="3">
        <v>29</v>
      </c>
      <c r="D33" s="2">
        <v>9.6999999999999993</v>
      </c>
      <c r="E33" s="2">
        <v>8</v>
      </c>
      <c r="F33" s="2">
        <v>8.1</v>
      </c>
      <c r="G33" s="2">
        <v>8.9</v>
      </c>
      <c r="H33" s="2">
        <v>8.6</v>
      </c>
      <c r="I33" s="2">
        <v>8</v>
      </c>
      <c r="J33" s="2">
        <v>8.3000000000000007</v>
      </c>
      <c r="K33" s="2">
        <v>8.1999999999999993</v>
      </c>
      <c r="L33" s="2">
        <v>8.9</v>
      </c>
      <c r="M33" s="2">
        <v>9.3000000000000007</v>
      </c>
      <c r="N33" s="2">
        <v>10.8</v>
      </c>
      <c r="O33" s="2">
        <v>12</v>
      </c>
      <c r="P33" s="2">
        <v>14.3</v>
      </c>
      <c r="Q33" s="2">
        <v>15.1</v>
      </c>
      <c r="R33" s="2">
        <v>15.3</v>
      </c>
      <c r="S33" s="2">
        <v>15.3</v>
      </c>
      <c r="T33" s="2">
        <v>14.8</v>
      </c>
      <c r="U33" s="2">
        <v>14.1</v>
      </c>
      <c r="V33" s="2">
        <v>11.6</v>
      </c>
      <c r="W33" s="2">
        <v>8.5</v>
      </c>
      <c r="X33" s="2">
        <v>8.6999999999999993</v>
      </c>
      <c r="Y33" s="2">
        <v>7.4</v>
      </c>
      <c r="Z33" s="2">
        <v>7.1</v>
      </c>
      <c r="AA33" s="2">
        <v>7.9</v>
      </c>
      <c r="AC33" s="5">
        <f t="shared" si="0"/>
        <v>10.370833333333334</v>
      </c>
    </row>
    <row r="34" spans="2:29" x14ac:dyDescent="0.25">
      <c r="B34" s="4">
        <v>42399</v>
      </c>
      <c r="C34" s="3">
        <v>30</v>
      </c>
      <c r="D34" s="2">
        <v>7.6</v>
      </c>
      <c r="E34" s="2">
        <v>7</v>
      </c>
      <c r="F34" s="2">
        <v>7.8</v>
      </c>
      <c r="G34" s="2">
        <v>7.6</v>
      </c>
      <c r="H34" s="2">
        <v>8.1999999999999993</v>
      </c>
      <c r="I34" s="2">
        <v>7.9</v>
      </c>
      <c r="J34" s="2">
        <v>7.2</v>
      </c>
      <c r="K34" s="2">
        <v>6.2</v>
      </c>
      <c r="L34" s="2">
        <v>5.2</v>
      </c>
      <c r="M34" s="2">
        <v>7.1</v>
      </c>
      <c r="N34" s="2">
        <v>12.4</v>
      </c>
      <c r="O34" s="2">
        <v>14.1</v>
      </c>
      <c r="P34" s="2">
        <v>15.1</v>
      </c>
      <c r="Q34" s="2">
        <v>16.399999999999999</v>
      </c>
      <c r="R34" s="2">
        <v>16.899999999999999</v>
      </c>
      <c r="S34" s="2">
        <v>17.600000000000001</v>
      </c>
      <c r="T34" s="2">
        <v>17</v>
      </c>
      <c r="U34" s="2">
        <v>15.6</v>
      </c>
      <c r="V34" s="2">
        <v>13.9</v>
      </c>
      <c r="W34" s="2">
        <v>12.7</v>
      </c>
      <c r="X34" s="2">
        <v>10.5</v>
      </c>
      <c r="Y34" s="2">
        <v>7.7</v>
      </c>
      <c r="Z34" s="2">
        <v>5.7</v>
      </c>
      <c r="AA34" s="2">
        <v>5.7</v>
      </c>
      <c r="AC34" s="5">
        <f t="shared" si="0"/>
        <v>10.545833333333331</v>
      </c>
    </row>
    <row r="35" spans="2:29" x14ac:dyDescent="0.25">
      <c r="B35" s="4">
        <v>42400</v>
      </c>
      <c r="C35" s="3">
        <v>31</v>
      </c>
      <c r="D35" s="2">
        <v>5.4</v>
      </c>
      <c r="E35" s="2">
        <v>5.5</v>
      </c>
      <c r="F35" s="2">
        <v>5.3</v>
      </c>
      <c r="G35" s="2">
        <v>5.6</v>
      </c>
      <c r="H35" s="2">
        <v>4.9000000000000004</v>
      </c>
      <c r="I35" s="2">
        <v>8.5</v>
      </c>
      <c r="J35" s="2">
        <v>11.4</v>
      </c>
      <c r="K35" s="2">
        <v>10.7</v>
      </c>
      <c r="L35" s="2">
        <v>10.7</v>
      </c>
      <c r="M35" s="2">
        <v>11.8</v>
      </c>
      <c r="N35" s="2">
        <v>14.2</v>
      </c>
      <c r="O35" s="2">
        <v>15.6</v>
      </c>
      <c r="P35" s="2">
        <v>16.5</v>
      </c>
      <c r="Q35" s="2">
        <v>17.5</v>
      </c>
      <c r="R35" s="2">
        <v>17.8</v>
      </c>
      <c r="S35" s="2">
        <v>17.8</v>
      </c>
      <c r="T35" s="2">
        <v>17.8</v>
      </c>
      <c r="U35" s="2">
        <v>16.7</v>
      </c>
      <c r="V35" s="2">
        <v>14.6</v>
      </c>
      <c r="W35" s="2">
        <v>13.6</v>
      </c>
      <c r="X35" s="2">
        <v>12</v>
      </c>
      <c r="Y35" s="2">
        <v>9.6999999999999993</v>
      </c>
      <c r="Z35" s="2">
        <v>10</v>
      </c>
      <c r="AA35" s="2">
        <v>8.5</v>
      </c>
      <c r="AC35" s="5">
        <f t="shared" si="0"/>
        <v>11.754166666666668</v>
      </c>
    </row>
    <row r="36" spans="2:29" x14ac:dyDescent="0.25">
      <c r="B36" s="4">
        <v>42401</v>
      </c>
      <c r="C36" s="3">
        <v>32</v>
      </c>
      <c r="D36" s="2">
        <v>8.8000000000000007</v>
      </c>
      <c r="E36" s="2">
        <v>9</v>
      </c>
      <c r="F36" s="2">
        <v>7.4</v>
      </c>
      <c r="G36" s="2">
        <v>8</v>
      </c>
      <c r="H36" s="2">
        <v>7.4</v>
      </c>
      <c r="I36" s="2">
        <v>7</v>
      </c>
      <c r="J36" s="2">
        <v>7.5</v>
      </c>
      <c r="K36" s="2">
        <v>7.3</v>
      </c>
      <c r="L36" s="2">
        <v>8.1</v>
      </c>
      <c r="M36" s="2">
        <v>12.4</v>
      </c>
      <c r="N36" s="2">
        <v>15</v>
      </c>
      <c r="O36" s="2">
        <v>16.7</v>
      </c>
      <c r="P36" s="2">
        <v>18.600000000000001</v>
      </c>
      <c r="Q36" s="2">
        <v>19.3</v>
      </c>
      <c r="R36" s="2">
        <v>20.3</v>
      </c>
      <c r="S36" s="2">
        <v>21.3</v>
      </c>
      <c r="T36" s="2">
        <v>21.1</v>
      </c>
      <c r="U36" s="2">
        <v>19.5</v>
      </c>
      <c r="V36" s="2">
        <v>16.600000000000001</v>
      </c>
      <c r="W36" s="2">
        <v>13.2</v>
      </c>
      <c r="X36" s="2">
        <v>11.1</v>
      </c>
      <c r="Y36" s="2">
        <v>9.5</v>
      </c>
      <c r="Z36" s="2">
        <v>9.4</v>
      </c>
      <c r="AA36" s="2">
        <v>8.5</v>
      </c>
      <c r="AC36" s="5">
        <f t="shared" si="0"/>
        <v>12.625000000000002</v>
      </c>
    </row>
    <row r="37" spans="2:29" x14ac:dyDescent="0.25">
      <c r="B37" s="4">
        <v>42402</v>
      </c>
      <c r="C37" s="3">
        <v>33</v>
      </c>
      <c r="D37" s="2">
        <v>7.7</v>
      </c>
      <c r="E37" s="2">
        <v>7.2</v>
      </c>
      <c r="F37" s="2">
        <v>6.2</v>
      </c>
      <c r="G37" s="2">
        <v>6.4</v>
      </c>
      <c r="H37" s="2">
        <v>5.7</v>
      </c>
      <c r="I37" s="2">
        <v>4.5999999999999996</v>
      </c>
      <c r="J37" s="2">
        <v>5.2</v>
      </c>
      <c r="K37" s="2">
        <v>5.3</v>
      </c>
      <c r="L37" s="2">
        <v>4.5999999999999996</v>
      </c>
      <c r="M37" s="2">
        <v>9.4</v>
      </c>
      <c r="N37" s="2">
        <v>12.9</v>
      </c>
      <c r="O37" s="2">
        <v>15.4</v>
      </c>
      <c r="P37" s="2">
        <v>15.7</v>
      </c>
      <c r="Q37" s="2">
        <v>16</v>
      </c>
      <c r="R37" s="2">
        <v>16.399999999999999</v>
      </c>
      <c r="S37" s="2">
        <v>15.9</v>
      </c>
      <c r="T37" s="2">
        <v>15.4</v>
      </c>
      <c r="U37" s="2">
        <v>14.3</v>
      </c>
      <c r="V37" s="2">
        <v>11.4</v>
      </c>
      <c r="W37" s="2">
        <v>9.6</v>
      </c>
      <c r="X37" s="2">
        <v>9</v>
      </c>
      <c r="Y37" s="2">
        <v>8.4</v>
      </c>
      <c r="Z37" s="2">
        <v>8.1</v>
      </c>
      <c r="AA37" s="2">
        <v>8.1999999999999993</v>
      </c>
      <c r="AC37" s="5">
        <f t="shared" si="0"/>
        <v>9.9583333333333339</v>
      </c>
    </row>
    <row r="38" spans="2:29" x14ac:dyDescent="0.25">
      <c r="B38" s="4">
        <v>42403</v>
      </c>
      <c r="C38" s="3">
        <v>34</v>
      </c>
      <c r="D38" s="2">
        <v>7.3</v>
      </c>
      <c r="E38" s="2">
        <v>5.7</v>
      </c>
      <c r="F38" s="2">
        <v>6.6</v>
      </c>
      <c r="G38" s="2">
        <v>6.8</v>
      </c>
      <c r="H38" s="2">
        <v>7.9</v>
      </c>
      <c r="I38" s="2">
        <v>7.3</v>
      </c>
      <c r="J38" s="2">
        <v>6.3</v>
      </c>
      <c r="K38" s="2">
        <v>7.2</v>
      </c>
      <c r="L38" s="2">
        <v>9.4</v>
      </c>
      <c r="M38" s="2">
        <v>10.1</v>
      </c>
      <c r="N38" s="2">
        <v>11.7</v>
      </c>
      <c r="O38" s="2">
        <v>13.4</v>
      </c>
      <c r="P38" s="2">
        <v>15</v>
      </c>
      <c r="Q38" s="2">
        <v>17.399999999999999</v>
      </c>
      <c r="R38" s="2">
        <v>17.8</v>
      </c>
      <c r="S38" s="2">
        <v>17.7</v>
      </c>
      <c r="T38" s="2">
        <v>17.399999999999999</v>
      </c>
      <c r="U38" s="2">
        <v>16.3</v>
      </c>
      <c r="V38" s="2">
        <v>13.9</v>
      </c>
      <c r="W38" s="2">
        <v>12.7</v>
      </c>
      <c r="X38" s="2">
        <v>12.2</v>
      </c>
      <c r="Y38" s="2">
        <v>11</v>
      </c>
      <c r="Z38" s="2">
        <v>9</v>
      </c>
      <c r="AA38" s="2">
        <v>6.1</v>
      </c>
      <c r="AC38" s="5">
        <f t="shared" si="0"/>
        <v>11.091666666666669</v>
      </c>
    </row>
    <row r="39" spans="2:29" x14ac:dyDescent="0.25">
      <c r="B39" s="4">
        <v>42404</v>
      </c>
      <c r="C39" s="3">
        <v>35</v>
      </c>
      <c r="D39" s="2">
        <v>8.1999999999999993</v>
      </c>
      <c r="E39" s="2">
        <v>6.3</v>
      </c>
      <c r="F39" s="2">
        <v>4.0999999999999996</v>
      </c>
      <c r="G39" s="2">
        <v>6.9</v>
      </c>
      <c r="H39" s="2">
        <v>5.8</v>
      </c>
      <c r="I39" s="2">
        <v>2.2999999999999998</v>
      </c>
      <c r="J39" s="2">
        <v>2.2000000000000002</v>
      </c>
      <c r="K39" s="2">
        <v>3.1</v>
      </c>
      <c r="L39" s="2">
        <v>1</v>
      </c>
      <c r="M39" s="2">
        <v>5.9</v>
      </c>
      <c r="N39" s="2">
        <v>9.3000000000000007</v>
      </c>
      <c r="O39" s="2">
        <v>11.4</v>
      </c>
      <c r="P39" s="2">
        <v>14.4</v>
      </c>
      <c r="Q39" s="2">
        <v>14.7</v>
      </c>
      <c r="R39" s="2">
        <v>14.8</v>
      </c>
      <c r="S39" s="2">
        <v>15.2</v>
      </c>
      <c r="T39" s="2">
        <v>15.4</v>
      </c>
      <c r="U39" s="2">
        <v>14.4</v>
      </c>
      <c r="V39" s="2">
        <v>11.9</v>
      </c>
      <c r="W39" s="2">
        <v>9</v>
      </c>
      <c r="X39" s="2">
        <v>6.8</v>
      </c>
      <c r="Y39" s="2">
        <v>3.7</v>
      </c>
      <c r="Z39" s="2">
        <v>4.4000000000000004</v>
      </c>
      <c r="AA39" s="2">
        <v>3.5</v>
      </c>
      <c r="AC39" s="5">
        <f t="shared" si="0"/>
        <v>8.1125000000000025</v>
      </c>
    </row>
    <row r="40" spans="2:29" x14ac:dyDescent="0.25">
      <c r="B40" s="4">
        <v>42405</v>
      </c>
      <c r="C40" s="3">
        <v>36</v>
      </c>
      <c r="D40" s="2">
        <v>1.9</v>
      </c>
      <c r="E40" s="2">
        <v>2.2999999999999998</v>
      </c>
      <c r="F40" s="2">
        <v>2.9</v>
      </c>
      <c r="G40" s="2">
        <v>0.8</v>
      </c>
      <c r="H40" s="2">
        <v>1.2</v>
      </c>
      <c r="I40" s="2">
        <v>1.6</v>
      </c>
      <c r="J40" s="2">
        <v>2.1</v>
      </c>
      <c r="K40" s="2">
        <v>2</v>
      </c>
      <c r="L40" s="2">
        <v>3.5</v>
      </c>
      <c r="M40" s="2">
        <v>7.9</v>
      </c>
      <c r="N40" s="2">
        <v>12.1</v>
      </c>
      <c r="O40" s="2">
        <v>13.5</v>
      </c>
      <c r="P40" s="2">
        <v>14.9</v>
      </c>
      <c r="Q40" s="2">
        <v>14.8</v>
      </c>
      <c r="R40" s="2">
        <v>15</v>
      </c>
      <c r="S40" s="2">
        <v>15</v>
      </c>
      <c r="T40" s="2">
        <v>14.1</v>
      </c>
      <c r="U40" s="2">
        <v>13</v>
      </c>
      <c r="V40" s="2">
        <v>10.5</v>
      </c>
      <c r="W40" s="2">
        <v>7.8</v>
      </c>
      <c r="X40" s="2">
        <v>6.5</v>
      </c>
      <c r="Y40" s="2">
        <v>6.3</v>
      </c>
      <c r="Z40" s="2">
        <v>6.4</v>
      </c>
      <c r="AA40" s="2">
        <v>7</v>
      </c>
      <c r="AC40" s="5">
        <f t="shared" si="0"/>
        <v>7.6291666666666673</v>
      </c>
    </row>
    <row r="41" spans="2:29" x14ac:dyDescent="0.25">
      <c r="B41" s="4">
        <v>42406</v>
      </c>
      <c r="C41" s="3">
        <v>37</v>
      </c>
      <c r="D41" s="2">
        <v>7.1</v>
      </c>
      <c r="E41" s="2">
        <v>6.5</v>
      </c>
      <c r="F41" s="2">
        <v>5.9</v>
      </c>
      <c r="G41" s="2">
        <v>7.2</v>
      </c>
      <c r="H41" s="2">
        <v>8</v>
      </c>
      <c r="I41" s="2">
        <v>8.3000000000000007</v>
      </c>
      <c r="J41" s="2">
        <v>8.6999999999999993</v>
      </c>
      <c r="K41" s="2">
        <v>7.7</v>
      </c>
      <c r="L41" s="2">
        <v>8.8000000000000007</v>
      </c>
      <c r="M41" s="2">
        <v>9.8000000000000007</v>
      </c>
      <c r="N41" s="2">
        <v>9.8000000000000007</v>
      </c>
      <c r="O41" s="2">
        <v>10.4</v>
      </c>
      <c r="P41" s="2">
        <v>10.7</v>
      </c>
      <c r="Q41" s="2">
        <v>12.1</v>
      </c>
      <c r="R41" s="2">
        <v>13.1</v>
      </c>
      <c r="S41" s="2">
        <v>14.4</v>
      </c>
      <c r="T41" s="2">
        <v>13.7</v>
      </c>
      <c r="U41" s="2">
        <v>12.9</v>
      </c>
      <c r="V41" s="2">
        <v>11.2</v>
      </c>
      <c r="W41" s="2">
        <v>10.199999999999999</v>
      </c>
      <c r="X41" s="2">
        <v>11.3</v>
      </c>
      <c r="Y41" s="2">
        <v>11.6</v>
      </c>
      <c r="Z41" s="2">
        <v>11.3</v>
      </c>
      <c r="AA41" s="2">
        <v>10.8</v>
      </c>
      <c r="AC41" s="5">
        <f t="shared" si="0"/>
        <v>10.0625</v>
      </c>
    </row>
    <row r="42" spans="2:29" x14ac:dyDescent="0.25">
      <c r="B42" s="4">
        <v>42407</v>
      </c>
      <c r="C42" s="3">
        <v>38</v>
      </c>
      <c r="D42" s="2">
        <v>9.8000000000000007</v>
      </c>
      <c r="E42" s="2">
        <v>9.8000000000000007</v>
      </c>
      <c r="F42" s="2">
        <v>10.1</v>
      </c>
      <c r="G42" s="2">
        <v>10.1</v>
      </c>
      <c r="H42" s="2">
        <v>10.199999999999999</v>
      </c>
      <c r="I42" s="2">
        <v>10.8</v>
      </c>
      <c r="J42" s="2">
        <v>10.1</v>
      </c>
      <c r="K42" s="2">
        <v>10.5</v>
      </c>
      <c r="L42" s="2">
        <v>9.3000000000000007</v>
      </c>
      <c r="M42" s="2">
        <v>9.6999999999999993</v>
      </c>
      <c r="N42" s="2">
        <v>11.8</v>
      </c>
      <c r="O42" s="2">
        <v>12.8</v>
      </c>
      <c r="P42" s="2">
        <v>13</v>
      </c>
      <c r="Q42" s="2">
        <v>13.7</v>
      </c>
      <c r="R42" s="2">
        <v>14.1</v>
      </c>
      <c r="S42" s="2">
        <v>14.4</v>
      </c>
      <c r="T42" s="2">
        <v>14.4</v>
      </c>
      <c r="U42" s="2">
        <v>14</v>
      </c>
      <c r="V42" s="2">
        <v>12.8</v>
      </c>
      <c r="W42" s="2">
        <v>12.2</v>
      </c>
      <c r="X42" s="2">
        <v>12.2</v>
      </c>
      <c r="Y42" s="2">
        <v>11.8</v>
      </c>
      <c r="Z42" s="2">
        <v>11.7</v>
      </c>
      <c r="AA42" s="2">
        <v>11.2</v>
      </c>
      <c r="AC42" s="5">
        <f t="shared" si="0"/>
        <v>11.687499999999998</v>
      </c>
    </row>
    <row r="43" spans="2:29" x14ac:dyDescent="0.25">
      <c r="B43" s="4">
        <v>42408</v>
      </c>
      <c r="C43" s="3">
        <v>39</v>
      </c>
      <c r="D43" s="2">
        <v>11.1</v>
      </c>
      <c r="E43" s="2">
        <v>10.3</v>
      </c>
      <c r="F43" s="2">
        <v>10.3</v>
      </c>
      <c r="G43" s="2">
        <v>11.8</v>
      </c>
      <c r="H43" s="2">
        <v>11.6</v>
      </c>
      <c r="I43" s="2">
        <v>8.4</v>
      </c>
      <c r="J43" s="2">
        <v>8.4</v>
      </c>
      <c r="K43" s="2">
        <v>7.4</v>
      </c>
      <c r="L43" s="2">
        <v>8.5</v>
      </c>
      <c r="M43" s="2">
        <v>12.4</v>
      </c>
      <c r="N43" s="2">
        <v>14.6</v>
      </c>
      <c r="O43" s="2">
        <v>16.8</v>
      </c>
      <c r="P43" s="2">
        <v>17</v>
      </c>
      <c r="Q43" s="2">
        <v>18.100000000000001</v>
      </c>
      <c r="R43" s="2">
        <v>18.2</v>
      </c>
      <c r="S43" s="2">
        <v>19.100000000000001</v>
      </c>
      <c r="T43" s="2">
        <v>17.3</v>
      </c>
      <c r="U43" s="2">
        <v>15.7</v>
      </c>
      <c r="V43" s="2">
        <v>14.1</v>
      </c>
      <c r="W43" s="2">
        <v>12.5</v>
      </c>
      <c r="X43" s="2">
        <v>12.9</v>
      </c>
      <c r="Y43" s="2">
        <v>14.3</v>
      </c>
      <c r="Z43" s="2">
        <v>14.7</v>
      </c>
      <c r="AA43" s="2">
        <v>12.9</v>
      </c>
      <c r="AC43" s="5">
        <f t="shared" si="0"/>
        <v>13.266666666666666</v>
      </c>
    </row>
    <row r="44" spans="2:29" x14ac:dyDescent="0.25">
      <c r="B44" s="4">
        <v>42409</v>
      </c>
      <c r="C44" s="3">
        <v>40</v>
      </c>
      <c r="D44" s="2">
        <v>13.3</v>
      </c>
      <c r="E44" s="2">
        <v>13</v>
      </c>
      <c r="F44" s="2">
        <v>12.6</v>
      </c>
      <c r="G44" s="2">
        <v>13</v>
      </c>
      <c r="H44" s="2">
        <v>13.3</v>
      </c>
      <c r="I44" s="2">
        <v>12.9</v>
      </c>
      <c r="J44" s="2">
        <v>13</v>
      </c>
      <c r="K44" s="2">
        <v>12.1</v>
      </c>
      <c r="L44" s="2">
        <v>12</v>
      </c>
      <c r="M44" s="2">
        <v>13.6</v>
      </c>
      <c r="N44" s="2">
        <v>16.3</v>
      </c>
      <c r="O44" s="2">
        <v>17.100000000000001</v>
      </c>
      <c r="P44" s="2">
        <v>17.399999999999999</v>
      </c>
      <c r="Q44" s="2">
        <v>18.5</v>
      </c>
      <c r="R44" s="2">
        <v>18.3</v>
      </c>
      <c r="S44" s="2">
        <v>17.899999999999999</v>
      </c>
      <c r="T44" s="2">
        <v>18.2</v>
      </c>
      <c r="U44" s="2">
        <v>16.100000000000001</v>
      </c>
      <c r="V44" s="2">
        <v>18.8</v>
      </c>
      <c r="W44" s="2">
        <v>19.2</v>
      </c>
      <c r="X44" s="2">
        <v>19</v>
      </c>
      <c r="Y44" s="2">
        <v>18.5</v>
      </c>
      <c r="Z44" s="2">
        <v>16.399999999999999</v>
      </c>
      <c r="AA44" s="2">
        <v>15.3</v>
      </c>
      <c r="AC44" s="5">
        <f t="shared" si="0"/>
        <v>15.658333333333333</v>
      </c>
    </row>
    <row r="45" spans="2:29" x14ac:dyDescent="0.25">
      <c r="B45" s="4">
        <v>42410</v>
      </c>
      <c r="C45" s="3">
        <v>41</v>
      </c>
      <c r="D45" s="2">
        <v>15.4</v>
      </c>
      <c r="E45" s="2">
        <v>14.2</v>
      </c>
      <c r="F45" s="2">
        <v>13.5</v>
      </c>
      <c r="G45" s="2">
        <v>13.7</v>
      </c>
      <c r="H45" s="2">
        <v>13.3</v>
      </c>
      <c r="I45" s="2">
        <v>12.9</v>
      </c>
      <c r="J45" s="2">
        <v>12.5</v>
      </c>
      <c r="K45" s="2">
        <v>11</v>
      </c>
      <c r="L45" s="2">
        <v>10.5</v>
      </c>
      <c r="M45" s="2">
        <v>11.6</v>
      </c>
      <c r="N45" s="2">
        <v>12</v>
      </c>
      <c r="O45" s="2">
        <v>14.1</v>
      </c>
      <c r="P45" s="2">
        <v>15.3</v>
      </c>
      <c r="Q45" s="2">
        <v>14.8</v>
      </c>
      <c r="R45" s="2">
        <v>14.7</v>
      </c>
      <c r="S45" s="2">
        <v>14.1</v>
      </c>
      <c r="T45" s="2">
        <v>14.9</v>
      </c>
      <c r="U45" s="2">
        <v>14.6</v>
      </c>
      <c r="V45" s="2">
        <v>13.9</v>
      </c>
      <c r="W45" s="2">
        <v>13.2</v>
      </c>
      <c r="X45" s="2">
        <v>13</v>
      </c>
      <c r="Y45" s="2">
        <v>13</v>
      </c>
      <c r="Z45" s="2">
        <v>14</v>
      </c>
      <c r="AA45" s="2">
        <v>13.6</v>
      </c>
      <c r="AC45" s="5">
        <f t="shared" si="0"/>
        <v>13.491666666666667</v>
      </c>
    </row>
    <row r="46" spans="2:29" x14ac:dyDescent="0.25">
      <c r="B46" s="4">
        <v>42411</v>
      </c>
      <c r="C46" s="3">
        <v>42</v>
      </c>
      <c r="D46" s="2">
        <v>10.6</v>
      </c>
      <c r="E46" s="2">
        <v>10.199999999999999</v>
      </c>
      <c r="F46" s="2">
        <v>9.9</v>
      </c>
      <c r="G46" s="2">
        <v>10</v>
      </c>
      <c r="H46" s="2">
        <v>10</v>
      </c>
      <c r="I46" s="2">
        <v>9.9</v>
      </c>
      <c r="J46" s="2">
        <v>9.9</v>
      </c>
      <c r="K46" s="2">
        <v>9.8000000000000007</v>
      </c>
      <c r="L46" s="2">
        <v>9.8000000000000007</v>
      </c>
      <c r="M46" s="2">
        <v>10.7</v>
      </c>
      <c r="N46" s="2">
        <v>12.6</v>
      </c>
      <c r="O46" s="2">
        <v>12.1</v>
      </c>
      <c r="P46" s="2">
        <v>11.6</v>
      </c>
      <c r="Q46" s="2">
        <v>11</v>
      </c>
      <c r="R46" s="2">
        <v>11</v>
      </c>
      <c r="S46" s="2">
        <v>12.2</v>
      </c>
      <c r="T46" s="2">
        <v>14.1</v>
      </c>
      <c r="U46" s="2">
        <v>15.2</v>
      </c>
      <c r="V46" s="2">
        <v>13.4</v>
      </c>
      <c r="W46" s="2">
        <v>12.6</v>
      </c>
      <c r="X46" s="2">
        <v>13.1</v>
      </c>
      <c r="Y46" s="2">
        <v>12.8</v>
      </c>
      <c r="Z46" s="2">
        <v>12.2</v>
      </c>
      <c r="AA46" s="2">
        <v>10.8</v>
      </c>
      <c r="AC46" s="5">
        <f t="shared" si="0"/>
        <v>11.479166666666666</v>
      </c>
    </row>
    <row r="47" spans="2:29" x14ac:dyDescent="0.25">
      <c r="B47" s="4">
        <v>42412</v>
      </c>
      <c r="C47" s="3">
        <v>43</v>
      </c>
      <c r="D47" s="2">
        <v>9.6</v>
      </c>
      <c r="E47" s="2">
        <v>10.9</v>
      </c>
      <c r="F47" s="2">
        <v>10.199999999999999</v>
      </c>
      <c r="G47" s="2">
        <v>9.5</v>
      </c>
      <c r="H47" s="2">
        <v>9.5</v>
      </c>
      <c r="I47" s="2">
        <v>9.1999999999999993</v>
      </c>
      <c r="J47" s="2">
        <v>8</v>
      </c>
      <c r="K47" s="2">
        <v>8.1999999999999993</v>
      </c>
      <c r="L47" s="2">
        <v>7.9</v>
      </c>
      <c r="M47" s="2">
        <v>9.8000000000000007</v>
      </c>
      <c r="N47" s="2">
        <v>11.4</v>
      </c>
      <c r="O47" s="2">
        <v>14.6</v>
      </c>
      <c r="P47" s="2">
        <v>16.600000000000001</v>
      </c>
      <c r="Q47" s="2">
        <v>18.2</v>
      </c>
      <c r="R47" s="2">
        <v>17.399999999999999</v>
      </c>
      <c r="S47" s="2">
        <v>19.7</v>
      </c>
      <c r="T47" s="2">
        <v>18.600000000000001</v>
      </c>
      <c r="U47" s="2">
        <v>18.399999999999999</v>
      </c>
      <c r="V47" s="2">
        <v>18.100000000000001</v>
      </c>
      <c r="W47" s="2">
        <v>18.2</v>
      </c>
      <c r="X47" s="2">
        <v>18</v>
      </c>
      <c r="Y47" s="2">
        <v>17.8</v>
      </c>
      <c r="Z47" s="2">
        <v>17.899999999999999</v>
      </c>
      <c r="AA47" s="2">
        <v>17.399999999999999</v>
      </c>
      <c r="AC47" s="5">
        <f t="shared" si="0"/>
        <v>13.962499999999999</v>
      </c>
    </row>
    <row r="48" spans="2:29" x14ac:dyDescent="0.25">
      <c r="B48" s="4">
        <v>42413</v>
      </c>
      <c r="C48" s="3">
        <v>44</v>
      </c>
      <c r="D48" s="2">
        <v>17.100000000000001</v>
      </c>
      <c r="E48" s="2">
        <v>17</v>
      </c>
      <c r="F48" s="2">
        <v>16.600000000000001</v>
      </c>
      <c r="G48" s="2">
        <v>15</v>
      </c>
      <c r="H48" s="2">
        <v>15.5</v>
      </c>
      <c r="I48" s="2">
        <v>15</v>
      </c>
      <c r="J48" s="2">
        <v>13.7</v>
      </c>
      <c r="K48" s="2">
        <v>14.2</v>
      </c>
      <c r="L48" s="2">
        <v>15.5</v>
      </c>
      <c r="M48" s="2">
        <v>17.899999999999999</v>
      </c>
      <c r="N48" s="2">
        <v>18.8</v>
      </c>
      <c r="O48" s="2">
        <v>17.5</v>
      </c>
      <c r="P48" s="2">
        <v>18</v>
      </c>
      <c r="Q48" s="2">
        <v>19.3</v>
      </c>
      <c r="R48" s="2">
        <v>20.7</v>
      </c>
      <c r="S48" s="2">
        <v>21.1</v>
      </c>
      <c r="T48" s="2">
        <v>21</v>
      </c>
      <c r="U48" s="2">
        <v>21.6</v>
      </c>
      <c r="V48" s="2">
        <v>20.8</v>
      </c>
      <c r="W48" s="2">
        <v>17.2</v>
      </c>
      <c r="X48" s="2">
        <v>13.3</v>
      </c>
      <c r="Y48" s="2">
        <v>13.7</v>
      </c>
      <c r="Z48" s="2">
        <v>13.7</v>
      </c>
      <c r="AA48" s="2">
        <v>14</v>
      </c>
      <c r="AC48" s="5">
        <f t="shared" si="0"/>
        <v>17.008333333333336</v>
      </c>
    </row>
    <row r="49" spans="2:29" x14ac:dyDescent="0.25">
      <c r="B49" s="4">
        <v>42414</v>
      </c>
      <c r="C49" s="3">
        <v>45</v>
      </c>
      <c r="D49" s="2">
        <v>12.8</v>
      </c>
      <c r="E49" s="2">
        <v>12.1</v>
      </c>
      <c r="F49" s="2">
        <v>11.4</v>
      </c>
      <c r="G49" s="2">
        <v>14.6</v>
      </c>
      <c r="H49" s="2">
        <v>15.7</v>
      </c>
      <c r="I49" s="2">
        <v>15</v>
      </c>
      <c r="J49" s="2">
        <v>14</v>
      </c>
      <c r="K49" s="2">
        <v>13.4</v>
      </c>
      <c r="L49" s="2">
        <v>13.7</v>
      </c>
      <c r="M49" s="2">
        <v>14.1</v>
      </c>
      <c r="N49" s="2">
        <v>14.5</v>
      </c>
      <c r="O49" s="2">
        <v>14.5</v>
      </c>
      <c r="P49" s="2">
        <v>15</v>
      </c>
      <c r="Q49" s="2">
        <v>15.6</v>
      </c>
      <c r="R49" s="2">
        <v>16.8</v>
      </c>
      <c r="S49" s="2">
        <v>15.7</v>
      </c>
      <c r="T49" s="2">
        <v>13.9</v>
      </c>
      <c r="U49" s="2">
        <v>10.1</v>
      </c>
      <c r="V49" s="2">
        <v>9.6999999999999993</v>
      </c>
      <c r="W49" s="2">
        <v>10</v>
      </c>
      <c r="X49" s="2">
        <v>9.9</v>
      </c>
      <c r="Y49" s="2">
        <v>9.6</v>
      </c>
      <c r="Z49" s="2">
        <v>9.4</v>
      </c>
      <c r="AA49" s="2">
        <v>9.3000000000000007</v>
      </c>
      <c r="AC49" s="5">
        <f t="shared" si="0"/>
        <v>12.950000000000001</v>
      </c>
    </row>
    <row r="50" spans="2:29" x14ac:dyDescent="0.25">
      <c r="B50" s="4">
        <v>42415</v>
      </c>
      <c r="C50" s="3">
        <v>46</v>
      </c>
      <c r="D50" s="2">
        <v>8.6999999999999993</v>
      </c>
      <c r="E50" s="2">
        <v>8.6999999999999993</v>
      </c>
      <c r="F50" s="2">
        <v>8.4</v>
      </c>
      <c r="G50" s="2">
        <v>8.1999999999999993</v>
      </c>
      <c r="H50" s="2">
        <v>7.7</v>
      </c>
      <c r="I50" s="2">
        <v>6.6</v>
      </c>
      <c r="J50" s="2">
        <v>7</v>
      </c>
      <c r="K50" s="2">
        <v>6.4</v>
      </c>
      <c r="L50" s="2">
        <v>5.7</v>
      </c>
      <c r="M50" s="2">
        <v>8.1999999999999993</v>
      </c>
      <c r="N50" s="2">
        <v>11.1</v>
      </c>
      <c r="O50" s="2">
        <v>12.5</v>
      </c>
      <c r="P50" s="2">
        <v>15.4</v>
      </c>
      <c r="Q50" s="2">
        <v>15.9</v>
      </c>
      <c r="R50" s="2">
        <v>16</v>
      </c>
      <c r="S50" s="2">
        <v>16.399999999999999</v>
      </c>
      <c r="T50" s="2">
        <v>16.100000000000001</v>
      </c>
      <c r="U50" s="2">
        <v>15.4</v>
      </c>
      <c r="V50" s="2">
        <v>12.5</v>
      </c>
      <c r="W50" s="2">
        <v>10.6</v>
      </c>
      <c r="X50" s="2">
        <v>9.3000000000000007</v>
      </c>
      <c r="Y50" s="2">
        <v>9.4</v>
      </c>
      <c r="Z50" s="2">
        <v>7.2</v>
      </c>
      <c r="AA50" s="2">
        <v>7.6</v>
      </c>
      <c r="AC50" s="5">
        <f t="shared" si="0"/>
        <v>10.458333333333334</v>
      </c>
    </row>
    <row r="51" spans="2:29" x14ac:dyDescent="0.25">
      <c r="B51" s="4">
        <v>42416</v>
      </c>
      <c r="C51" s="3">
        <v>47</v>
      </c>
      <c r="D51" s="2">
        <v>7.3</v>
      </c>
      <c r="E51" s="2">
        <v>4.5</v>
      </c>
      <c r="F51" s="2">
        <v>4.7</v>
      </c>
      <c r="G51" s="2">
        <v>5</v>
      </c>
      <c r="H51" s="2">
        <v>4</v>
      </c>
      <c r="I51" s="2">
        <v>4.7</v>
      </c>
      <c r="J51" s="2">
        <v>3.2</v>
      </c>
      <c r="K51" s="2">
        <v>4.4000000000000004</v>
      </c>
      <c r="L51" s="2">
        <v>3.6</v>
      </c>
      <c r="M51" s="2">
        <v>7</v>
      </c>
      <c r="N51" s="2">
        <v>10.9</v>
      </c>
      <c r="O51" s="2">
        <v>10.3</v>
      </c>
      <c r="P51" s="2">
        <v>12.6</v>
      </c>
      <c r="Q51" s="2">
        <v>12.7</v>
      </c>
      <c r="R51" s="2">
        <v>13</v>
      </c>
      <c r="S51" s="2">
        <v>13.2</v>
      </c>
      <c r="T51" s="2">
        <v>12.9</v>
      </c>
      <c r="U51" s="2">
        <v>12.2</v>
      </c>
      <c r="V51" s="2">
        <v>10.1</v>
      </c>
      <c r="W51" s="2">
        <v>8.9</v>
      </c>
      <c r="X51" s="2">
        <v>8.1999999999999993</v>
      </c>
      <c r="Y51" s="2">
        <v>6.9</v>
      </c>
      <c r="Z51" s="2">
        <v>6.1</v>
      </c>
      <c r="AA51" s="2">
        <v>5.5</v>
      </c>
      <c r="AC51" s="5">
        <f t="shared" si="0"/>
        <v>7.9958333333333327</v>
      </c>
    </row>
    <row r="52" spans="2:29" x14ac:dyDescent="0.25">
      <c r="B52" s="4">
        <v>42417</v>
      </c>
      <c r="C52" s="3">
        <v>48</v>
      </c>
      <c r="D52" s="2">
        <v>5.0999999999999996</v>
      </c>
      <c r="E52" s="2">
        <v>2.1</v>
      </c>
      <c r="F52" s="2">
        <v>1.8</v>
      </c>
      <c r="G52" s="2">
        <v>1.8</v>
      </c>
      <c r="H52" s="2">
        <v>1.3</v>
      </c>
      <c r="I52" s="2">
        <v>-2.2000000000000002</v>
      </c>
      <c r="J52" s="2">
        <v>-2.7</v>
      </c>
      <c r="K52" s="2">
        <v>-2.8</v>
      </c>
      <c r="L52" s="2">
        <v>-0.8</v>
      </c>
      <c r="M52" s="2">
        <v>3.7</v>
      </c>
      <c r="N52" s="2">
        <v>6.2</v>
      </c>
      <c r="O52" s="2">
        <v>8.3000000000000007</v>
      </c>
      <c r="P52" s="2">
        <v>10.199999999999999</v>
      </c>
      <c r="Q52" s="2">
        <v>11.1</v>
      </c>
      <c r="R52" s="2">
        <v>11.2</v>
      </c>
      <c r="S52" s="2">
        <v>11.8</v>
      </c>
      <c r="T52" s="2">
        <v>11.6</v>
      </c>
      <c r="U52" s="2">
        <v>10.5</v>
      </c>
      <c r="V52" s="2">
        <v>8.1999999999999993</v>
      </c>
      <c r="W52" s="2">
        <v>6.2</v>
      </c>
      <c r="X52" s="2">
        <v>4.3</v>
      </c>
      <c r="Y52" s="2">
        <v>2.1</v>
      </c>
      <c r="Z52" s="2">
        <v>0.7</v>
      </c>
      <c r="AA52" s="2">
        <v>0.8</v>
      </c>
      <c r="AC52" s="5">
        <f t="shared" si="0"/>
        <v>4.6041666666666661</v>
      </c>
    </row>
    <row r="53" spans="2:29" x14ac:dyDescent="0.25">
      <c r="B53" s="4">
        <v>42418</v>
      </c>
      <c r="C53" s="3">
        <v>49</v>
      </c>
      <c r="D53" s="2">
        <v>0.6</v>
      </c>
      <c r="E53" s="2">
        <v>0</v>
      </c>
      <c r="F53" s="2">
        <v>1.5</v>
      </c>
      <c r="G53" s="2">
        <v>2.2999999999999998</v>
      </c>
      <c r="H53" s="2">
        <v>2.8</v>
      </c>
      <c r="I53" s="2">
        <v>3.2</v>
      </c>
      <c r="J53" s="2">
        <v>3.6</v>
      </c>
      <c r="K53" s="2">
        <v>3.2</v>
      </c>
      <c r="L53" s="2">
        <v>2.7</v>
      </c>
      <c r="M53" s="2">
        <v>5.9</v>
      </c>
      <c r="N53" s="2">
        <v>8</v>
      </c>
      <c r="O53" s="2">
        <v>9</v>
      </c>
      <c r="P53" s="2">
        <v>9.9</v>
      </c>
      <c r="Q53" s="2">
        <v>10.5</v>
      </c>
      <c r="R53" s="2">
        <v>11.3</v>
      </c>
      <c r="S53" s="2">
        <v>11.1</v>
      </c>
      <c r="T53" s="2">
        <v>10.3</v>
      </c>
      <c r="U53" s="2">
        <v>9.6999999999999993</v>
      </c>
      <c r="V53" s="2">
        <v>8.9</v>
      </c>
      <c r="W53" s="2">
        <v>6.1</v>
      </c>
      <c r="X53" s="2">
        <v>4.5999999999999996</v>
      </c>
      <c r="Y53" s="2">
        <v>4.0999999999999996</v>
      </c>
      <c r="Z53" s="2">
        <v>4.0999999999999996</v>
      </c>
      <c r="AA53" s="2">
        <v>3.8</v>
      </c>
      <c r="AC53" s="5">
        <f t="shared" si="0"/>
        <v>5.7166666666666659</v>
      </c>
    </row>
    <row r="54" spans="2:29" x14ac:dyDescent="0.25">
      <c r="B54" s="4">
        <v>42419</v>
      </c>
      <c r="C54" s="3">
        <v>50</v>
      </c>
      <c r="D54" s="2">
        <v>3.3</v>
      </c>
      <c r="E54" s="2">
        <v>3.3</v>
      </c>
      <c r="F54" s="2">
        <v>1.4</v>
      </c>
      <c r="G54" s="2">
        <v>0.4</v>
      </c>
      <c r="H54" s="2">
        <v>-0.6</v>
      </c>
      <c r="I54" s="2">
        <v>0.4</v>
      </c>
      <c r="J54" s="2">
        <v>-1</v>
      </c>
      <c r="K54" s="2">
        <v>-0.3</v>
      </c>
      <c r="L54" s="2">
        <v>0.9</v>
      </c>
      <c r="M54" s="2">
        <v>5.8</v>
      </c>
      <c r="N54" s="2">
        <v>8.5</v>
      </c>
      <c r="O54" s="2">
        <v>10.7</v>
      </c>
      <c r="P54" s="2">
        <v>12.7</v>
      </c>
      <c r="Q54" s="2">
        <v>13.3</v>
      </c>
      <c r="R54" s="2">
        <v>14</v>
      </c>
      <c r="S54" s="2">
        <v>14.5</v>
      </c>
      <c r="T54" s="2">
        <v>14.6</v>
      </c>
      <c r="U54" s="2">
        <v>13.3</v>
      </c>
      <c r="V54" s="2">
        <v>11.4</v>
      </c>
      <c r="W54" s="2">
        <v>8.3000000000000007</v>
      </c>
      <c r="X54" s="2">
        <v>6.7</v>
      </c>
      <c r="Y54" s="2">
        <v>5.9</v>
      </c>
      <c r="Z54" s="2">
        <v>4.2</v>
      </c>
      <c r="AA54" s="2">
        <v>3.5</v>
      </c>
      <c r="AC54" s="5">
        <f t="shared" si="0"/>
        <v>6.4666666666666659</v>
      </c>
    </row>
    <row r="55" spans="2:29" x14ac:dyDescent="0.25">
      <c r="B55" s="4">
        <v>42420</v>
      </c>
      <c r="C55" s="3">
        <v>51</v>
      </c>
      <c r="D55" s="2">
        <v>3.8</v>
      </c>
      <c r="E55" s="2">
        <v>3.2</v>
      </c>
      <c r="F55" s="2">
        <v>1</v>
      </c>
      <c r="G55" s="2">
        <v>1.2</v>
      </c>
      <c r="H55" s="2">
        <v>0.1</v>
      </c>
      <c r="I55" s="2">
        <v>-0.2</v>
      </c>
      <c r="J55" s="2">
        <v>-0.6</v>
      </c>
      <c r="K55" s="2">
        <v>-0.8</v>
      </c>
      <c r="L55" s="2">
        <v>0.6</v>
      </c>
      <c r="M55" s="2">
        <v>6.5</v>
      </c>
      <c r="N55" s="2">
        <v>10.7</v>
      </c>
      <c r="O55" s="2">
        <v>12.7</v>
      </c>
      <c r="P55" s="2">
        <v>14.4</v>
      </c>
      <c r="Q55" s="2">
        <v>14.6</v>
      </c>
      <c r="R55" s="2">
        <v>16.8</v>
      </c>
      <c r="S55" s="2">
        <v>15.7</v>
      </c>
      <c r="T55" s="2">
        <v>14.5</v>
      </c>
      <c r="U55" s="2">
        <v>13.9</v>
      </c>
      <c r="V55" s="2">
        <v>12.1</v>
      </c>
      <c r="W55" s="2">
        <v>7.5</v>
      </c>
      <c r="X55" s="2">
        <v>4.5999999999999996</v>
      </c>
      <c r="Y55" s="2">
        <v>4.8</v>
      </c>
      <c r="Z55" s="2">
        <v>5.3</v>
      </c>
      <c r="AA55" s="2">
        <v>4.5999999999999996</v>
      </c>
      <c r="AC55" s="5">
        <f t="shared" si="0"/>
        <v>6.958333333333333</v>
      </c>
    </row>
    <row r="56" spans="2:29" x14ac:dyDescent="0.25">
      <c r="B56" s="4">
        <v>42421</v>
      </c>
      <c r="C56" s="3">
        <v>52</v>
      </c>
      <c r="D56" s="2">
        <v>3.7</v>
      </c>
      <c r="E56" s="2">
        <v>3.2</v>
      </c>
      <c r="F56" s="2">
        <v>2.2000000000000002</v>
      </c>
      <c r="G56" s="2">
        <v>1.5</v>
      </c>
      <c r="H56" s="2">
        <v>0.4</v>
      </c>
      <c r="I56" s="2">
        <v>-0.3</v>
      </c>
      <c r="J56" s="2">
        <v>-0.9</v>
      </c>
      <c r="K56" s="2">
        <v>-0.2</v>
      </c>
      <c r="L56" s="2">
        <v>2.7</v>
      </c>
      <c r="M56" s="2">
        <v>7.9</v>
      </c>
      <c r="N56" s="2">
        <v>12.8</v>
      </c>
      <c r="O56" s="2">
        <v>14.5</v>
      </c>
      <c r="P56" s="2">
        <v>16.3</v>
      </c>
      <c r="Q56" s="2">
        <v>17</v>
      </c>
      <c r="R56" s="2">
        <v>16.5</v>
      </c>
      <c r="S56" s="2">
        <v>15.2</v>
      </c>
      <c r="T56" s="2">
        <v>14.5</v>
      </c>
      <c r="U56" s="2">
        <v>13.1</v>
      </c>
      <c r="V56" s="2">
        <v>12</v>
      </c>
      <c r="W56" s="2">
        <v>9.6</v>
      </c>
      <c r="X56" s="2">
        <v>8.8000000000000007</v>
      </c>
      <c r="Y56" s="2">
        <v>9.3000000000000007</v>
      </c>
      <c r="Z56" s="2">
        <v>8</v>
      </c>
      <c r="AA56" s="2">
        <v>9.6</v>
      </c>
      <c r="AC56" s="5">
        <f t="shared" si="0"/>
        <v>8.2249999999999996</v>
      </c>
    </row>
    <row r="57" spans="2:29" x14ac:dyDescent="0.25">
      <c r="B57" s="4">
        <v>42422</v>
      </c>
      <c r="C57" s="3">
        <v>53</v>
      </c>
      <c r="D57" s="2">
        <v>9.1</v>
      </c>
      <c r="E57" s="2">
        <v>9.6</v>
      </c>
      <c r="F57" s="2">
        <v>9.4</v>
      </c>
      <c r="G57" s="2">
        <v>9.9</v>
      </c>
      <c r="H57" s="2">
        <v>10.5</v>
      </c>
      <c r="I57" s="2">
        <v>9.1999999999999993</v>
      </c>
      <c r="J57" s="2">
        <v>8.9</v>
      </c>
      <c r="K57" s="2">
        <v>9.5</v>
      </c>
      <c r="L57" s="2">
        <v>10.3</v>
      </c>
      <c r="M57" s="2">
        <v>11</v>
      </c>
      <c r="N57" s="2">
        <v>13.4</v>
      </c>
      <c r="O57" s="2">
        <v>16.399999999999999</v>
      </c>
      <c r="P57" s="2">
        <v>17.2</v>
      </c>
      <c r="Q57" s="2">
        <v>17.5</v>
      </c>
      <c r="R57" s="2">
        <v>18.8</v>
      </c>
      <c r="S57" s="2">
        <v>19.8</v>
      </c>
      <c r="T57" s="2">
        <v>19.399999999999999</v>
      </c>
      <c r="U57" s="2">
        <v>18.100000000000001</v>
      </c>
      <c r="V57" s="2">
        <v>16.3</v>
      </c>
      <c r="W57" s="2">
        <v>15</v>
      </c>
      <c r="X57" s="2">
        <v>12.6</v>
      </c>
      <c r="Y57" s="2">
        <v>11.6</v>
      </c>
      <c r="Z57" s="2">
        <v>10.8</v>
      </c>
      <c r="AA57" s="2">
        <v>11.2</v>
      </c>
      <c r="AC57" s="5">
        <f t="shared" si="0"/>
        <v>13.145833333333337</v>
      </c>
    </row>
    <row r="58" spans="2:29" x14ac:dyDescent="0.25">
      <c r="B58" s="4">
        <v>42423</v>
      </c>
      <c r="C58" s="3">
        <v>54</v>
      </c>
      <c r="D58" s="2">
        <v>10.6</v>
      </c>
      <c r="E58" s="2">
        <v>8.1</v>
      </c>
      <c r="F58" s="2">
        <v>7.2</v>
      </c>
      <c r="G58" s="2">
        <v>8.3000000000000007</v>
      </c>
      <c r="H58" s="2">
        <v>7.1</v>
      </c>
      <c r="I58" s="2">
        <v>9</v>
      </c>
      <c r="J58" s="2">
        <v>9.1</v>
      </c>
      <c r="K58" s="2">
        <v>8.6</v>
      </c>
      <c r="L58" s="2">
        <v>9.8000000000000007</v>
      </c>
      <c r="M58" s="2">
        <v>13.4</v>
      </c>
      <c r="N58" s="2">
        <v>15.9</v>
      </c>
      <c r="O58" s="2">
        <v>16.600000000000001</v>
      </c>
      <c r="P58" s="2">
        <v>17.3</v>
      </c>
      <c r="Q58" s="2">
        <v>17.600000000000001</v>
      </c>
      <c r="R58" s="2">
        <v>17.7</v>
      </c>
      <c r="S58" s="2">
        <v>18.600000000000001</v>
      </c>
      <c r="T58" s="2">
        <v>18.8</v>
      </c>
      <c r="U58" s="2">
        <v>18.100000000000001</v>
      </c>
      <c r="V58" s="2">
        <v>16.600000000000001</v>
      </c>
      <c r="W58" s="2">
        <v>13.2</v>
      </c>
      <c r="X58" s="2">
        <v>11.3</v>
      </c>
      <c r="Y58" s="2">
        <v>13.6</v>
      </c>
      <c r="Z58" s="2">
        <v>13.4</v>
      </c>
      <c r="AA58" s="2">
        <v>12.8</v>
      </c>
      <c r="AC58" s="5">
        <f t="shared" si="0"/>
        <v>13.029166666666669</v>
      </c>
    </row>
    <row r="59" spans="2:29" x14ac:dyDescent="0.25">
      <c r="B59" s="4">
        <v>42424</v>
      </c>
      <c r="C59" s="3">
        <v>55</v>
      </c>
      <c r="D59" s="2">
        <v>11.8</v>
      </c>
      <c r="E59" s="2">
        <v>12</v>
      </c>
      <c r="F59" s="2">
        <v>11.4</v>
      </c>
      <c r="G59" s="2">
        <v>10.6</v>
      </c>
      <c r="H59" s="2">
        <v>8.3000000000000007</v>
      </c>
      <c r="I59" s="2">
        <v>7.8</v>
      </c>
      <c r="J59" s="2">
        <v>7.6</v>
      </c>
      <c r="K59" s="2">
        <v>7.6</v>
      </c>
      <c r="L59" s="2">
        <v>7.2</v>
      </c>
      <c r="M59" s="2">
        <v>12</v>
      </c>
      <c r="N59" s="2">
        <v>13.9</v>
      </c>
      <c r="O59" s="2">
        <v>16.3</v>
      </c>
      <c r="P59" s="2">
        <v>16.399999999999999</v>
      </c>
      <c r="Q59" s="2">
        <v>15.6</v>
      </c>
      <c r="R59" s="2">
        <v>15.5</v>
      </c>
      <c r="S59" s="2">
        <v>16.399999999999999</v>
      </c>
      <c r="T59" s="2">
        <v>16.399999999999999</v>
      </c>
      <c r="U59" s="2">
        <v>15.4</v>
      </c>
      <c r="V59" s="2">
        <v>13.5</v>
      </c>
      <c r="W59" s="2">
        <v>10.4</v>
      </c>
      <c r="X59" s="2">
        <v>7.9</v>
      </c>
      <c r="Y59" s="2">
        <v>7.7</v>
      </c>
      <c r="Z59" s="2">
        <v>7.1</v>
      </c>
      <c r="AA59" s="2">
        <v>6.1</v>
      </c>
      <c r="AC59" s="5">
        <f t="shared" si="0"/>
        <v>11.454166666666671</v>
      </c>
    </row>
    <row r="60" spans="2:29" x14ac:dyDescent="0.25">
      <c r="B60" s="4">
        <v>42425</v>
      </c>
      <c r="C60" s="3">
        <v>56</v>
      </c>
      <c r="D60" s="2">
        <v>5.9</v>
      </c>
      <c r="E60" s="2">
        <v>8.5</v>
      </c>
      <c r="F60" s="2">
        <v>6.3</v>
      </c>
      <c r="G60" s="2">
        <v>11.5</v>
      </c>
      <c r="H60" s="2">
        <v>12.3</v>
      </c>
      <c r="I60" s="2">
        <v>12.4</v>
      </c>
      <c r="J60" s="2">
        <v>11.8</v>
      </c>
      <c r="K60" s="2">
        <v>10.8</v>
      </c>
      <c r="L60" s="2">
        <v>11.3</v>
      </c>
      <c r="M60" s="2">
        <v>12.3</v>
      </c>
      <c r="N60" s="2">
        <v>13.3</v>
      </c>
      <c r="O60" s="2">
        <v>14</v>
      </c>
      <c r="P60" s="2">
        <v>13.9</v>
      </c>
      <c r="Q60" s="2">
        <v>16.3</v>
      </c>
      <c r="R60" s="2">
        <v>17.7</v>
      </c>
      <c r="S60" s="2">
        <v>18.3</v>
      </c>
      <c r="T60" s="2">
        <v>18.3</v>
      </c>
      <c r="U60" s="2">
        <v>17.3</v>
      </c>
      <c r="V60" s="2">
        <v>16.2</v>
      </c>
      <c r="W60" s="2">
        <v>14</v>
      </c>
      <c r="X60" s="2">
        <v>13.8</v>
      </c>
      <c r="Y60" s="2">
        <v>12</v>
      </c>
      <c r="Z60" s="2">
        <v>12.8</v>
      </c>
      <c r="AA60" s="2">
        <v>13.2</v>
      </c>
      <c r="AC60" s="5">
        <f t="shared" si="0"/>
        <v>13.091666666666667</v>
      </c>
    </row>
    <row r="61" spans="2:29" x14ac:dyDescent="0.25">
      <c r="B61" s="4">
        <v>42426</v>
      </c>
      <c r="C61" s="3">
        <v>57</v>
      </c>
      <c r="D61" s="2">
        <v>12.7</v>
      </c>
      <c r="E61" s="2">
        <v>12.1</v>
      </c>
      <c r="F61" s="2">
        <v>11.6</v>
      </c>
      <c r="G61" s="2">
        <v>9.9</v>
      </c>
      <c r="H61" s="2">
        <v>10</v>
      </c>
      <c r="I61" s="2">
        <v>6.5</v>
      </c>
      <c r="J61" s="2">
        <v>7.5</v>
      </c>
      <c r="K61" s="2">
        <v>3.8</v>
      </c>
      <c r="L61" s="2">
        <v>5.8</v>
      </c>
      <c r="M61" s="2">
        <v>8.9</v>
      </c>
      <c r="N61" s="2">
        <v>11.5</v>
      </c>
      <c r="O61" s="2">
        <v>12.4</v>
      </c>
      <c r="P61" s="2">
        <v>14.3</v>
      </c>
      <c r="Q61" s="2">
        <v>14.5</v>
      </c>
      <c r="R61" s="2">
        <v>14.3</v>
      </c>
      <c r="S61" s="2">
        <v>13.5</v>
      </c>
      <c r="T61" s="2">
        <v>12.4</v>
      </c>
      <c r="U61" s="2">
        <v>12.5</v>
      </c>
      <c r="V61" s="2">
        <v>11.1</v>
      </c>
      <c r="W61" s="2">
        <v>9.5</v>
      </c>
      <c r="X61" s="2">
        <v>9.5</v>
      </c>
      <c r="Y61" s="2">
        <v>9.3000000000000007</v>
      </c>
      <c r="Z61" s="2">
        <v>10</v>
      </c>
      <c r="AA61" s="2">
        <v>9.6999999999999993</v>
      </c>
      <c r="AC61" s="5">
        <f t="shared" si="0"/>
        <v>10.554166666666667</v>
      </c>
    </row>
    <row r="62" spans="2:29" x14ac:dyDescent="0.25">
      <c r="B62" s="4">
        <v>42427</v>
      </c>
      <c r="C62" s="3">
        <v>58</v>
      </c>
      <c r="D62" s="2">
        <v>11</v>
      </c>
      <c r="E62" s="2">
        <v>11.5</v>
      </c>
      <c r="F62" s="2">
        <v>11.1</v>
      </c>
      <c r="G62" s="2">
        <v>11</v>
      </c>
      <c r="H62" s="2">
        <v>8.1999999999999993</v>
      </c>
      <c r="I62" s="2">
        <v>6.7</v>
      </c>
      <c r="J62" s="2">
        <v>5.9</v>
      </c>
      <c r="K62" s="2">
        <v>5.7</v>
      </c>
      <c r="L62" s="2">
        <v>4.5999999999999996</v>
      </c>
      <c r="M62" s="2">
        <v>5.9</v>
      </c>
      <c r="N62" s="2">
        <v>8</v>
      </c>
      <c r="O62" s="2">
        <v>9</v>
      </c>
      <c r="P62" s="2">
        <v>7.9</v>
      </c>
      <c r="Q62" s="2">
        <v>9.9</v>
      </c>
      <c r="R62" s="2">
        <v>9</v>
      </c>
      <c r="S62" s="2">
        <v>8.9</v>
      </c>
      <c r="T62" s="2">
        <v>8.6999999999999993</v>
      </c>
      <c r="U62" s="2">
        <v>6</v>
      </c>
      <c r="V62" s="2">
        <v>5.6</v>
      </c>
      <c r="W62" s="2">
        <v>5.8</v>
      </c>
      <c r="X62" s="2">
        <v>6</v>
      </c>
      <c r="Y62" s="2">
        <v>5.8</v>
      </c>
      <c r="Z62" s="2">
        <v>5.6</v>
      </c>
      <c r="AA62" s="2">
        <v>5.0999999999999996</v>
      </c>
      <c r="AC62" s="5">
        <f t="shared" si="0"/>
        <v>7.6208333333333336</v>
      </c>
    </row>
    <row r="63" spans="2:29" x14ac:dyDescent="0.25">
      <c r="B63" s="4">
        <v>42428</v>
      </c>
      <c r="C63" s="3">
        <v>59</v>
      </c>
      <c r="D63" s="2">
        <v>5.4</v>
      </c>
      <c r="E63" s="2">
        <v>5.2</v>
      </c>
      <c r="F63" s="2">
        <v>6.5</v>
      </c>
      <c r="G63" s="2">
        <v>7.7</v>
      </c>
      <c r="H63" s="2">
        <v>8.1</v>
      </c>
      <c r="I63" s="2">
        <v>8.6</v>
      </c>
      <c r="J63" s="2">
        <v>6.6</v>
      </c>
      <c r="K63" s="2">
        <v>8.1999999999999993</v>
      </c>
      <c r="L63" s="2">
        <v>8.8000000000000007</v>
      </c>
      <c r="M63" s="2">
        <v>9.6999999999999993</v>
      </c>
      <c r="N63" s="2">
        <v>11</v>
      </c>
      <c r="O63" s="2">
        <v>12.1</v>
      </c>
      <c r="P63" s="2">
        <v>11.9</v>
      </c>
      <c r="Q63" s="2">
        <v>12.9</v>
      </c>
      <c r="R63" s="2">
        <v>13</v>
      </c>
      <c r="S63" s="2">
        <v>11.4</v>
      </c>
      <c r="T63" s="2">
        <v>12.7</v>
      </c>
      <c r="U63" s="2">
        <v>12.6</v>
      </c>
      <c r="V63" s="2">
        <v>11.3</v>
      </c>
      <c r="W63" s="2">
        <v>10.3</v>
      </c>
      <c r="X63" s="2">
        <v>8.6</v>
      </c>
      <c r="Y63" s="2">
        <v>7.7</v>
      </c>
      <c r="Z63" s="2">
        <v>7.3</v>
      </c>
      <c r="AA63" s="2">
        <v>9.3000000000000007</v>
      </c>
      <c r="AC63" s="5">
        <f t="shared" si="0"/>
        <v>9.4541666666666675</v>
      </c>
    </row>
    <row r="64" spans="2:29" x14ac:dyDescent="0.25">
      <c r="B64" s="4">
        <v>42429</v>
      </c>
      <c r="C64" s="3">
        <v>60</v>
      </c>
      <c r="D64" s="2">
        <v>8.5</v>
      </c>
      <c r="E64" s="2">
        <v>8.5</v>
      </c>
      <c r="F64" s="2">
        <v>8.3000000000000007</v>
      </c>
      <c r="G64" s="2">
        <v>8.1999999999999993</v>
      </c>
      <c r="H64" s="2">
        <v>8.1999999999999993</v>
      </c>
      <c r="I64" s="2">
        <v>7</v>
      </c>
      <c r="J64" s="2">
        <v>8.8000000000000007</v>
      </c>
      <c r="K64" s="2">
        <v>8.9</v>
      </c>
      <c r="L64" s="2">
        <v>8.8000000000000007</v>
      </c>
      <c r="M64" s="2">
        <v>9.8000000000000007</v>
      </c>
      <c r="N64" s="2">
        <v>13.6</v>
      </c>
      <c r="O64" s="2">
        <v>12.7</v>
      </c>
      <c r="P64" s="2">
        <v>13.9</v>
      </c>
      <c r="Q64" s="2">
        <v>14.6</v>
      </c>
      <c r="R64" s="2">
        <v>15.4</v>
      </c>
      <c r="S64" s="2">
        <v>15.9</v>
      </c>
      <c r="T64" s="2">
        <v>15.3</v>
      </c>
      <c r="U64" s="2">
        <v>14.3</v>
      </c>
      <c r="V64" s="2">
        <v>13.4</v>
      </c>
      <c r="W64" s="2">
        <v>12.1</v>
      </c>
      <c r="X64" s="2">
        <v>10.9</v>
      </c>
      <c r="Y64" s="2">
        <v>10</v>
      </c>
      <c r="Z64" s="2">
        <v>9.5</v>
      </c>
      <c r="AA64" s="2">
        <v>8.1999999999999993</v>
      </c>
      <c r="AC64" s="5">
        <f t="shared" si="0"/>
        <v>11.033333333333333</v>
      </c>
    </row>
    <row r="65" spans="2:29" x14ac:dyDescent="0.25">
      <c r="B65" s="4">
        <v>42430</v>
      </c>
      <c r="C65" s="3">
        <v>61</v>
      </c>
      <c r="D65" s="2">
        <v>8.1999999999999993</v>
      </c>
      <c r="E65" s="2">
        <v>7.6</v>
      </c>
      <c r="F65" s="2">
        <v>7.1</v>
      </c>
      <c r="G65" s="2">
        <v>7.2</v>
      </c>
      <c r="H65" s="2">
        <v>7</v>
      </c>
      <c r="I65" s="2">
        <v>6.9</v>
      </c>
      <c r="J65" s="2">
        <v>4.5999999999999996</v>
      </c>
      <c r="K65" s="2">
        <v>1.6</v>
      </c>
      <c r="L65" s="2">
        <v>4.0999999999999996</v>
      </c>
      <c r="M65" s="2">
        <v>9.6999999999999993</v>
      </c>
      <c r="N65" s="2">
        <v>11.1</v>
      </c>
      <c r="O65" s="2">
        <v>12.9</v>
      </c>
      <c r="P65" s="2">
        <v>13.6</v>
      </c>
      <c r="Q65" s="2">
        <v>14.3</v>
      </c>
      <c r="R65" s="2">
        <v>15.8</v>
      </c>
      <c r="S65" s="2">
        <v>16.3</v>
      </c>
      <c r="T65" s="2">
        <v>16.7</v>
      </c>
      <c r="U65" s="2">
        <v>16.600000000000001</v>
      </c>
      <c r="V65" s="2">
        <v>14.6</v>
      </c>
      <c r="W65" s="2">
        <v>12.6</v>
      </c>
      <c r="X65" s="2">
        <v>11.1</v>
      </c>
      <c r="Y65" s="2">
        <v>10.6</v>
      </c>
      <c r="Z65" s="2">
        <v>9.6</v>
      </c>
      <c r="AA65" s="2">
        <v>7.5</v>
      </c>
      <c r="AC65" s="5">
        <f t="shared" si="0"/>
        <v>10.304166666666665</v>
      </c>
    </row>
    <row r="66" spans="2:29" x14ac:dyDescent="0.25">
      <c r="B66" s="4">
        <v>42431</v>
      </c>
      <c r="C66" s="3">
        <v>62</v>
      </c>
      <c r="D66" s="2">
        <v>6.4</v>
      </c>
      <c r="E66" s="2">
        <v>6.2</v>
      </c>
      <c r="F66" s="2">
        <v>6.9</v>
      </c>
      <c r="G66" s="2">
        <v>5.6</v>
      </c>
      <c r="H66" s="2">
        <v>8</v>
      </c>
      <c r="I66" s="2">
        <v>10.199999999999999</v>
      </c>
      <c r="J66" s="2">
        <v>12.8</v>
      </c>
      <c r="K66" s="2">
        <v>12.9</v>
      </c>
      <c r="L66" s="2">
        <v>13.3</v>
      </c>
      <c r="M66" s="2">
        <v>14.6</v>
      </c>
      <c r="N66" s="2">
        <v>15.2</v>
      </c>
      <c r="O66" s="2">
        <v>17.399999999999999</v>
      </c>
      <c r="P66" s="2">
        <v>18.7</v>
      </c>
      <c r="Q66" s="2">
        <v>19</v>
      </c>
      <c r="R66" s="2">
        <v>19</v>
      </c>
      <c r="S66" s="2">
        <v>20.8</v>
      </c>
      <c r="T66" s="2">
        <v>20.5</v>
      </c>
      <c r="U66" s="2">
        <v>19.600000000000001</v>
      </c>
      <c r="V66" s="2">
        <v>17.5</v>
      </c>
      <c r="W66" s="2">
        <v>16.2</v>
      </c>
      <c r="X66" s="2">
        <v>16</v>
      </c>
      <c r="Y66" s="2">
        <v>15.8</v>
      </c>
      <c r="Z66" s="2">
        <v>15.5</v>
      </c>
      <c r="AA66" s="2">
        <v>14.6</v>
      </c>
      <c r="AC66" s="5">
        <f t="shared" si="0"/>
        <v>14.279166666666669</v>
      </c>
    </row>
    <row r="67" spans="2:29" x14ac:dyDescent="0.25">
      <c r="B67" s="4">
        <v>42432</v>
      </c>
      <c r="C67" s="3">
        <v>63</v>
      </c>
      <c r="D67" s="2">
        <v>12.6</v>
      </c>
      <c r="E67" s="2">
        <v>12.2</v>
      </c>
      <c r="F67" s="2">
        <v>12.1</v>
      </c>
      <c r="G67" s="2">
        <v>11.2</v>
      </c>
      <c r="H67" s="2">
        <v>11</v>
      </c>
      <c r="I67" s="2">
        <v>10.5</v>
      </c>
      <c r="J67" s="2">
        <v>10.3</v>
      </c>
      <c r="K67" s="2">
        <v>10</v>
      </c>
      <c r="L67" s="2">
        <v>9.8000000000000007</v>
      </c>
      <c r="M67" s="2">
        <v>9.9</v>
      </c>
      <c r="N67" s="2">
        <v>11</v>
      </c>
      <c r="O67" s="2">
        <v>13.3</v>
      </c>
      <c r="P67" s="2">
        <v>14.1</v>
      </c>
      <c r="Q67" s="2">
        <v>15.5</v>
      </c>
      <c r="R67" s="2">
        <v>15.8</v>
      </c>
      <c r="S67" s="2">
        <v>16.3</v>
      </c>
      <c r="T67" s="2">
        <v>15.9</v>
      </c>
      <c r="U67" s="2">
        <v>15.3</v>
      </c>
      <c r="V67" s="2">
        <v>14.2</v>
      </c>
      <c r="W67" s="2">
        <v>12.8</v>
      </c>
      <c r="X67" s="2">
        <v>12.3</v>
      </c>
      <c r="Y67" s="2">
        <v>11.5</v>
      </c>
      <c r="Z67" s="2">
        <v>11</v>
      </c>
      <c r="AA67" s="2">
        <v>11</v>
      </c>
      <c r="AC67" s="5">
        <f t="shared" si="0"/>
        <v>12.483333333333334</v>
      </c>
    </row>
    <row r="68" spans="2:29" x14ac:dyDescent="0.25">
      <c r="B68" s="4">
        <v>42433</v>
      </c>
      <c r="C68" s="3">
        <v>64</v>
      </c>
      <c r="D68" s="2">
        <v>11.5</v>
      </c>
      <c r="E68" s="2">
        <v>10.9</v>
      </c>
      <c r="F68" s="2">
        <v>8.6999999999999993</v>
      </c>
      <c r="G68" s="2">
        <v>7.2</v>
      </c>
      <c r="H68" s="2">
        <v>6.8</v>
      </c>
      <c r="I68" s="2">
        <v>5.4</v>
      </c>
      <c r="J68" s="2">
        <v>6.8</v>
      </c>
      <c r="K68" s="2">
        <v>5.6</v>
      </c>
      <c r="L68" s="2">
        <v>7.1</v>
      </c>
      <c r="M68" s="2">
        <v>10.3</v>
      </c>
      <c r="N68" s="2">
        <v>13</v>
      </c>
      <c r="O68" s="2">
        <v>14.1</v>
      </c>
      <c r="P68" s="2">
        <v>14.9</v>
      </c>
      <c r="Q68" s="2">
        <v>15.9</v>
      </c>
      <c r="R68" s="2">
        <v>15.7</v>
      </c>
      <c r="S68" s="2">
        <v>14.7</v>
      </c>
      <c r="T68" s="2">
        <v>15</v>
      </c>
      <c r="U68" s="2">
        <v>14.1</v>
      </c>
      <c r="V68" s="2">
        <v>13.3</v>
      </c>
      <c r="W68" s="2">
        <v>12.6</v>
      </c>
      <c r="X68" s="2">
        <v>10.3</v>
      </c>
      <c r="Y68" s="2">
        <v>8.4</v>
      </c>
      <c r="Z68" s="2">
        <v>8</v>
      </c>
      <c r="AA68" s="2">
        <v>8</v>
      </c>
      <c r="AC68" s="5">
        <f t="shared" si="0"/>
        <v>10.762499999999998</v>
      </c>
    </row>
    <row r="69" spans="2:29" x14ac:dyDescent="0.25">
      <c r="B69" s="4">
        <v>42434</v>
      </c>
      <c r="C69" s="3">
        <v>65</v>
      </c>
      <c r="D69" s="2">
        <v>12.5</v>
      </c>
      <c r="E69" s="2">
        <v>12.5</v>
      </c>
      <c r="F69" s="2">
        <v>12.3</v>
      </c>
      <c r="G69" s="2">
        <v>11.5</v>
      </c>
      <c r="H69" s="2">
        <v>10.1</v>
      </c>
      <c r="I69" s="2">
        <v>9.6999999999999993</v>
      </c>
      <c r="J69" s="2">
        <v>8.1</v>
      </c>
      <c r="K69" s="2">
        <v>7.7</v>
      </c>
      <c r="L69" s="2">
        <v>8.5</v>
      </c>
      <c r="M69" s="2">
        <v>9.9</v>
      </c>
      <c r="N69" s="2">
        <v>11.4</v>
      </c>
      <c r="O69" s="2">
        <v>12.4</v>
      </c>
      <c r="P69" s="2">
        <v>13.1</v>
      </c>
      <c r="Q69" s="2">
        <v>14</v>
      </c>
      <c r="R69" s="2">
        <v>14.6</v>
      </c>
      <c r="S69" s="2">
        <v>15.1</v>
      </c>
      <c r="T69" s="2">
        <v>14.7</v>
      </c>
      <c r="U69" s="2">
        <v>14</v>
      </c>
      <c r="V69" s="2">
        <v>12.8</v>
      </c>
      <c r="W69" s="2">
        <v>11.6</v>
      </c>
      <c r="X69" s="2">
        <v>11</v>
      </c>
      <c r="Y69" s="2">
        <v>10.5</v>
      </c>
      <c r="Z69" s="2">
        <v>10</v>
      </c>
      <c r="AA69" s="2">
        <v>9.6</v>
      </c>
      <c r="AC69" s="5">
        <f t="shared" si="0"/>
        <v>11.566666666666668</v>
      </c>
    </row>
    <row r="70" spans="2:29" x14ac:dyDescent="0.25">
      <c r="B70" s="4">
        <v>42435</v>
      </c>
      <c r="C70" s="3">
        <v>66</v>
      </c>
      <c r="D70" s="2">
        <v>9.5</v>
      </c>
      <c r="E70" s="2">
        <v>8.6999999999999993</v>
      </c>
      <c r="F70" s="2">
        <v>8.1999999999999993</v>
      </c>
      <c r="G70" s="2">
        <v>7.9</v>
      </c>
      <c r="H70" s="2">
        <v>7.3</v>
      </c>
      <c r="I70" s="2">
        <v>6.6</v>
      </c>
      <c r="J70" s="2">
        <v>7</v>
      </c>
      <c r="K70" s="2">
        <v>6.1</v>
      </c>
      <c r="L70" s="2">
        <v>7.9</v>
      </c>
      <c r="M70" s="2">
        <v>9.6</v>
      </c>
      <c r="N70" s="2">
        <v>10.9</v>
      </c>
      <c r="O70" s="2">
        <v>11.3</v>
      </c>
      <c r="P70" s="2">
        <v>12.1</v>
      </c>
      <c r="Q70" s="2">
        <v>13.8</v>
      </c>
      <c r="R70" s="2">
        <v>14.4</v>
      </c>
      <c r="S70" s="2">
        <v>14.2</v>
      </c>
      <c r="T70" s="2">
        <v>14.3</v>
      </c>
      <c r="U70" s="2">
        <v>13.9</v>
      </c>
      <c r="V70" s="2">
        <v>11.9</v>
      </c>
      <c r="W70" s="2">
        <v>10.5</v>
      </c>
      <c r="X70" s="2">
        <v>10.1</v>
      </c>
      <c r="Y70" s="2">
        <v>9.6</v>
      </c>
      <c r="Z70" s="2">
        <v>9.3000000000000007</v>
      </c>
      <c r="AA70" s="2">
        <v>9</v>
      </c>
      <c r="AC70" s="5">
        <f t="shared" ref="AC70:AC133" si="2">(SUM((D70:AA70))/24)</f>
        <v>10.170833333333333</v>
      </c>
    </row>
    <row r="71" spans="2:29" x14ac:dyDescent="0.25">
      <c r="B71" s="4">
        <v>42436</v>
      </c>
      <c r="C71" s="3">
        <v>67</v>
      </c>
      <c r="D71" s="2">
        <v>9</v>
      </c>
      <c r="E71" s="2">
        <v>9</v>
      </c>
      <c r="F71" s="2">
        <v>8.4</v>
      </c>
      <c r="G71" s="2">
        <v>7.8</v>
      </c>
      <c r="H71" s="2">
        <v>7.7</v>
      </c>
      <c r="I71" s="2">
        <v>7.7</v>
      </c>
      <c r="J71" s="2">
        <v>7.5</v>
      </c>
      <c r="K71" s="2">
        <v>6.7</v>
      </c>
      <c r="L71" s="2">
        <v>6.7</v>
      </c>
      <c r="M71" s="2">
        <v>8.6999999999999993</v>
      </c>
      <c r="N71" s="2">
        <v>10.9</v>
      </c>
      <c r="O71" s="2">
        <v>12.5</v>
      </c>
      <c r="P71" s="2">
        <v>13.1</v>
      </c>
      <c r="Q71" s="2">
        <v>13.3</v>
      </c>
      <c r="R71" s="2">
        <v>12.9</v>
      </c>
      <c r="S71" s="2">
        <v>13</v>
      </c>
      <c r="T71" s="2">
        <v>13.3</v>
      </c>
      <c r="U71" s="2">
        <v>13.9</v>
      </c>
      <c r="V71" s="2">
        <v>12</v>
      </c>
      <c r="W71" s="2">
        <v>9.8000000000000007</v>
      </c>
      <c r="X71" s="2">
        <v>6.2</v>
      </c>
      <c r="Y71" s="2">
        <v>3.8</v>
      </c>
      <c r="Z71" s="2">
        <v>3.9</v>
      </c>
      <c r="AA71" s="2">
        <v>3.6</v>
      </c>
      <c r="AC71" s="5">
        <f t="shared" si="2"/>
        <v>9.2250000000000014</v>
      </c>
    </row>
    <row r="72" spans="2:29" x14ac:dyDescent="0.25">
      <c r="B72" s="4">
        <v>42437</v>
      </c>
      <c r="C72" s="3">
        <v>68</v>
      </c>
      <c r="D72" s="2">
        <v>4.3</v>
      </c>
      <c r="E72" s="2">
        <v>3.9</v>
      </c>
      <c r="F72" s="2">
        <v>4.5999999999999996</v>
      </c>
      <c r="G72" s="2">
        <v>6.1</v>
      </c>
      <c r="H72" s="2">
        <v>6.6</v>
      </c>
      <c r="I72" s="2">
        <v>6.8</v>
      </c>
      <c r="J72" s="2">
        <v>6.1</v>
      </c>
      <c r="K72" s="2">
        <v>5.8</v>
      </c>
      <c r="L72" s="2">
        <v>5.5</v>
      </c>
      <c r="M72" s="2">
        <v>7.6</v>
      </c>
      <c r="N72" s="2">
        <v>11.1</v>
      </c>
      <c r="O72" s="2">
        <v>11.6</v>
      </c>
      <c r="P72" s="2">
        <v>13.1</v>
      </c>
      <c r="Q72" s="2">
        <v>14.3</v>
      </c>
      <c r="R72" s="2">
        <v>15.1</v>
      </c>
      <c r="S72" s="2">
        <v>15.4</v>
      </c>
      <c r="T72" s="2">
        <v>15.3</v>
      </c>
      <c r="U72" s="2">
        <v>15</v>
      </c>
      <c r="V72" s="2">
        <v>13.9</v>
      </c>
      <c r="W72" s="2">
        <v>9.4</v>
      </c>
      <c r="X72" s="2">
        <v>9.4</v>
      </c>
      <c r="Y72" s="2">
        <v>10.4</v>
      </c>
      <c r="Z72" s="2">
        <v>8.8000000000000007</v>
      </c>
      <c r="AA72" s="2">
        <v>7.9</v>
      </c>
      <c r="AC72" s="5">
        <f t="shared" si="2"/>
        <v>9.5000000000000018</v>
      </c>
    </row>
    <row r="73" spans="2:29" x14ac:dyDescent="0.25">
      <c r="B73" s="4">
        <v>42438</v>
      </c>
      <c r="C73" s="3">
        <v>69</v>
      </c>
      <c r="D73" s="2">
        <v>7</v>
      </c>
      <c r="E73" s="2">
        <v>6.3</v>
      </c>
      <c r="F73" s="2">
        <v>4.5</v>
      </c>
      <c r="G73" s="2">
        <v>2.4</v>
      </c>
      <c r="H73" s="2">
        <v>1</v>
      </c>
      <c r="I73" s="2">
        <v>1.3</v>
      </c>
      <c r="J73" s="2">
        <v>1.3</v>
      </c>
      <c r="K73" s="2">
        <v>1.1000000000000001</v>
      </c>
      <c r="L73" s="2">
        <v>4.3</v>
      </c>
      <c r="M73" s="2">
        <v>6.6</v>
      </c>
      <c r="N73" s="2">
        <v>8.8000000000000007</v>
      </c>
      <c r="O73" s="2">
        <v>9.4</v>
      </c>
      <c r="P73" s="2">
        <v>10.199999999999999</v>
      </c>
      <c r="Q73" s="2">
        <v>9.8000000000000007</v>
      </c>
      <c r="R73" s="2">
        <v>8.8000000000000007</v>
      </c>
      <c r="S73" s="2">
        <v>10.1</v>
      </c>
      <c r="T73" s="2">
        <v>12.8</v>
      </c>
      <c r="U73" s="2">
        <v>14</v>
      </c>
      <c r="V73" s="2">
        <v>12.6</v>
      </c>
      <c r="W73" s="2">
        <v>11.2</v>
      </c>
      <c r="X73" s="2">
        <v>9.9</v>
      </c>
      <c r="Y73" s="2">
        <v>9.1999999999999993</v>
      </c>
      <c r="Z73" s="2">
        <v>7.9</v>
      </c>
      <c r="AA73" s="2">
        <v>7.2</v>
      </c>
      <c r="AC73" s="5">
        <f t="shared" si="2"/>
        <v>7.404166666666665</v>
      </c>
    </row>
    <row r="74" spans="2:29" x14ac:dyDescent="0.25">
      <c r="B74" s="4">
        <v>42439</v>
      </c>
      <c r="C74" s="3">
        <v>70</v>
      </c>
      <c r="D74" s="2">
        <v>6.7</v>
      </c>
      <c r="E74" s="2">
        <v>6</v>
      </c>
      <c r="F74" s="2">
        <v>6.1</v>
      </c>
      <c r="G74" s="2">
        <v>6.6</v>
      </c>
      <c r="H74" s="2">
        <v>5.9</v>
      </c>
      <c r="I74" s="2">
        <v>5.6</v>
      </c>
      <c r="J74" s="2">
        <v>5.5</v>
      </c>
      <c r="K74" s="2">
        <v>4.9000000000000004</v>
      </c>
      <c r="L74" s="2">
        <v>6.7</v>
      </c>
      <c r="M74" s="2">
        <v>8.6</v>
      </c>
      <c r="N74" s="2">
        <v>10.4</v>
      </c>
      <c r="O74" s="2">
        <v>12.8</v>
      </c>
      <c r="P74" s="2">
        <v>14.2</v>
      </c>
      <c r="Q74" s="2">
        <v>14.7</v>
      </c>
      <c r="R74" s="2">
        <v>14.5</v>
      </c>
      <c r="S74" s="2">
        <v>15.7</v>
      </c>
      <c r="T74" s="2">
        <v>16</v>
      </c>
      <c r="U74" s="2">
        <v>15.4</v>
      </c>
      <c r="V74" s="2">
        <v>15</v>
      </c>
      <c r="W74" s="2">
        <v>10.4</v>
      </c>
      <c r="X74" s="2">
        <v>7.9</v>
      </c>
      <c r="Y74" s="2">
        <v>8.1</v>
      </c>
      <c r="Z74" s="2">
        <v>9.1999999999999993</v>
      </c>
      <c r="AA74" s="2">
        <v>8.3000000000000007</v>
      </c>
      <c r="AC74" s="5">
        <f t="shared" si="2"/>
        <v>9.7999999999999989</v>
      </c>
    </row>
    <row r="75" spans="2:29" x14ac:dyDescent="0.25">
      <c r="B75" s="4">
        <v>42440</v>
      </c>
      <c r="C75" s="3">
        <v>71</v>
      </c>
      <c r="D75" s="2">
        <v>6.3</v>
      </c>
      <c r="E75" s="2">
        <v>5.2</v>
      </c>
      <c r="F75" s="2">
        <v>5.0999999999999996</v>
      </c>
      <c r="G75" s="2">
        <v>1.6</v>
      </c>
      <c r="H75" s="2">
        <v>3.3</v>
      </c>
      <c r="I75" s="2">
        <v>4.7</v>
      </c>
      <c r="J75" s="2">
        <v>1.1000000000000001</v>
      </c>
      <c r="K75" s="2">
        <v>0.9</v>
      </c>
      <c r="L75" s="2">
        <v>5.8</v>
      </c>
      <c r="M75" s="2">
        <v>8.9</v>
      </c>
      <c r="N75" s="2">
        <v>11.2</v>
      </c>
      <c r="O75" s="2">
        <v>12.9</v>
      </c>
      <c r="P75" s="2">
        <v>14.6</v>
      </c>
      <c r="Q75" s="2">
        <v>15.6</v>
      </c>
      <c r="R75" s="2">
        <v>16.100000000000001</v>
      </c>
      <c r="S75" s="2">
        <v>16.7</v>
      </c>
      <c r="T75" s="2">
        <v>17.100000000000001</v>
      </c>
      <c r="U75" s="2">
        <v>16.5</v>
      </c>
      <c r="V75" s="2">
        <v>15.3</v>
      </c>
      <c r="W75" s="2">
        <v>13.4</v>
      </c>
      <c r="X75" s="2">
        <v>10.199999999999999</v>
      </c>
      <c r="Y75" s="2">
        <v>9</v>
      </c>
      <c r="Z75" s="2">
        <v>9.5</v>
      </c>
      <c r="AA75" s="2">
        <v>9.3000000000000007</v>
      </c>
      <c r="AC75" s="5">
        <f t="shared" si="2"/>
        <v>9.5958333333333332</v>
      </c>
    </row>
    <row r="76" spans="2:29" x14ac:dyDescent="0.25">
      <c r="B76" s="4">
        <v>42441</v>
      </c>
      <c r="C76" s="3">
        <v>72</v>
      </c>
      <c r="D76" s="2">
        <v>8.1</v>
      </c>
      <c r="E76" s="2">
        <v>7.4</v>
      </c>
      <c r="F76" s="2">
        <v>7.1</v>
      </c>
      <c r="G76" s="2">
        <v>5.3</v>
      </c>
      <c r="H76" s="2">
        <v>4.2</v>
      </c>
      <c r="I76" s="2">
        <v>1.7</v>
      </c>
      <c r="J76" s="2">
        <v>-0.3</v>
      </c>
      <c r="K76" s="2">
        <v>2.1</v>
      </c>
      <c r="L76" s="2">
        <v>5</v>
      </c>
      <c r="M76" s="2">
        <v>8.3000000000000007</v>
      </c>
      <c r="N76" s="2">
        <v>10.7</v>
      </c>
      <c r="O76" s="2">
        <v>12.2</v>
      </c>
      <c r="P76" s="2">
        <v>14</v>
      </c>
      <c r="Q76" s="2">
        <v>15</v>
      </c>
      <c r="R76" s="2">
        <v>15.7</v>
      </c>
      <c r="S76" s="2">
        <v>16.2</v>
      </c>
      <c r="T76" s="2">
        <v>16</v>
      </c>
      <c r="U76" s="2">
        <v>15.5</v>
      </c>
      <c r="V76" s="2">
        <v>14</v>
      </c>
      <c r="W76" s="2">
        <v>10.6</v>
      </c>
      <c r="X76" s="2">
        <v>8.6999999999999993</v>
      </c>
      <c r="Y76" s="2">
        <v>6.1</v>
      </c>
      <c r="Z76" s="2">
        <v>4.8</v>
      </c>
      <c r="AA76" s="2">
        <v>3.7</v>
      </c>
      <c r="AC76" s="5">
        <f t="shared" si="2"/>
        <v>8.8375000000000004</v>
      </c>
    </row>
    <row r="77" spans="2:29" x14ac:dyDescent="0.25">
      <c r="B77" s="4">
        <v>42442</v>
      </c>
      <c r="C77" s="3">
        <v>73</v>
      </c>
      <c r="D77" s="2">
        <v>2.4</v>
      </c>
      <c r="E77" s="2">
        <v>2.9</v>
      </c>
      <c r="F77" s="2">
        <v>4.5999999999999996</v>
      </c>
      <c r="G77" s="2">
        <v>1.9</v>
      </c>
      <c r="H77" s="2">
        <v>0.5</v>
      </c>
      <c r="I77" s="2">
        <v>0.2</v>
      </c>
      <c r="J77" s="2">
        <v>0.1</v>
      </c>
      <c r="K77" s="2">
        <v>-0.9</v>
      </c>
      <c r="L77" s="2">
        <v>4.9000000000000004</v>
      </c>
      <c r="M77" s="2">
        <v>8.3000000000000007</v>
      </c>
      <c r="N77" s="2">
        <v>10.199999999999999</v>
      </c>
      <c r="O77" s="2">
        <v>12.2</v>
      </c>
      <c r="P77" s="2">
        <v>14</v>
      </c>
      <c r="Q77" s="2">
        <v>14.8</v>
      </c>
      <c r="R77" s="2">
        <v>15.3</v>
      </c>
      <c r="S77" s="2">
        <v>15.7</v>
      </c>
      <c r="T77" s="2">
        <v>14.5</v>
      </c>
      <c r="U77" s="2">
        <v>12.1</v>
      </c>
      <c r="V77" s="2">
        <v>11.1</v>
      </c>
      <c r="W77" s="2">
        <v>8</v>
      </c>
      <c r="X77" s="2">
        <v>8.6</v>
      </c>
      <c r="Y77" s="2">
        <v>5.4</v>
      </c>
      <c r="Z77" s="2">
        <v>7.8</v>
      </c>
      <c r="AA77" s="2">
        <v>8.5</v>
      </c>
      <c r="AC77" s="5">
        <f t="shared" si="2"/>
        <v>7.6291666666666664</v>
      </c>
    </row>
    <row r="78" spans="2:29" x14ac:dyDescent="0.25">
      <c r="B78" s="4">
        <v>42443</v>
      </c>
      <c r="C78" s="3">
        <v>74</v>
      </c>
      <c r="D78" s="2">
        <v>8.1999999999999993</v>
      </c>
      <c r="E78" s="2">
        <v>8.3000000000000007</v>
      </c>
      <c r="F78" s="2">
        <v>6.7</v>
      </c>
      <c r="G78" s="2">
        <v>7.7</v>
      </c>
      <c r="H78" s="2">
        <v>8.3000000000000007</v>
      </c>
      <c r="I78" s="2">
        <v>8.6</v>
      </c>
      <c r="J78" s="2">
        <v>7.7</v>
      </c>
      <c r="K78" s="2">
        <v>8.1</v>
      </c>
      <c r="L78" s="2">
        <v>9.1</v>
      </c>
      <c r="M78" s="2">
        <v>9.4</v>
      </c>
      <c r="N78" s="2">
        <v>10.1</v>
      </c>
      <c r="O78" s="2">
        <v>10.5</v>
      </c>
      <c r="P78" s="2">
        <v>9.4</v>
      </c>
      <c r="Q78" s="2">
        <v>10.4</v>
      </c>
      <c r="R78" s="2">
        <v>9.6</v>
      </c>
      <c r="S78" s="2">
        <v>8.1999999999999993</v>
      </c>
      <c r="T78" s="2">
        <v>9.3000000000000007</v>
      </c>
      <c r="U78" s="2">
        <v>11.2</v>
      </c>
      <c r="V78" s="2">
        <v>10.8</v>
      </c>
      <c r="W78" s="2">
        <v>9.6</v>
      </c>
      <c r="X78" s="2">
        <v>8.6</v>
      </c>
      <c r="Y78" s="2">
        <v>7.7</v>
      </c>
      <c r="Z78" s="2">
        <v>7</v>
      </c>
      <c r="AA78" s="2">
        <v>7.5</v>
      </c>
      <c r="AC78" s="5">
        <f t="shared" si="2"/>
        <v>8.8333333333333339</v>
      </c>
    </row>
    <row r="79" spans="2:29" x14ac:dyDescent="0.25">
      <c r="B79" s="4">
        <v>42444</v>
      </c>
      <c r="C79" s="3">
        <v>75</v>
      </c>
      <c r="D79" s="2">
        <v>8.1999999999999993</v>
      </c>
      <c r="E79" s="2">
        <v>8.5</v>
      </c>
      <c r="F79" s="2">
        <v>8</v>
      </c>
      <c r="G79" s="2">
        <v>8.4</v>
      </c>
      <c r="H79" s="2">
        <v>8.1</v>
      </c>
      <c r="I79" s="2">
        <v>8.4</v>
      </c>
      <c r="J79" s="2">
        <v>8.4</v>
      </c>
      <c r="K79" s="2">
        <v>7.8</v>
      </c>
      <c r="L79" s="2">
        <v>7.4</v>
      </c>
      <c r="M79" s="2">
        <v>7.5</v>
      </c>
      <c r="N79" s="2">
        <v>7.9</v>
      </c>
      <c r="O79" s="2">
        <v>8.1</v>
      </c>
      <c r="P79" s="2">
        <v>8.3000000000000007</v>
      </c>
      <c r="Q79" s="2">
        <v>10</v>
      </c>
      <c r="R79" s="2">
        <v>10.7</v>
      </c>
      <c r="S79" s="2">
        <v>11</v>
      </c>
      <c r="T79" s="2">
        <v>11.8</v>
      </c>
      <c r="U79" s="2">
        <v>12</v>
      </c>
      <c r="V79" s="2">
        <v>11.6</v>
      </c>
      <c r="W79" s="2">
        <v>8.6999999999999993</v>
      </c>
      <c r="X79" s="2">
        <v>5.6</v>
      </c>
      <c r="Y79" s="2">
        <v>5.3</v>
      </c>
      <c r="Z79" s="2">
        <v>5.2</v>
      </c>
      <c r="AA79" s="2">
        <v>5.2</v>
      </c>
      <c r="AC79" s="5">
        <f t="shared" si="2"/>
        <v>8.4208333333333325</v>
      </c>
    </row>
    <row r="80" spans="2:29" x14ac:dyDescent="0.25">
      <c r="B80" s="4">
        <v>42445</v>
      </c>
      <c r="C80" s="3">
        <v>76</v>
      </c>
      <c r="D80" s="2">
        <v>4.9000000000000004</v>
      </c>
      <c r="E80" s="2">
        <v>4</v>
      </c>
      <c r="F80" s="2">
        <v>3.8</v>
      </c>
      <c r="G80" s="2">
        <v>3.1</v>
      </c>
      <c r="H80" s="2">
        <v>3</v>
      </c>
      <c r="I80" s="2">
        <v>2.7</v>
      </c>
      <c r="J80" s="2">
        <v>3.1</v>
      </c>
      <c r="K80" s="2">
        <v>4.8</v>
      </c>
      <c r="L80" s="2">
        <v>5.6</v>
      </c>
      <c r="M80" s="2">
        <v>8.5</v>
      </c>
      <c r="N80" s="2">
        <v>10</v>
      </c>
      <c r="O80" s="2">
        <v>10.8</v>
      </c>
      <c r="P80" s="2">
        <v>12.1</v>
      </c>
      <c r="Q80" s="2">
        <v>12</v>
      </c>
      <c r="R80" s="2">
        <v>13.2</v>
      </c>
      <c r="S80" s="2">
        <v>14.2</v>
      </c>
      <c r="T80" s="2">
        <v>14.8</v>
      </c>
      <c r="U80" s="2">
        <v>13.3</v>
      </c>
      <c r="V80" s="2">
        <v>12.5</v>
      </c>
      <c r="W80" s="2">
        <v>11</v>
      </c>
      <c r="X80" s="2">
        <v>10.4</v>
      </c>
      <c r="Y80" s="2">
        <v>10.4</v>
      </c>
      <c r="Z80" s="2">
        <v>8.4</v>
      </c>
      <c r="AA80" s="2">
        <v>6.7</v>
      </c>
      <c r="AC80" s="5">
        <f t="shared" si="2"/>
        <v>8.4708333333333332</v>
      </c>
    </row>
    <row r="81" spans="2:29" x14ac:dyDescent="0.25">
      <c r="B81" s="4">
        <v>42446</v>
      </c>
      <c r="C81" s="3">
        <v>77</v>
      </c>
      <c r="D81" s="2">
        <v>6.6</v>
      </c>
      <c r="E81" s="2">
        <v>6.5</v>
      </c>
      <c r="F81" s="2">
        <v>5.6</v>
      </c>
      <c r="G81" s="2">
        <v>6.1</v>
      </c>
      <c r="H81" s="2">
        <v>6.5</v>
      </c>
      <c r="I81" s="2">
        <v>6.1</v>
      </c>
      <c r="J81" s="2">
        <v>6.4</v>
      </c>
      <c r="K81" s="2">
        <v>6.4</v>
      </c>
      <c r="L81" s="2">
        <v>7.1</v>
      </c>
      <c r="M81" s="2">
        <v>8.1</v>
      </c>
      <c r="N81" s="2">
        <v>10.6</v>
      </c>
      <c r="O81" s="2">
        <v>11.9</v>
      </c>
      <c r="P81" s="2">
        <v>12.8</v>
      </c>
      <c r="Q81" s="2">
        <v>12.1</v>
      </c>
      <c r="R81" s="2">
        <v>13.1</v>
      </c>
      <c r="S81" s="2">
        <v>12.6</v>
      </c>
      <c r="T81" s="2">
        <v>12</v>
      </c>
      <c r="U81" s="2">
        <v>11.7</v>
      </c>
      <c r="V81" s="2">
        <v>10.9</v>
      </c>
      <c r="W81" s="2">
        <v>10.199999999999999</v>
      </c>
      <c r="X81" s="2">
        <v>9.8000000000000007</v>
      </c>
      <c r="Y81" s="2">
        <v>9.4</v>
      </c>
      <c r="Z81" s="2">
        <v>8.1999999999999993</v>
      </c>
      <c r="AA81" s="2">
        <v>7.9</v>
      </c>
      <c r="AC81" s="5">
        <f t="shared" si="2"/>
        <v>9.1083333333333325</v>
      </c>
    </row>
    <row r="82" spans="2:29" x14ac:dyDescent="0.25">
      <c r="B82" s="4">
        <v>42447</v>
      </c>
      <c r="C82" s="3">
        <v>78</v>
      </c>
      <c r="D82" s="2">
        <v>8.1</v>
      </c>
      <c r="E82" s="2">
        <v>8</v>
      </c>
      <c r="F82" s="2">
        <v>8.1</v>
      </c>
      <c r="G82" s="2">
        <v>7.7</v>
      </c>
      <c r="H82" s="2">
        <v>7.2</v>
      </c>
      <c r="I82" s="2">
        <v>5.9</v>
      </c>
      <c r="J82" s="2">
        <v>4.3</v>
      </c>
      <c r="K82" s="2">
        <v>3.8</v>
      </c>
      <c r="L82" s="2">
        <v>6.7</v>
      </c>
      <c r="M82" s="2">
        <v>9.8000000000000007</v>
      </c>
      <c r="N82" s="2">
        <v>11.1</v>
      </c>
      <c r="O82" s="2">
        <v>11.6</v>
      </c>
      <c r="P82" s="2">
        <v>12.2</v>
      </c>
      <c r="Q82" s="2">
        <v>11.8</v>
      </c>
      <c r="R82" s="2">
        <v>11.5</v>
      </c>
      <c r="S82" s="2">
        <v>12.2</v>
      </c>
      <c r="T82" s="2">
        <v>12</v>
      </c>
      <c r="U82" s="2">
        <v>11.7</v>
      </c>
      <c r="V82" s="2">
        <v>11.4</v>
      </c>
      <c r="W82" s="2">
        <v>10.9</v>
      </c>
      <c r="X82" s="2">
        <v>10.6</v>
      </c>
      <c r="Y82" s="2">
        <v>10.5</v>
      </c>
      <c r="Z82" s="2">
        <v>10.4</v>
      </c>
      <c r="AA82" s="2">
        <v>10.4</v>
      </c>
      <c r="AC82" s="5">
        <f t="shared" si="2"/>
        <v>9.4958333333333318</v>
      </c>
    </row>
    <row r="83" spans="2:29" x14ac:dyDescent="0.25">
      <c r="B83" s="4">
        <v>42448</v>
      </c>
      <c r="C83" s="3">
        <v>79</v>
      </c>
      <c r="D83" s="2">
        <v>10.4</v>
      </c>
      <c r="E83" s="2">
        <v>10.3</v>
      </c>
      <c r="F83" s="2">
        <v>9.9</v>
      </c>
      <c r="G83" s="2">
        <v>9.9</v>
      </c>
      <c r="H83" s="2">
        <v>9.9</v>
      </c>
      <c r="I83" s="2">
        <v>9.9</v>
      </c>
      <c r="J83" s="2">
        <v>9.8000000000000007</v>
      </c>
      <c r="K83" s="2">
        <v>9.8000000000000007</v>
      </c>
      <c r="L83" s="2">
        <v>10</v>
      </c>
      <c r="M83" s="2">
        <v>9.6999999999999993</v>
      </c>
      <c r="N83" s="2">
        <v>9.9</v>
      </c>
      <c r="O83" s="2">
        <v>10.8</v>
      </c>
      <c r="P83" s="2">
        <v>11.3</v>
      </c>
      <c r="Q83" s="2">
        <v>12.4</v>
      </c>
      <c r="R83" s="2">
        <v>13.5</v>
      </c>
      <c r="S83" s="2">
        <v>14.4</v>
      </c>
      <c r="T83" s="2">
        <v>13.9</v>
      </c>
      <c r="U83" s="2">
        <v>13.2</v>
      </c>
      <c r="V83" s="2">
        <v>12.4</v>
      </c>
      <c r="W83" s="2">
        <v>12.2</v>
      </c>
      <c r="X83" s="2">
        <v>11.9</v>
      </c>
      <c r="Y83" s="2">
        <v>11.7</v>
      </c>
      <c r="Z83" s="2">
        <v>10.9</v>
      </c>
      <c r="AA83" s="2">
        <v>11.1</v>
      </c>
      <c r="AC83" s="5">
        <f t="shared" si="2"/>
        <v>11.216666666666667</v>
      </c>
    </row>
    <row r="84" spans="2:29" x14ac:dyDescent="0.25">
      <c r="B84" s="4">
        <v>42449</v>
      </c>
      <c r="C84" s="3">
        <v>80</v>
      </c>
      <c r="D84" s="2">
        <v>10.8</v>
      </c>
      <c r="E84" s="2">
        <v>10.6</v>
      </c>
      <c r="F84" s="2">
        <v>10.9</v>
      </c>
      <c r="G84" s="2">
        <v>9.1</v>
      </c>
      <c r="H84" s="2">
        <v>9</v>
      </c>
      <c r="I84" s="2">
        <v>9.1999999999999993</v>
      </c>
      <c r="J84" s="2">
        <v>8</v>
      </c>
      <c r="K84" s="2">
        <v>8.1999999999999993</v>
      </c>
      <c r="L84" s="2">
        <v>9.5</v>
      </c>
      <c r="M84" s="2">
        <v>10.9</v>
      </c>
      <c r="N84" s="2">
        <v>12.8</v>
      </c>
      <c r="O84" s="2">
        <v>14.4</v>
      </c>
      <c r="P84" s="2">
        <v>15.3</v>
      </c>
      <c r="Q84" s="2">
        <v>16.100000000000001</v>
      </c>
      <c r="R84" s="2">
        <v>15.8</v>
      </c>
      <c r="S84" s="2">
        <v>15.5</v>
      </c>
      <c r="T84" s="2">
        <v>15.2</v>
      </c>
      <c r="U84" s="2">
        <v>14.8</v>
      </c>
      <c r="V84" s="2">
        <v>13.5</v>
      </c>
      <c r="W84" s="2">
        <v>11.1</v>
      </c>
      <c r="X84" s="2">
        <v>9.5</v>
      </c>
      <c r="Y84" s="2">
        <v>8.6999999999999993</v>
      </c>
      <c r="Z84" s="2">
        <v>9.1</v>
      </c>
      <c r="AA84" s="2">
        <v>8.8000000000000007</v>
      </c>
      <c r="AC84" s="5">
        <f t="shared" si="2"/>
        <v>11.533333333333337</v>
      </c>
    </row>
    <row r="85" spans="2:29" x14ac:dyDescent="0.25">
      <c r="B85" s="4">
        <v>42450</v>
      </c>
      <c r="C85" s="3">
        <v>81</v>
      </c>
      <c r="D85" s="2">
        <v>8.1</v>
      </c>
      <c r="E85" s="2">
        <v>8.3000000000000007</v>
      </c>
      <c r="F85" s="2">
        <v>9.3000000000000007</v>
      </c>
      <c r="G85" s="2">
        <v>8.8000000000000007</v>
      </c>
      <c r="H85" s="2">
        <v>7.6</v>
      </c>
      <c r="I85" s="2">
        <v>8.1999999999999993</v>
      </c>
      <c r="J85" s="2">
        <v>7.3</v>
      </c>
      <c r="K85" s="2">
        <v>6.3</v>
      </c>
      <c r="L85" s="2">
        <v>8.9</v>
      </c>
      <c r="M85" s="2">
        <v>12.4</v>
      </c>
      <c r="N85" s="2">
        <v>13</v>
      </c>
      <c r="O85" s="2">
        <v>13.3</v>
      </c>
      <c r="P85" s="2">
        <v>14</v>
      </c>
      <c r="Q85" s="2">
        <v>13.5</v>
      </c>
      <c r="R85" s="2">
        <v>13.7</v>
      </c>
      <c r="S85" s="2">
        <v>14.4</v>
      </c>
      <c r="T85" s="2">
        <v>14.1</v>
      </c>
      <c r="U85" s="2">
        <v>14.8</v>
      </c>
      <c r="V85" s="2">
        <v>13.7</v>
      </c>
      <c r="W85" s="2">
        <v>9.8000000000000007</v>
      </c>
      <c r="X85" s="2">
        <v>8.6999999999999993</v>
      </c>
      <c r="Y85" s="2">
        <v>8.1999999999999993</v>
      </c>
      <c r="Z85" s="2">
        <v>8.6</v>
      </c>
      <c r="AA85" s="2">
        <v>8.6999999999999993</v>
      </c>
      <c r="AC85" s="5">
        <f t="shared" si="2"/>
        <v>10.570833333333331</v>
      </c>
    </row>
    <row r="86" spans="2:29" x14ac:dyDescent="0.25">
      <c r="B86" s="4">
        <v>42451</v>
      </c>
      <c r="C86" s="3">
        <v>82</v>
      </c>
      <c r="D86" s="2">
        <v>8.5</v>
      </c>
      <c r="E86" s="2">
        <v>8.3000000000000007</v>
      </c>
      <c r="F86" s="2">
        <v>8.5</v>
      </c>
      <c r="G86" s="2">
        <v>8.1999999999999993</v>
      </c>
      <c r="H86" s="2">
        <v>8.3000000000000007</v>
      </c>
      <c r="I86" s="2">
        <v>8.1</v>
      </c>
      <c r="J86" s="2">
        <v>6.4</v>
      </c>
      <c r="K86" s="2">
        <v>5.5</v>
      </c>
      <c r="L86" s="2">
        <v>9.3000000000000007</v>
      </c>
      <c r="M86" s="2">
        <v>12</v>
      </c>
      <c r="N86" s="2">
        <v>13.9</v>
      </c>
      <c r="O86" s="2">
        <v>16.600000000000001</v>
      </c>
      <c r="P86" s="2">
        <v>17.600000000000001</v>
      </c>
      <c r="Q86" s="2">
        <v>17.3</v>
      </c>
      <c r="R86" s="2">
        <v>17</v>
      </c>
      <c r="S86" s="2">
        <v>17.5</v>
      </c>
      <c r="T86" s="2">
        <v>18.399999999999999</v>
      </c>
      <c r="U86" s="2">
        <v>17.8</v>
      </c>
      <c r="V86" s="2">
        <v>17</v>
      </c>
      <c r="W86" s="2">
        <v>15.3</v>
      </c>
      <c r="X86" s="2">
        <v>14.4</v>
      </c>
      <c r="Y86" s="2">
        <v>13.5</v>
      </c>
      <c r="Z86" s="2">
        <v>12.7</v>
      </c>
      <c r="AA86" s="2">
        <v>11.4</v>
      </c>
      <c r="AC86" s="5">
        <f t="shared" si="2"/>
        <v>12.645833333333334</v>
      </c>
    </row>
    <row r="87" spans="2:29" x14ac:dyDescent="0.25">
      <c r="B87" s="4">
        <v>42452</v>
      </c>
      <c r="C87" s="3">
        <v>83</v>
      </c>
      <c r="D87" s="2">
        <v>10.4</v>
      </c>
      <c r="E87" s="2">
        <v>9.6999999999999993</v>
      </c>
      <c r="F87" s="2">
        <v>9.1</v>
      </c>
      <c r="G87" s="2">
        <v>9.4</v>
      </c>
      <c r="H87" s="2">
        <v>10.199999999999999</v>
      </c>
      <c r="I87" s="2">
        <v>9.1</v>
      </c>
      <c r="J87" s="2">
        <v>7.8</v>
      </c>
      <c r="K87" s="2">
        <v>8.5</v>
      </c>
      <c r="L87" s="2">
        <v>8.1</v>
      </c>
      <c r="M87" s="2">
        <v>10.8</v>
      </c>
      <c r="N87" s="2">
        <v>12.2</v>
      </c>
      <c r="O87" s="2">
        <v>14.6</v>
      </c>
      <c r="P87" s="2">
        <v>17</v>
      </c>
      <c r="Q87" s="2">
        <v>18.3</v>
      </c>
      <c r="R87" s="2">
        <v>18.100000000000001</v>
      </c>
      <c r="S87" s="2">
        <v>19.2</v>
      </c>
      <c r="T87" s="2">
        <v>20</v>
      </c>
      <c r="U87" s="2">
        <v>19.100000000000001</v>
      </c>
      <c r="V87" s="2">
        <v>18.2</v>
      </c>
      <c r="W87" s="2">
        <v>15.8</v>
      </c>
      <c r="X87" s="2">
        <v>14.7</v>
      </c>
      <c r="Y87" s="2">
        <v>14.6</v>
      </c>
      <c r="Z87" s="2">
        <v>14.4</v>
      </c>
      <c r="AA87" s="2">
        <v>12.8</v>
      </c>
      <c r="AC87" s="5">
        <f t="shared" si="2"/>
        <v>13.420833333333333</v>
      </c>
    </row>
    <row r="88" spans="2:29" x14ac:dyDescent="0.25">
      <c r="B88" s="4">
        <v>42453</v>
      </c>
      <c r="C88" s="3">
        <v>84</v>
      </c>
      <c r="D88" s="2">
        <v>12.9</v>
      </c>
      <c r="E88" s="2">
        <v>8.8000000000000007</v>
      </c>
      <c r="F88" s="2">
        <v>7.2</v>
      </c>
      <c r="G88" s="2">
        <v>9.1</v>
      </c>
      <c r="H88" s="2">
        <v>10.4</v>
      </c>
      <c r="I88" s="2">
        <v>8.8000000000000007</v>
      </c>
      <c r="J88" s="2">
        <v>8.5</v>
      </c>
      <c r="K88" s="2">
        <v>7.2</v>
      </c>
      <c r="L88" s="2">
        <v>10.8</v>
      </c>
      <c r="M88" s="2">
        <v>11.7</v>
      </c>
      <c r="N88" s="2">
        <v>13.5</v>
      </c>
      <c r="O88" s="2">
        <v>14.9</v>
      </c>
      <c r="P88" s="2">
        <v>16.5</v>
      </c>
      <c r="Q88" s="2">
        <v>18.2</v>
      </c>
      <c r="R88" s="2">
        <v>18.7</v>
      </c>
      <c r="S88" s="2">
        <v>16.8</v>
      </c>
      <c r="T88" s="2">
        <v>16.7</v>
      </c>
      <c r="U88" s="2">
        <v>14.1</v>
      </c>
      <c r="V88" s="2">
        <v>13</v>
      </c>
      <c r="W88" s="2">
        <v>11.6</v>
      </c>
      <c r="X88" s="2">
        <v>8</v>
      </c>
      <c r="Y88" s="2">
        <v>6.8</v>
      </c>
      <c r="Z88" s="2">
        <v>6.7</v>
      </c>
      <c r="AA88" s="2">
        <v>6.4</v>
      </c>
      <c r="AC88" s="5">
        <f t="shared" si="2"/>
        <v>11.554166666666665</v>
      </c>
    </row>
    <row r="89" spans="2:29" x14ac:dyDescent="0.25">
      <c r="B89" s="4">
        <v>42454</v>
      </c>
      <c r="C89" s="3">
        <v>85</v>
      </c>
      <c r="D89" s="2">
        <v>6.4</v>
      </c>
      <c r="E89" s="2">
        <v>6</v>
      </c>
      <c r="F89" s="2">
        <v>5.6</v>
      </c>
      <c r="G89" s="2">
        <v>5.5</v>
      </c>
      <c r="H89" s="2">
        <v>6.6</v>
      </c>
      <c r="I89" s="2">
        <v>6.2</v>
      </c>
      <c r="J89" s="2">
        <v>5.5</v>
      </c>
      <c r="K89" s="2">
        <v>5.5</v>
      </c>
      <c r="L89" s="2">
        <v>12.5</v>
      </c>
      <c r="M89" s="2">
        <v>13.7</v>
      </c>
      <c r="N89" s="2">
        <v>15.1</v>
      </c>
      <c r="O89" s="2">
        <v>16</v>
      </c>
      <c r="P89" s="2">
        <v>17.2</v>
      </c>
      <c r="Q89" s="2">
        <v>17.600000000000001</v>
      </c>
      <c r="R89" s="2">
        <v>16.8</v>
      </c>
      <c r="S89" s="2">
        <v>15.7</v>
      </c>
      <c r="T89" s="2">
        <v>14.4</v>
      </c>
      <c r="U89" s="2">
        <v>13.5</v>
      </c>
      <c r="V89" s="2">
        <v>13.2</v>
      </c>
      <c r="W89" s="2">
        <v>12.7</v>
      </c>
      <c r="X89" s="2">
        <v>12.5</v>
      </c>
      <c r="Y89" s="2">
        <v>11.3</v>
      </c>
      <c r="Z89" s="2">
        <v>9.8000000000000007</v>
      </c>
      <c r="AA89" s="2">
        <v>9.5</v>
      </c>
      <c r="AC89" s="5">
        <f t="shared" si="2"/>
        <v>11.200000000000001</v>
      </c>
    </row>
    <row r="90" spans="2:29" x14ac:dyDescent="0.25">
      <c r="B90" s="4">
        <v>42455</v>
      </c>
      <c r="C90" s="3">
        <v>86</v>
      </c>
      <c r="D90" s="2">
        <v>9.1</v>
      </c>
      <c r="E90" s="2">
        <v>8</v>
      </c>
      <c r="F90" s="2">
        <v>7.7</v>
      </c>
      <c r="G90" s="2">
        <v>7.8</v>
      </c>
      <c r="H90" s="2">
        <v>7.5</v>
      </c>
      <c r="I90" s="2">
        <v>8.5</v>
      </c>
      <c r="J90" s="2">
        <v>10.199999999999999</v>
      </c>
      <c r="K90" s="2">
        <v>10</v>
      </c>
      <c r="L90" s="2">
        <v>11</v>
      </c>
      <c r="M90" s="2">
        <v>12.5</v>
      </c>
      <c r="N90" s="2">
        <v>14.8</v>
      </c>
      <c r="O90" s="2">
        <v>16</v>
      </c>
      <c r="P90" s="2">
        <v>16.5</v>
      </c>
      <c r="Q90" s="2">
        <v>16.7</v>
      </c>
      <c r="R90" s="2">
        <v>17</v>
      </c>
      <c r="S90" s="2">
        <v>17.100000000000001</v>
      </c>
      <c r="T90" s="2">
        <v>17.100000000000001</v>
      </c>
      <c r="U90" s="2">
        <v>16.600000000000001</v>
      </c>
      <c r="V90" s="2">
        <v>15.4</v>
      </c>
      <c r="W90" s="2">
        <v>13.6</v>
      </c>
      <c r="X90" s="2">
        <v>12.1</v>
      </c>
      <c r="Y90" s="2">
        <v>12.6</v>
      </c>
      <c r="Z90" s="2">
        <v>11.5</v>
      </c>
      <c r="AA90" s="2">
        <v>11</v>
      </c>
      <c r="AC90" s="5">
        <f t="shared" si="2"/>
        <v>12.512500000000001</v>
      </c>
    </row>
    <row r="91" spans="2:29" x14ac:dyDescent="0.25">
      <c r="B91" s="4">
        <v>42456</v>
      </c>
      <c r="C91" s="3">
        <v>87</v>
      </c>
      <c r="D91" s="2">
        <v>10</v>
      </c>
      <c r="E91" s="2">
        <v>7.9</v>
      </c>
      <c r="G91" s="2">
        <v>7.3</v>
      </c>
      <c r="H91" s="2">
        <v>7.8</v>
      </c>
      <c r="I91" s="2">
        <v>8.4</v>
      </c>
      <c r="J91" s="2">
        <v>9.8000000000000007</v>
      </c>
      <c r="K91" s="2">
        <v>11.4</v>
      </c>
      <c r="L91" s="2">
        <v>16.100000000000001</v>
      </c>
      <c r="M91" s="2">
        <v>17.3</v>
      </c>
      <c r="N91" s="2">
        <v>16.7</v>
      </c>
      <c r="O91" s="2">
        <v>17</v>
      </c>
      <c r="P91" s="2">
        <v>17.600000000000001</v>
      </c>
      <c r="Q91" s="2">
        <v>17.7</v>
      </c>
      <c r="R91" s="2">
        <v>19.399999999999999</v>
      </c>
      <c r="S91" s="2">
        <v>18.7</v>
      </c>
      <c r="T91" s="2">
        <v>20</v>
      </c>
      <c r="U91" s="2">
        <v>16</v>
      </c>
      <c r="V91" s="2">
        <v>15</v>
      </c>
      <c r="W91" s="2">
        <v>14.2</v>
      </c>
      <c r="X91" s="2">
        <v>12.4</v>
      </c>
      <c r="Y91" s="2">
        <v>9.9</v>
      </c>
      <c r="Z91" s="2">
        <v>8.8000000000000007</v>
      </c>
      <c r="AA91" s="2">
        <v>9.1999999999999993</v>
      </c>
      <c r="AC91" s="5">
        <f t="shared" si="2"/>
        <v>12.858333333333329</v>
      </c>
    </row>
    <row r="92" spans="2:29" x14ac:dyDescent="0.25">
      <c r="B92" s="4">
        <v>42457</v>
      </c>
      <c r="C92" s="3">
        <v>88</v>
      </c>
      <c r="D92" s="2">
        <v>8.9</v>
      </c>
      <c r="E92" s="2">
        <v>8.1999999999999993</v>
      </c>
      <c r="F92" s="2">
        <v>9.5</v>
      </c>
      <c r="G92" s="2">
        <v>8</v>
      </c>
      <c r="H92" s="2">
        <v>7.3</v>
      </c>
      <c r="I92" s="2">
        <v>6.8</v>
      </c>
      <c r="J92" s="2">
        <v>6.2</v>
      </c>
      <c r="K92" s="2">
        <v>5</v>
      </c>
      <c r="L92" s="2">
        <v>8.3000000000000007</v>
      </c>
      <c r="M92" s="2">
        <v>12.2</v>
      </c>
      <c r="N92" s="2">
        <v>14.7</v>
      </c>
      <c r="O92" s="2">
        <v>16.5</v>
      </c>
      <c r="P92" s="2">
        <v>17.8</v>
      </c>
      <c r="Q92" s="2">
        <v>19.2</v>
      </c>
      <c r="R92" s="2">
        <v>20.3</v>
      </c>
      <c r="S92" s="2">
        <v>18.899999999999999</v>
      </c>
      <c r="T92" s="2">
        <v>18.399999999999999</v>
      </c>
      <c r="U92" s="2">
        <v>19.399999999999999</v>
      </c>
      <c r="V92" s="2">
        <v>18.7</v>
      </c>
      <c r="W92" s="2">
        <v>18.2</v>
      </c>
      <c r="X92" s="2">
        <v>17.3</v>
      </c>
      <c r="Y92" s="2">
        <v>16</v>
      </c>
      <c r="Z92" s="2">
        <v>15.7</v>
      </c>
      <c r="AA92" s="2">
        <v>12.6</v>
      </c>
      <c r="AC92" s="5">
        <f t="shared" si="2"/>
        <v>13.504166666666668</v>
      </c>
    </row>
    <row r="93" spans="2:29" x14ac:dyDescent="0.25">
      <c r="B93" s="4">
        <v>42458</v>
      </c>
      <c r="C93" s="3">
        <v>89</v>
      </c>
      <c r="D93" s="2">
        <v>11.1</v>
      </c>
      <c r="E93" s="2">
        <v>9.8000000000000007</v>
      </c>
      <c r="F93" s="2">
        <v>8.9</v>
      </c>
      <c r="G93" s="2">
        <v>7.9</v>
      </c>
      <c r="H93" s="2">
        <v>8.8000000000000007</v>
      </c>
      <c r="I93" s="2">
        <v>8.8000000000000007</v>
      </c>
      <c r="J93" s="2">
        <v>11.4</v>
      </c>
      <c r="K93" s="2">
        <v>9.3000000000000007</v>
      </c>
      <c r="L93" s="2">
        <v>9.9</v>
      </c>
      <c r="M93" s="2">
        <v>13.7</v>
      </c>
      <c r="N93" s="2">
        <v>16.7</v>
      </c>
      <c r="O93" s="2">
        <v>19.5</v>
      </c>
      <c r="P93" s="2">
        <v>20.8</v>
      </c>
      <c r="Q93" s="2">
        <v>22.1</v>
      </c>
      <c r="R93" s="2">
        <v>21.9</v>
      </c>
      <c r="S93" s="2">
        <v>21.1</v>
      </c>
      <c r="T93" s="2">
        <v>20.7</v>
      </c>
      <c r="U93" s="2">
        <v>20.6</v>
      </c>
      <c r="V93" s="2">
        <v>18.3</v>
      </c>
      <c r="W93" s="2">
        <v>17.5</v>
      </c>
      <c r="X93" s="2">
        <v>15.4</v>
      </c>
      <c r="Y93" s="2">
        <v>11.3</v>
      </c>
      <c r="Z93" s="2">
        <v>11.5</v>
      </c>
      <c r="AA93" s="2">
        <v>11.3</v>
      </c>
      <c r="AC93" s="5">
        <f t="shared" si="2"/>
        <v>14.512500000000001</v>
      </c>
    </row>
    <row r="94" spans="2:29" x14ac:dyDescent="0.25">
      <c r="B94" s="4">
        <v>42459</v>
      </c>
      <c r="C94" s="3">
        <v>90</v>
      </c>
      <c r="D94" s="2">
        <v>10.9</v>
      </c>
      <c r="E94" s="2">
        <v>12.1</v>
      </c>
      <c r="F94" s="2">
        <v>8.8000000000000007</v>
      </c>
      <c r="G94" s="2">
        <v>8.9</v>
      </c>
      <c r="H94" s="2">
        <v>10.1</v>
      </c>
      <c r="I94" s="2">
        <v>9.9</v>
      </c>
      <c r="J94" s="2">
        <v>8.9</v>
      </c>
      <c r="K94" s="2">
        <v>7.6</v>
      </c>
      <c r="L94" s="2">
        <v>8.1</v>
      </c>
      <c r="M94" s="2">
        <v>11.7</v>
      </c>
      <c r="N94" s="2">
        <v>12.6</v>
      </c>
      <c r="O94" s="2">
        <v>13.7</v>
      </c>
      <c r="P94" s="2">
        <v>16.899999999999999</v>
      </c>
      <c r="Q94" s="2">
        <v>18.399999999999999</v>
      </c>
      <c r="R94" s="2">
        <v>17.600000000000001</v>
      </c>
      <c r="S94" s="2">
        <v>17.600000000000001</v>
      </c>
      <c r="T94" s="2">
        <v>17.399999999999999</v>
      </c>
      <c r="U94" s="2">
        <v>15.7</v>
      </c>
      <c r="V94" s="2">
        <v>15.4</v>
      </c>
      <c r="W94" s="2">
        <v>14.8</v>
      </c>
      <c r="X94" s="2">
        <v>13.7</v>
      </c>
      <c r="Y94" s="2">
        <v>12.2</v>
      </c>
      <c r="Z94" s="2">
        <v>10.1</v>
      </c>
      <c r="AA94" s="2">
        <v>10</v>
      </c>
      <c r="AC94" s="5">
        <f t="shared" si="2"/>
        <v>12.629166666666665</v>
      </c>
    </row>
    <row r="95" spans="2:29" x14ac:dyDescent="0.25">
      <c r="B95" s="4">
        <v>42460</v>
      </c>
      <c r="C95" s="3">
        <v>91</v>
      </c>
      <c r="D95" s="2">
        <v>9.9</v>
      </c>
      <c r="E95" s="2">
        <v>9.1</v>
      </c>
      <c r="F95" s="2">
        <v>9</v>
      </c>
      <c r="G95" s="2">
        <v>9.4</v>
      </c>
      <c r="H95" s="2">
        <v>10.7</v>
      </c>
      <c r="I95" s="2">
        <v>10.3</v>
      </c>
      <c r="J95" s="2">
        <v>9.4</v>
      </c>
      <c r="K95" s="2">
        <v>9.6</v>
      </c>
      <c r="L95" s="2">
        <v>10.1</v>
      </c>
      <c r="M95" s="2">
        <v>13.1</v>
      </c>
      <c r="N95" s="2">
        <v>13.9</v>
      </c>
      <c r="O95" s="2">
        <v>15.3</v>
      </c>
      <c r="P95" s="2">
        <v>16.2</v>
      </c>
      <c r="Q95" s="2">
        <v>17.8</v>
      </c>
      <c r="R95" s="2">
        <v>19.7</v>
      </c>
      <c r="S95" s="2">
        <v>19.8</v>
      </c>
      <c r="T95" s="2">
        <v>19</v>
      </c>
      <c r="U95" s="2">
        <v>17.8</v>
      </c>
      <c r="V95" s="2">
        <v>15.8</v>
      </c>
      <c r="W95" s="2">
        <v>15.2</v>
      </c>
      <c r="X95" s="2">
        <v>14.5</v>
      </c>
      <c r="Y95" s="2">
        <v>13.2</v>
      </c>
      <c r="Z95" s="2">
        <v>11.8</v>
      </c>
      <c r="AA95" s="2">
        <v>11.5</v>
      </c>
      <c r="AC95" s="5">
        <f t="shared" si="2"/>
        <v>13.420833333333334</v>
      </c>
    </row>
    <row r="96" spans="2:29" x14ac:dyDescent="0.25">
      <c r="B96" s="4">
        <v>42461</v>
      </c>
      <c r="C96" s="3">
        <v>92</v>
      </c>
      <c r="D96" s="2">
        <v>11.1</v>
      </c>
      <c r="E96" s="2">
        <v>9.8000000000000007</v>
      </c>
      <c r="F96" s="2">
        <v>9</v>
      </c>
      <c r="G96" s="2">
        <v>8.4</v>
      </c>
      <c r="H96" s="2">
        <v>9.1999999999999993</v>
      </c>
      <c r="I96" s="2">
        <v>8.8000000000000007</v>
      </c>
      <c r="J96" s="2">
        <v>8.3000000000000007</v>
      </c>
      <c r="K96" s="2">
        <v>7.7</v>
      </c>
      <c r="L96" s="2">
        <v>7.6</v>
      </c>
      <c r="M96" s="2">
        <v>8</v>
      </c>
      <c r="N96" s="2">
        <v>10.199999999999999</v>
      </c>
      <c r="O96" s="2">
        <v>11</v>
      </c>
      <c r="P96" s="2">
        <v>11.2</v>
      </c>
      <c r="Q96" s="2">
        <v>12.8</v>
      </c>
      <c r="R96" s="2">
        <v>14.6</v>
      </c>
      <c r="S96" s="2">
        <v>15.3</v>
      </c>
      <c r="T96" s="2">
        <v>12.5</v>
      </c>
      <c r="U96" s="2">
        <v>13</v>
      </c>
      <c r="V96" s="2">
        <v>12.5</v>
      </c>
      <c r="W96" s="2">
        <v>12.4</v>
      </c>
      <c r="X96" s="2">
        <v>11.6</v>
      </c>
      <c r="Y96" s="2">
        <v>10.7</v>
      </c>
      <c r="Z96" s="2">
        <v>11</v>
      </c>
      <c r="AA96" s="2">
        <v>10.4</v>
      </c>
      <c r="AC96" s="5">
        <f t="shared" si="2"/>
        <v>10.712499999999999</v>
      </c>
    </row>
    <row r="97" spans="2:29" x14ac:dyDescent="0.25">
      <c r="B97" s="4">
        <v>42462</v>
      </c>
      <c r="C97" s="3">
        <v>93</v>
      </c>
      <c r="D97" s="2">
        <v>10.3</v>
      </c>
      <c r="E97" s="2">
        <v>10.3</v>
      </c>
      <c r="F97" s="2">
        <v>9.6999999999999993</v>
      </c>
      <c r="G97" s="2">
        <v>8.6999999999999993</v>
      </c>
      <c r="H97" s="2">
        <v>7.2</v>
      </c>
      <c r="I97" s="2">
        <v>7</v>
      </c>
      <c r="J97" s="2">
        <v>7.6</v>
      </c>
      <c r="K97" s="2">
        <v>8.5</v>
      </c>
      <c r="L97" s="2">
        <v>6.4</v>
      </c>
      <c r="M97" s="2">
        <v>10.3</v>
      </c>
      <c r="N97" s="2">
        <v>11.4</v>
      </c>
      <c r="O97" s="2">
        <v>12.7</v>
      </c>
      <c r="P97" s="2">
        <v>14.7</v>
      </c>
      <c r="Q97" s="2">
        <v>16.2</v>
      </c>
      <c r="R97" s="2">
        <v>17</v>
      </c>
      <c r="S97" s="2">
        <v>16.2</v>
      </c>
      <c r="T97" s="2">
        <v>15.8</v>
      </c>
      <c r="U97" s="2">
        <v>15.8</v>
      </c>
      <c r="V97" s="2">
        <v>15.2</v>
      </c>
      <c r="W97" s="2">
        <v>14.3</v>
      </c>
      <c r="X97" s="2">
        <v>12.2</v>
      </c>
      <c r="Y97" s="2">
        <v>10.6</v>
      </c>
      <c r="Z97" s="2">
        <v>9.1999999999999993</v>
      </c>
      <c r="AA97" s="2">
        <v>8.3000000000000007</v>
      </c>
      <c r="AC97" s="5">
        <f t="shared" si="2"/>
        <v>11.483333333333334</v>
      </c>
    </row>
    <row r="98" spans="2:29" x14ac:dyDescent="0.25">
      <c r="B98" s="4">
        <v>42463</v>
      </c>
      <c r="C98" s="3">
        <v>94</v>
      </c>
      <c r="D98" s="2">
        <v>9.1999999999999993</v>
      </c>
      <c r="E98" s="2">
        <v>8.9</v>
      </c>
      <c r="F98" s="2">
        <v>8</v>
      </c>
      <c r="G98" s="2">
        <v>7.2</v>
      </c>
      <c r="H98" s="2">
        <v>6</v>
      </c>
      <c r="I98" s="2">
        <v>6.2</v>
      </c>
      <c r="J98" s="2">
        <v>6.3</v>
      </c>
      <c r="K98" s="2">
        <v>7.8</v>
      </c>
      <c r="L98" s="2">
        <v>8.8000000000000007</v>
      </c>
      <c r="M98" s="2">
        <v>11.8</v>
      </c>
      <c r="N98" s="2">
        <v>13.4</v>
      </c>
      <c r="O98" s="2">
        <v>13.7</v>
      </c>
      <c r="P98" s="2">
        <v>14.1</v>
      </c>
      <c r="Q98" s="2">
        <v>14.2</v>
      </c>
      <c r="R98" s="2">
        <v>14.4</v>
      </c>
      <c r="S98" s="2">
        <v>15.1</v>
      </c>
      <c r="T98" s="2">
        <v>15</v>
      </c>
      <c r="U98" s="2">
        <v>15</v>
      </c>
      <c r="V98" s="2">
        <v>15.1</v>
      </c>
      <c r="W98" s="2">
        <v>14</v>
      </c>
      <c r="X98" s="2">
        <v>13.2</v>
      </c>
      <c r="Y98" s="2">
        <v>12.6</v>
      </c>
      <c r="Z98" s="2">
        <v>11.8</v>
      </c>
      <c r="AA98" s="2">
        <v>10.9</v>
      </c>
      <c r="AC98" s="5">
        <f t="shared" si="2"/>
        <v>11.362499999999997</v>
      </c>
    </row>
    <row r="99" spans="2:29" x14ac:dyDescent="0.25">
      <c r="B99" s="4">
        <v>42464</v>
      </c>
      <c r="C99" s="3">
        <v>95</v>
      </c>
      <c r="D99" s="2">
        <v>10.8</v>
      </c>
      <c r="E99" s="2">
        <v>11.1</v>
      </c>
      <c r="F99" s="2">
        <v>11.6</v>
      </c>
      <c r="G99" s="2">
        <v>11.8</v>
      </c>
      <c r="H99" s="2">
        <v>12</v>
      </c>
      <c r="I99" s="2">
        <v>11.7</v>
      </c>
      <c r="J99" s="2">
        <v>11.2</v>
      </c>
      <c r="K99" s="2">
        <v>11</v>
      </c>
      <c r="L99" s="2">
        <v>11.1</v>
      </c>
      <c r="M99" s="2">
        <v>11.2</v>
      </c>
      <c r="N99" s="2">
        <v>11.9</v>
      </c>
      <c r="O99" s="2">
        <v>13.6</v>
      </c>
      <c r="P99" s="2">
        <v>15.3</v>
      </c>
      <c r="Q99" s="2">
        <v>15.2</v>
      </c>
      <c r="R99" s="2">
        <v>15</v>
      </c>
      <c r="S99" s="2">
        <v>15.1</v>
      </c>
      <c r="T99" s="2">
        <v>14.5</v>
      </c>
      <c r="U99" s="2">
        <v>14.3</v>
      </c>
      <c r="V99" s="2">
        <v>13.7</v>
      </c>
      <c r="W99" s="2">
        <v>13.5</v>
      </c>
      <c r="X99" s="2">
        <v>13.1</v>
      </c>
      <c r="Y99" s="2">
        <v>12.5</v>
      </c>
      <c r="Z99" s="2">
        <v>11.9</v>
      </c>
      <c r="AA99" s="2">
        <v>11.7</v>
      </c>
      <c r="AC99" s="5">
        <f t="shared" si="2"/>
        <v>12.699999999999998</v>
      </c>
    </row>
    <row r="100" spans="2:29" x14ac:dyDescent="0.25">
      <c r="B100" s="4">
        <v>42465</v>
      </c>
      <c r="C100" s="3">
        <v>96</v>
      </c>
      <c r="D100" s="2">
        <v>12.9</v>
      </c>
      <c r="E100" s="2">
        <v>13.1</v>
      </c>
      <c r="F100" s="2">
        <v>12.5</v>
      </c>
      <c r="G100" s="2">
        <v>12.6</v>
      </c>
      <c r="H100" s="2">
        <v>12.9</v>
      </c>
      <c r="I100" s="2">
        <v>12.9</v>
      </c>
      <c r="J100" s="2">
        <v>12.7</v>
      </c>
      <c r="K100" s="2">
        <v>12.7</v>
      </c>
      <c r="L100" s="2">
        <v>12.9</v>
      </c>
      <c r="M100" s="2">
        <v>13.4</v>
      </c>
      <c r="N100" s="2">
        <v>13.7</v>
      </c>
      <c r="O100" s="2">
        <v>13.7</v>
      </c>
      <c r="P100" s="2">
        <v>13.4</v>
      </c>
      <c r="Q100" s="2">
        <v>13</v>
      </c>
      <c r="R100" s="2">
        <v>13.3</v>
      </c>
      <c r="S100" s="2">
        <v>13.4</v>
      </c>
      <c r="T100" s="2">
        <v>13.2</v>
      </c>
      <c r="U100" s="2">
        <v>14</v>
      </c>
      <c r="V100" s="2">
        <v>14.4</v>
      </c>
      <c r="W100" s="2">
        <v>14.1</v>
      </c>
      <c r="X100" s="2">
        <v>13.8</v>
      </c>
      <c r="Y100" s="2">
        <v>13.4</v>
      </c>
      <c r="Z100" s="2">
        <v>13.7</v>
      </c>
      <c r="AA100" s="2">
        <v>13.6</v>
      </c>
      <c r="AC100" s="5">
        <f t="shared" si="2"/>
        <v>13.304166666666667</v>
      </c>
    </row>
    <row r="101" spans="2:29" x14ac:dyDescent="0.25">
      <c r="B101" s="4">
        <v>42466</v>
      </c>
      <c r="C101" s="3">
        <v>97</v>
      </c>
      <c r="D101" s="2">
        <v>12.8</v>
      </c>
      <c r="E101" s="2">
        <v>12.6</v>
      </c>
      <c r="F101" s="2">
        <v>13.4</v>
      </c>
      <c r="G101" s="2">
        <v>13.2</v>
      </c>
      <c r="H101" s="2">
        <v>12</v>
      </c>
      <c r="I101" s="2">
        <v>9.9</v>
      </c>
      <c r="J101" s="2">
        <v>9.9</v>
      </c>
      <c r="K101" s="2">
        <v>8.3000000000000007</v>
      </c>
      <c r="L101" s="2">
        <v>10.4</v>
      </c>
      <c r="M101" s="2">
        <v>12.9</v>
      </c>
      <c r="N101" s="2">
        <v>15.2</v>
      </c>
      <c r="O101" s="2">
        <v>16.3</v>
      </c>
      <c r="P101" s="2">
        <v>17.7</v>
      </c>
      <c r="Q101" s="2">
        <v>18.8</v>
      </c>
      <c r="R101" s="2">
        <v>19.5</v>
      </c>
      <c r="S101" s="2">
        <v>20.3</v>
      </c>
      <c r="T101" s="2">
        <v>20.7</v>
      </c>
      <c r="U101" s="2">
        <v>20.6</v>
      </c>
      <c r="V101" s="2">
        <v>19.8</v>
      </c>
      <c r="W101" s="2">
        <v>18.399999999999999</v>
      </c>
      <c r="X101" s="2">
        <v>16.600000000000001</v>
      </c>
      <c r="Y101" s="2">
        <v>14.1</v>
      </c>
      <c r="Z101" s="2">
        <v>14.7</v>
      </c>
      <c r="AA101" s="2">
        <v>11.9</v>
      </c>
      <c r="AC101" s="5">
        <f t="shared" si="2"/>
        <v>15.000000000000002</v>
      </c>
    </row>
    <row r="102" spans="2:29" x14ac:dyDescent="0.25">
      <c r="B102" s="4">
        <v>42467</v>
      </c>
      <c r="C102" s="3">
        <v>98</v>
      </c>
      <c r="D102" s="2">
        <v>11.6</v>
      </c>
      <c r="E102" s="2">
        <v>11.7</v>
      </c>
      <c r="F102" s="2">
        <v>12.2</v>
      </c>
      <c r="G102" s="2">
        <v>9.1</v>
      </c>
      <c r="H102" s="2">
        <v>8</v>
      </c>
      <c r="I102" s="2">
        <v>7.5</v>
      </c>
      <c r="J102" s="2">
        <v>7.2</v>
      </c>
      <c r="K102" s="2">
        <v>6.1</v>
      </c>
      <c r="L102" s="2">
        <v>8.4</v>
      </c>
      <c r="M102" s="2">
        <v>11.3</v>
      </c>
      <c r="N102" s="2">
        <v>14.2</v>
      </c>
      <c r="O102" s="2">
        <v>15.9</v>
      </c>
      <c r="P102" s="2">
        <v>17.5</v>
      </c>
      <c r="Q102" s="2">
        <v>18.399999999999999</v>
      </c>
      <c r="R102" s="2">
        <v>19</v>
      </c>
      <c r="S102" s="2">
        <v>19.5</v>
      </c>
      <c r="T102" s="2">
        <v>19.399999999999999</v>
      </c>
      <c r="U102" s="2">
        <v>18.899999999999999</v>
      </c>
      <c r="V102" s="2">
        <v>18.5</v>
      </c>
      <c r="W102" s="2">
        <v>17.5</v>
      </c>
      <c r="X102" s="2">
        <v>15.6</v>
      </c>
      <c r="Y102" s="2">
        <v>14</v>
      </c>
      <c r="Z102" s="2">
        <v>12.8</v>
      </c>
      <c r="AA102" s="2">
        <v>12.5</v>
      </c>
      <c r="AC102" s="5">
        <f t="shared" si="2"/>
        <v>13.616666666666667</v>
      </c>
    </row>
    <row r="103" spans="2:29" x14ac:dyDescent="0.25">
      <c r="B103" s="4">
        <v>42468</v>
      </c>
      <c r="C103" s="3">
        <v>99</v>
      </c>
      <c r="D103" s="2">
        <v>11.8</v>
      </c>
      <c r="E103" s="2">
        <v>11</v>
      </c>
      <c r="F103" s="2">
        <v>10.4</v>
      </c>
      <c r="G103" s="2">
        <v>9.9</v>
      </c>
      <c r="H103" s="2">
        <v>9.4</v>
      </c>
      <c r="I103" s="2">
        <v>9.1</v>
      </c>
      <c r="J103" s="2">
        <v>8.8000000000000007</v>
      </c>
      <c r="K103" s="2">
        <v>8.3000000000000007</v>
      </c>
      <c r="L103" s="2">
        <v>8.3000000000000007</v>
      </c>
      <c r="M103" s="2">
        <v>10.3</v>
      </c>
      <c r="N103" s="2">
        <v>11.9</v>
      </c>
      <c r="O103" s="2">
        <v>12.7</v>
      </c>
      <c r="P103" s="2">
        <v>14.4</v>
      </c>
      <c r="Q103" s="2">
        <v>15.4</v>
      </c>
      <c r="R103" s="2">
        <v>13.4</v>
      </c>
      <c r="S103" s="2">
        <v>13.2</v>
      </c>
      <c r="T103" s="2">
        <v>12.9</v>
      </c>
      <c r="U103" s="2">
        <v>12.3</v>
      </c>
      <c r="V103" s="2">
        <v>12.8</v>
      </c>
      <c r="W103" s="2">
        <v>12</v>
      </c>
      <c r="X103" s="2">
        <v>11.5</v>
      </c>
      <c r="Y103" s="2">
        <v>8.6999999999999993</v>
      </c>
      <c r="Z103" s="2">
        <v>8.4</v>
      </c>
      <c r="AA103" s="2">
        <v>10.5</v>
      </c>
      <c r="AC103" s="5">
        <f t="shared" si="2"/>
        <v>11.141666666666667</v>
      </c>
    </row>
    <row r="104" spans="2:29" x14ac:dyDescent="0.25">
      <c r="B104" s="4">
        <v>42469</v>
      </c>
      <c r="C104" s="3">
        <v>100</v>
      </c>
      <c r="D104" s="2">
        <v>9.9</v>
      </c>
      <c r="E104" s="2">
        <v>9.5</v>
      </c>
      <c r="F104" s="2">
        <v>9.3000000000000007</v>
      </c>
      <c r="G104" s="2">
        <v>9.3000000000000007</v>
      </c>
      <c r="H104" s="2">
        <v>8.6999999999999993</v>
      </c>
      <c r="I104" s="2">
        <v>7.9</v>
      </c>
      <c r="J104" s="2">
        <v>8.6</v>
      </c>
      <c r="K104" s="2">
        <v>8</v>
      </c>
      <c r="L104" s="2">
        <v>8.1999999999999993</v>
      </c>
      <c r="M104" s="2">
        <v>11.2</v>
      </c>
      <c r="N104" s="2">
        <v>12.7</v>
      </c>
      <c r="O104" s="2">
        <v>14.3</v>
      </c>
      <c r="P104" s="2">
        <v>16.3</v>
      </c>
      <c r="Q104" s="2">
        <v>17.7</v>
      </c>
      <c r="R104" s="2">
        <v>18.8</v>
      </c>
      <c r="S104" s="2">
        <v>19.3</v>
      </c>
      <c r="T104" s="2">
        <v>20.100000000000001</v>
      </c>
      <c r="U104" s="2">
        <v>18.8</v>
      </c>
      <c r="V104" s="2">
        <v>17.399999999999999</v>
      </c>
      <c r="W104" s="2">
        <v>16.3</v>
      </c>
      <c r="X104" s="2">
        <v>14.9</v>
      </c>
      <c r="Y104" s="2">
        <v>12.9</v>
      </c>
      <c r="Z104" s="2">
        <v>10.9</v>
      </c>
      <c r="AA104" s="2">
        <v>9.5</v>
      </c>
      <c r="AC104" s="5">
        <f t="shared" si="2"/>
        <v>12.937499999999998</v>
      </c>
    </row>
    <row r="105" spans="2:29" x14ac:dyDescent="0.25">
      <c r="B105" s="4">
        <v>42470</v>
      </c>
      <c r="C105" s="3">
        <v>101</v>
      </c>
      <c r="D105" s="2">
        <v>10.1</v>
      </c>
      <c r="E105" s="2">
        <v>9.6999999999999993</v>
      </c>
      <c r="F105" s="2">
        <v>10.5</v>
      </c>
      <c r="G105" s="2">
        <v>10.1</v>
      </c>
      <c r="H105" s="2">
        <v>10</v>
      </c>
      <c r="I105" s="2">
        <v>9</v>
      </c>
      <c r="J105" s="2">
        <v>8.6</v>
      </c>
      <c r="K105" s="2">
        <v>7.7</v>
      </c>
      <c r="L105" s="2">
        <v>10.8</v>
      </c>
      <c r="M105" s="2">
        <v>12.4</v>
      </c>
      <c r="N105" s="2">
        <v>13.9</v>
      </c>
      <c r="O105" s="2">
        <v>15.8</v>
      </c>
      <c r="P105" s="2">
        <v>16.5</v>
      </c>
      <c r="Q105" s="2">
        <v>16.8</v>
      </c>
      <c r="R105" s="2">
        <v>16.600000000000001</v>
      </c>
      <c r="S105" s="2">
        <v>16.899999999999999</v>
      </c>
      <c r="T105" s="2">
        <v>16</v>
      </c>
      <c r="U105" s="2">
        <v>16.399999999999999</v>
      </c>
      <c r="V105" s="2">
        <v>15.9</v>
      </c>
      <c r="W105" s="2">
        <v>14.6</v>
      </c>
      <c r="X105" s="2">
        <v>13.6</v>
      </c>
      <c r="Y105" s="2">
        <v>12.3</v>
      </c>
      <c r="Z105" s="2">
        <v>10.4</v>
      </c>
      <c r="AA105" s="2">
        <v>12</v>
      </c>
      <c r="AC105" s="5">
        <f t="shared" si="2"/>
        <v>12.775000000000004</v>
      </c>
    </row>
    <row r="106" spans="2:29" x14ac:dyDescent="0.25">
      <c r="B106" s="4">
        <v>42471</v>
      </c>
      <c r="C106" s="3">
        <v>102</v>
      </c>
      <c r="D106" s="2">
        <v>12.7</v>
      </c>
      <c r="E106" s="2">
        <v>12.7</v>
      </c>
      <c r="F106" s="2">
        <v>13.1</v>
      </c>
      <c r="G106" s="2">
        <v>13.2</v>
      </c>
      <c r="H106" s="2">
        <v>12.9</v>
      </c>
      <c r="I106" s="2">
        <v>12.2</v>
      </c>
      <c r="J106" s="2">
        <v>11.7</v>
      </c>
      <c r="K106" s="2">
        <v>11.3</v>
      </c>
      <c r="L106" s="2">
        <v>10.3</v>
      </c>
      <c r="M106" s="2">
        <v>15.3</v>
      </c>
      <c r="N106" s="2">
        <v>15.7</v>
      </c>
      <c r="O106" s="2">
        <v>17.100000000000001</v>
      </c>
      <c r="P106" s="2">
        <v>17.8</v>
      </c>
      <c r="Q106" s="2">
        <v>18.899999999999999</v>
      </c>
      <c r="R106" s="2">
        <v>19</v>
      </c>
      <c r="S106" s="2">
        <v>17.8</v>
      </c>
      <c r="T106" s="2">
        <v>18.7</v>
      </c>
      <c r="U106" s="2">
        <v>17.8</v>
      </c>
      <c r="V106" s="2">
        <v>17.399999999999999</v>
      </c>
      <c r="W106" s="2">
        <v>16.5</v>
      </c>
      <c r="X106" s="2">
        <v>14.1</v>
      </c>
      <c r="Y106" s="2">
        <v>12.3</v>
      </c>
      <c r="Z106" s="2">
        <v>9.6999999999999993</v>
      </c>
      <c r="AA106" s="2">
        <v>8.6</v>
      </c>
      <c r="AC106" s="5">
        <f t="shared" si="2"/>
        <v>14.450000000000001</v>
      </c>
    </row>
    <row r="107" spans="2:29" x14ac:dyDescent="0.25">
      <c r="B107" s="4">
        <v>42472</v>
      </c>
      <c r="C107" s="3">
        <v>103</v>
      </c>
      <c r="D107" s="2">
        <v>11.4</v>
      </c>
      <c r="E107" s="2">
        <v>11.4</v>
      </c>
      <c r="F107" s="2">
        <v>9.9</v>
      </c>
      <c r="G107" s="2">
        <v>10.5</v>
      </c>
      <c r="H107" s="2">
        <v>10.7</v>
      </c>
      <c r="I107" s="2">
        <v>11.6</v>
      </c>
      <c r="J107" s="2">
        <v>11.7</v>
      </c>
      <c r="K107" s="2">
        <v>10.6</v>
      </c>
      <c r="L107" s="2">
        <v>11.9</v>
      </c>
      <c r="M107" s="2">
        <v>13.8</v>
      </c>
      <c r="N107" s="2">
        <v>16</v>
      </c>
      <c r="O107" s="2">
        <v>17.600000000000001</v>
      </c>
      <c r="P107" s="2">
        <v>16.8</v>
      </c>
      <c r="Q107" s="2">
        <v>17</v>
      </c>
      <c r="R107" s="2">
        <v>17.600000000000001</v>
      </c>
      <c r="S107" s="2">
        <v>18.5</v>
      </c>
      <c r="T107" s="2">
        <v>18.600000000000001</v>
      </c>
      <c r="U107" s="2">
        <v>18</v>
      </c>
      <c r="V107" s="2">
        <v>18.3</v>
      </c>
      <c r="W107" s="2">
        <v>17.8</v>
      </c>
      <c r="X107" s="2">
        <v>15.2</v>
      </c>
      <c r="Y107" s="2">
        <v>12.9</v>
      </c>
      <c r="Z107" s="2">
        <v>12.2</v>
      </c>
      <c r="AA107" s="2">
        <v>12.6</v>
      </c>
      <c r="AC107" s="5">
        <f t="shared" si="2"/>
        <v>14.274999999999999</v>
      </c>
    </row>
    <row r="108" spans="2:29" x14ac:dyDescent="0.25">
      <c r="B108" s="4">
        <v>42473</v>
      </c>
      <c r="C108" s="3">
        <v>104</v>
      </c>
      <c r="D108" s="2">
        <v>9.8000000000000007</v>
      </c>
      <c r="E108" s="2">
        <v>9.6</v>
      </c>
      <c r="F108" s="2">
        <v>10.7</v>
      </c>
      <c r="G108" s="2">
        <v>9.8000000000000007</v>
      </c>
      <c r="H108" s="2">
        <v>8.3000000000000007</v>
      </c>
      <c r="I108" s="2">
        <v>8.1</v>
      </c>
      <c r="J108" s="2">
        <v>7.6</v>
      </c>
      <c r="K108" s="2">
        <v>7.3</v>
      </c>
      <c r="L108" s="2">
        <v>10.7</v>
      </c>
      <c r="M108" s="2">
        <v>16.100000000000001</v>
      </c>
      <c r="N108" s="2">
        <v>17.8</v>
      </c>
      <c r="O108" s="2">
        <v>18.8</v>
      </c>
      <c r="P108" s="2">
        <v>19.7</v>
      </c>
      <c r="Q108" s="2">
        <v>19.8</v>
      </c>
      <c r="R108" s="2">
        <v>20.399999999999999</v>
      </c>
      <c r="S108" s="2">
        <v>21</v>
      </c>
      <c r="T108" s="2">
        <v>20.7</v>
      </c>
      <c r="U108" s="2">
        <v>21.6</v>
      </c>
      <c r="V108" s="2">
        <v>21.3</v>
      </c>
      <c r="W108" s="2">
        <v>20.5</v>
      </c>
      <c r="X108" s="2">
        <v>18.899999999999999</v>
      </c>
      <c r="Y108" s="2">
        <v>14.3</v>
      </c>
      <c r="Z108" s="2">
        <v>11.7</v>
      </c>
      <c r="AA108" s="2">
        <v>9.8000000000000007</v>
      </c>
      <c r="AC108" s="5">
        <f t="shared" si="2"/>
        <v>14.762500000000001</v>
      </c>
    </row>
    <row r="109" spans="2:29" x14ac:dyDescent="0.25">
      <c r="B109" s="4">
        <v>42474</v>
      </c>
      <c r="C109" s="3">
        <v>105</v>
      </c>
      <c r="D109" s="2">
        <v>8.8000000000000007</v>
      </c>
      <c r="E109" s="2">
        <v>9.9</v>
      </c>
      <c r="F109" s="2">
        <v>8.6999999999999993</v>
      </c>
      <c r="G109" s="2">
        <v>8.6999999999999993</v>
      </c>
      <c r="H109" s="2">
        <v>9.3000000000000007</v>
      </c>
      <c r="I109" s="2">
        <v>9.6999999999999993</v>
      </c>
      <c r="J109" s="2">
        <v>7.2</v>
      </c>
      <c r="K109" s="2">
        <v>6</v>
      </c>
      <c r="L109" s="2">
        <v>10.1</v>
      </c>
      <c r="M109" s="2">
        <v>15.4</v>
      </c>
      <c r="N109" s="2">
        <v>17.8</v>
      </c>
      <c r="O109" s="2">
        <v>19.600000000000001</v>
      </c>
      <c r="P109" s="2">
        <v>20.399999999999999</v>
      </c>
      <c r="Q109" s="2">
        <v>20.3</v>
      </c>
      <c r="R109" s="2">
        <v>20.5</v>
      </c>
      <c r="S109" s="2">
        <v>19.899999999999999</v>
      </c>
      <c r="T109" s="2">
        <v>19.600000000000001</v>
      </c>
      <c r="U109" s="2">
        <v>19.7</v>
      </c>
      <c r="V109" s="2">
        <v>19.8</v>
      </c>
      <c r="W109" s="2">
        <v>18.600000000000001</v>
      </c>
      <c r="X109" s="2">
        <v>16.399999999999999</v>
      </c>
      <c r="Y109" s="2">
        <v>14.4</v>
      </c>
      <c r="Z109" s="2">
        <v>11.7</v>
      </c>
      <c r="AA109" s="2">
        <v>10.1</v>
      </c>
      <c r="AC109" s="5">
        <f t="shared" si="2"/>
        <v>14.275</v>
      </c>
    </row>
    <row r="110" spans="2:29" x14ac:dyDescent="0.25">
      <c r="B110" s="4">
        <v>42475</v>
      </c>
      <c r="C110" s="3">
        <v>106</v>
      </c>
      <c r="D110" s="2">
        <v>10</v>
      </c>
      <c r="E110" s="2">
        <v>9.4</v>
      </c>
      <c r="F110" s="2">
        <v>9.4</v>
      </c>
      <c r="G110" s="2">
        <v>9.1</v>
      </c>
      <c r="H110" s="2">
        <v>8.5</v>
      </c>
      <c r="I110" s="2">
        <v>9.1999999999999993</v>
      </c>
      <c r="J110" s="2">
        <v>8.1999999999999993</v>
      </c>
      <c r="K110" s="2">
        <v>7.2</v>
      </c>
      <c r="L110" s="2">
        <v>9.9</v>
      </c>
      <c r="M110" s="2">
        <v>12.6</v>
      </c>
      <c r="N110" s="2">
        <v>15.4</v>
      </c>
      <c r="O110" s="2">
        <v>16.899999999999999</v>
      </c>
      <c r="P110" s="2">
        <v>17.100000000000001</v>
      </c>
      <c r="Q110" s="2">
        <v>17.899999999999999</v>
      </c>
      <c r="R110" s="2">
        <v>18.8</v>
      </c>
      <c r="S110" s="2">
        <v>19.100000000000001</v>
      </c>
      <c r="T110" s="2">
        <v>17.8</v>
      </c>
      <c r="U110" s="2">
        <v>18.3</v>
      </c>
      <c r="V110" s="2">
        <v>17.100000000000001</v>
      </c>
      <c r="W110" s="2">
        <v>16.100000000000001</v>
      </c>
      <c r="X110" s="2">
        <v>15.4</v>
      </c>
      <c r="Y110" s="2">
        <v>12.8</v>
      </c>
      <c r="Z110" s="2">
        <v>11.2</v>
      </c>
      <c r="AA110" s="2">
        <v>11.1</v>
      </c>
      <c r="AC110" s="5">
        <f t="shared" si="2"/>
        <v>13.270833333333336</v>
      </c>
    </row>
    <row r="111" spans="2:29" x14ac:dyDescent="0.25">
      <c r="B111" s="4">
        <v>42476</v>
      </c>
      <c r="C111" s="3">
        <v>107</v>
      </c>
      <c r="D111" s="2">
        <v>11.5</v>
      </c>
      <c r="E111" s="2">
        <v>11.3</v>
      </c>
      <c r="F111" s="2">
        <v>11</v>
      </c>
      <c r="G111" s="2">
        <v>10.199999999999999</v>
      </c>
      <c r="H111" s="2">
        <v>9.5</v>
      </c>
      <c r="I111" s="2">
        <v>8.9</v>
      </c>
      <c r="J111" s="2">
        <v>8.9</v>
      </c>
      <c r="K111" s="2">
        <v>8.6</v>
      </c>
      <c r="L111" s="2">
        <v>12.1</v>
      </c>
      <c r="M111" s="2">
        <v>15.9</v>
      </c>
      <c r="N111" s="2">
        <v>17.3</v>
      </c>
      <c r="O111" s="2">
        <v>20.399999999999999</v>
      </c>
      <c r="P111" s="2">
        <v>20.9</v>
      </c>
      <c r="Q111" s="2">
        <v>20.3</v>
      </c>
      <c r="R111" s="2">
        <v>21.6</v>
      </c>
      <c r="S111" s="2">
        <v>21.8</v>
      </c>
      <c r="T111" s="2">
        <v>20.7</v>
      </c>
      <c r="U111" s="2">
        <v>21.2</v>
      </c>
      <c r="V111" s="2">
        <v>19.7</v>
      </c>
      <c r="W111" s="2">
        <v>19.2</v>
      </c>
      <c r="X111" s="2">
        <v>17.7</v>
      </c>
      <c r="Y111" s="2">
        <v>17.600000000000001</v>
      </c>
      <c r="Z111" s="2">
        <v>16.600000000000001</v>
      </c>
      <c r="AA111" s="2">
        <v>15.8</v>
      </c>
      <c r="AC111" s="5">
        <f t="shared" si="2"/>
        <v>15.779166666666669</v>
      </c>
    </row>
    <row r="112" spans="2:29" x14ac:dyDescent="0.25">
      <c r="B112" s="4">
        <v>42477</v>
      </c>
      <c r="C112" s="3">
        <v>108</v>
      </c>
      <c r="D112" s="2">
        <v>14.8</v>
      </c>
      <c r="E112" s="2">
        <v>14.1</v>
      </c>
      <c r="F112" s="2">
        <v>14.4</v>
      </c>
      <c r="G112" s="2">
        <v>14</v>
      </c>
      <c r="H112" s="2">
        <v>14.6</v>
      </c>
      <c r="I112" s="2">
        <v>13.6</v>
      </c>
      <c r="J112" s="2">
        <v>13</v>
      </c>
      <c r="K112" s="2">
        <v>12.2</v>
      </c>
      <c r="L112" s="2">
        <v>15.1</v>
      </c>
      <c r="M112" s="2">
        <v>17.8</v>
      </c>
      <c r="N112" s="2">
        <v>18.7</v>
      </c>
      <c r="O112" s="2">
        <v>19.899999999999999</v>
      </c>
      <c r="P112" s="2">
        <v>20.9</v>
      </c>
      <c r="Q112" s="2">
        <v>21.8</v>
      </c>
      <c r="R112" s="2">
        <v>22.4</v>
      </c>
      <c r="S112" s="2">
        <v>23.1</v>
      </c>
      <c r="T112" s="2">
        <v>22.7</v>
      </c>
      <c r="U112" s="2">
        <v>20.100000000000001</v>
      </c>
      <c r="V112" s="2">
        <v>20.7</v>
      </c>
      <c r="W112" s="2">
        <v>18.899999999999999</v>
      </c>
      <c r="X112" s="2">
        <v>17</v>
      </c>
      <c r="Y112" s="2">
        <v>13.5</v>
      </c>
      <c r="Z112" s="2">
        <v>12</v>
      </c>
      <c r="AA112" s="2">
        <v>12</v>
      </c>
      <c r="AC112" s="5">
        <f t="shared" si="2"/>
        <v>16.970833333333335</v>
      </c>
    </row>
    <row r="113" spans="2:29" x14ac:dyDescent="0.25">
      <c r="B113" s="4">
        <v>42478</v>
      </c>
      <c r="C113" s="3">
        <v>109</v>
      </c>
      <c r="D113" s="2">
        <v>12.1</v>
      </c>
      <c r="E113" s="2">
        <v>11.9</v>
      </c>
      <c r="F113" s="2">
        <v>12.4</v>
      </c>
      <c r="G113" s="2">
        <v>13.4</v>
      </c>
      <c r="H113" s="2">
        <v>12.2</v>
      </c>
      <c r="I113" s="2">
        <v>11</v>
      </c>
      <c r="J113" s="2">
        <v>10.7</v>
      </c>
      <c r="K113" s="2">
        <v>9.6</v>
      </c>
      <c r="L113" s="2">
        <v>10.9</v>
      </c>
      <c r="M113" s="2">
        <v>15.6</v>
      </c>
      <c r="N113" s="2">
        <v>17</v>
      </c>
      <c r="O113" s="2">
        <v>17.8</v>
      </c>
      <c r="P113" s="2">
        <v>18.600000000000001</v>
      </c>
      <c r="Q113" s="2">
        <v>18.399999999999999</v>
      </c>
      <c r="R113" s="2">
        <v>18.3</v>
      </c>
      <c r="S113" s="2">
        <v>17.899999999999999</v>
      </c>
      <c r="T113" s="2">
        <v>17.100000000000001</v>
      </c>
      <c r="U113" s="2">
        <v>16.3</v>
      </c>
      <c r="V113" s="2">
        <v>16.399999999999999</v>
      </c>
      <c r="W113" s="2">
        <v>14.9</v>
      </c>
      <c r="X113" s="2">
        <v>13.6</v>
      </c>
      <c r="Y113" s="2">
        <v>12.4</v>
      </c>
      <c r="Z113" s="2">
        <v>11.9</v>
      </c>
      <c r="AA113" s="2">
        <v>13</v>
      </c>
      <c r="AC113" s="5">
        <f t="shared" si="2"/>
        <v>14.308333333333332</v>
      </c>
    </row>
    <row r="114" spans="2:29" x14ac:dyDescent="0.25">
      <c r="B114" s="4">
        <v>42479</v>
      </c>
      <c r="C114" s="3">
        <v>110</v>
      </c>
      <c r="D114" s="2">
        <v>12.4</v>
      </c>
      <c r="E114" s="2">
        <v>9.1999999999999993</v>
      </c>
      <c r="F114" s="2">
        <v>9.1999999999999993</v>
      </c>
      <c r="G114" s="2">
        <v>8.3000000000000007</v>
      </c>
      <c r="H114" s="2">
        <v>7.7</v>
      </c>
      <c r="I114" s="2">
        <v>7.2</v>
      </c>
      <c r="J114" s="2">
        <v>6.5</v>
      </c>
      <c r="K114" s="2">
        <v>6.9</v>
      </c>
      <c r="L114" s="2">
        <v>11.1</v>
      </c>
      <c r="M114" s="2">
        <v>12.8</v>
      </c>
      <c r="N114" s="2">
        <v>14.9</v>
      </c>
      <c r="O114" s="2">
        <v>16.100000000000001</v>
      </c>
      <c r="P114" s="2">
        <v>17.399999999999999</v>
      </c>
      <c r="Q114" s="2">
        <v>17.399999999999999</v>
      </c>
      <c r="R114" s="2">
        <v>17.2</v>
      </c>
      <c r="S114" s="2">
        <v>16.8</v>
      </c>
      <c r="T114" s="2">
        <v>15.9</v>
      </c>
      <c r="U114" s="2">
        <v>15</v>
      </c>
      <c r="V114" s="2">
        <v>14.5</v>
      </c>
      <c r="W114" s="2">
        <v>14.5</v>
      </c>
      <c r="X114" s="2">
        <v>13.4</v>
      </c>
      <c r="Y114" s="2">
        <v>11.6</v>
      </c>
      <c r="Z114" s="2">
        <v>10.8</v>
      </c>
      <c r="AA114" s="2">
        <v>9.8000000000000007</v>
      </c>
      <c r="AC114" s="5">
        <f t="shared" si="2"/>
        <v>12.358333333333336</v>
      </c>
    </row>
    <row r="115" spans="2:29" x14ac:dyDescent="0.25">
      <c r="B115" s="4">
        <v>42480</v>
      </c>
      <c r="C115" s="3">
        <v>111</v>
      </c>
      <c r="D115" s="2">
        <v>10.5</v>
      </c>
      <c r="E115" s="2">
        <v>10</v>
      </c>
      <c r="F115" s="2">
        <v>9.5</v>
      </c>
      <c r="G115" s="2">
        <v>12</v>
      </c>
      <c r="H115" s="2">
        <v>12.9</v>
      </c>
      <c r="I115" s="2">
        <v>13.5</v>
      </c>
      <c r="J115" s="2">
        <v>13.8</v>
      </c>
      <c r="K115" s="2">
        <v>13.3</v>
      </c>
      <c r="L115" s="2">
        <v>14</v>
      </c>
      <c r="M115" s="2">
        <v>16.5</v>
      </c>
      <c r="N115" s="2">
        <v>17.899999999999999</v>
      </c>
      <c r="O115" s="2">
        <v>19.5</v>
      </c>
      <c r="P115" s="2">
        <v>20.5</v>
      </c>
      <c r="Q115" s="2">
        <v>20</v>
      </c>
      <c r="R115" s="2">
        <v>18.3</v>
      </c>
      <c r="S115" s="2">
        <v>18.899999999999999</v>
      </c>
      <c r="T115" s="2">
        <v>19.100000000000001</v>
      </c>
      <c r="U115" s="2">
        <v>17.8</v>
      </c>
      <c r="V115" s="2">
        <v>16.899999999999999</v>
      </c>
      <c r="W115" s="2">
        <v>16.600000000000001</v>
      </c>
      <c r="X115" s="2">
        <v>16.100000000000001</v>
      </c>
      <c r="Y115" s="2">
        <v>14.2</v>
      </c>
      <c r="Z115" s="2">
        <v>14.1</v>
      </c>
      <c r="AA115" s="2">
        <v>14.7</v>
      </c>
      <c r="AC115" s="5">
        <f t="shared" si="2"/>
        <v>15.44166666666667</v>
      </c>
    </row>
    <row r="116" spans="2:29" x14ac:dyDescent="0.25">
      <c r="B116" s="4">
        <v>42481</v>
      </c>
      <c r="C116" s="3">
        <v>112</v>
      </c>
      <c r="D116" s="2">
        <v>14.9</v>
      </c>
      <c r="E116" s="2">
        <v>15</v>
      </c>
      <c r="F116" s="2">
        <v>14.7</v>
      </c>
      <c r="G116" s="2">
        <v>14.6</v>
      </c>
      <c r="H116" s="2">
        <v>14</v>
      </c>
      <c r="I116" s="2">
        <v>12.6</v>
      </c>
      <c r="J116" s="2">
        <v>12.4</v>
      </c>
      <c r="K116" s="2">
        <v>12.3</v>
      </c>
      <c r="L116" s="2">
        <v>11.9</v>
      </c>
      <c r="M116" s="2">
        <v>12.1</v>
      </c>
      <c r="N116" s="2">
        <v>13.8</v>
      </c>
      <c r="O116" s="2">
        <v>16.100000000000001</v>
      </c>
      <c r="P116" s="2">
        <v>16.7</v>
      </c>
      <c r="Q116" s="2">
        <v>17.399999999999999</v>
      </c>
      <c r="R116" s="2">
        <v>17.7</v>
      </c>
      <c r="S116" s="2">
        <v>18.100000000000001</v>
      </c>
      <c r="T116" s="2">
        <v>17.7</v>
      </c>
      <c r="U116" s="2">
        <v>17.600000000000001</v>
      </c>
      <c r="V116" s="2">
        <v>17.100000000000001</v>
      </c>
      <c r="W116" s="2">
        <v>16.600000000000001</v>
      </c>
      <c r="X116" s="2">
        <v>15.2</v>
      </c>
      <c r="Y116" s="2">
        <v>14.5</v>
      </c>
      <c r="Z116" s="2">
        <v>13.7</v>
      </c>
      <c r="AA116" s="2">
        <v>11.9</v>
      </c>
      <c r="AC116" s="5">
        <f t="shared" si="2"/>
        <v>14.941666666666665</v>
      </c>
    </row>
    <row r="117" spans="2:29" x14ac:dyDescent="0.25">
      <c r="B117" s="4">
        <v>42482</v>
      </c>
      <c r="C117" s="3">
        <v>113</v>
      </c>
      <c r="D117" s="2">
        <v>12.5</v>
      </c>
      <c r="E117" s="2">
        <v>13.3</v>
      </c>
      <c r="F117" s="2">
        <v>11.8</v>
      </c>
      <c r="G117" s="2">
        <v>10.199999999999999</v>
      </c>
      <c r="H117" s="2">
        <v>10.4</v>
      </c>
      <c r="I117" s="2">
        <v>10.6</v>
      </c>
      <c r="J117" s="2">
        <v>10</v>
      </c>
      <c r="K117" s="2">
        <v>10.5</v>
      </c>
      <c r="L117" s="2">
        <v>11.8</v>
      </c>
      <c r="M117" s="2">
        <v>13.6</v>
      </c>
      <c r="N117" s="2">
        <v>14.2</v>
      </c>
      <c r="O117" s="2">
        <v>14.6</v>
      </c>
      <c r="P117" s="2">
        <v>16.899999999999999</v>
      </c>
      <c r="Q117" s="2">
        <v>17.8</v>
      </c>
      <c r="R117" s="2">
        <v>17.5</v>
      </c>
      <c r="S117" s="2">
        <v>18.5</v>
      </c>
      <c r="T117" s="2">
        <v>17.100000000000001</v>
      </c>
      <c r="U117" s="2">
        <v>18.2</v>
      </c>
      <c r="V117" s="2">
        <v>16.899999999999999</v>
      </c>
      <c r="W117" s="2">
        <v>16.899999999999999</v>
      </c>
      <c r="X117" s="2">
        <v>16.3</v>
      </c>
      <c r="Y117" s="2">
        <v>14.6</v>
      </c>
      <c r="Z117" s="2">
        <v>12.2</v>
      </c>
      <c r="AA117" s="2">
        <v>10.8</v>
      </c>
      <c r="AC117" s="5">
        <f t="shared" si="2"/>
        <v>14.049999999999999</v>
      </c>
    </row>
    <row r="118" spans="2:29" x14ac:dyDescent="0.25">
      <c r="B118" s="4">
        <v>42483</v>
      </c>
      <c r="C118" s="3">
        <v>114</v>
      </c>
      <c r="D118" s="2">
        <v>10.5</v>
      </c>
      <c r="E118" s="2">
        <v>9.3000000000000007</v>
      </c>
      <c r="F118" s="2">
        <v>8.8000000000000007</v>
      </c>
      <c r="G118" s="2">
        <v>9.6999999999999993</v>
      </c>
      <c r="H118" s="2">
        <v>8.9</v>
      </c>
      <c r="I118" s="2">
        <v>8.1999999999999993</v>
      </c>
      <c r="J118" s="2">
        <v>6.9</v>
      </c>
      <c r="K118" s="2">
        <v>6.9</v>
      </c>
      <c r="L118" s="2">
        <v>10.8</v>
      </c>
      <c r="M118" s="2">
        <v>14.8</v>
      </c>
      <c r="N118" s="2">
        <v>16.399999999999999</v>
      </c>
      <c r="O118" s="2">
        <v>18.2</v>
      </c>
      <c r="P118" s="2">
        <v>19.8</v>
      </c>
      <c r="Q118" s="2">
        <v>21.3</v>
      </c>
      <c r="R118" s="2">
        <v>21.1</v>
      </c>
      <c r="S118" s="2">
        <v>22.6</v>
      </c>
      <c r="T118" s="2">
        <v>20.8</v>
      </c>
      <c r="U118" s="2">
        <v>19.100000000000001</v>
      </c>
      <c r="V118" s="2">
        <v>18.7</v>
      </c>
      <c r="W118" s="2">
        <v>16.100000000000001</v>
      </c>
      <c r="X118" s="2">
        <v>14.7</v>
      </c>
      <c r="Y118" s="2">
        <v>13.6</v>
      </c>
      <c r="Z118" s="2">
        <v>11.6</v>
      </c>
      <c r="AA118" s="2">
        <v>11.1</v>
      </c>
      <c r="AC118" s="5">
        <f t="shared" si="2"/>
        <v>14.162500000000003</v>
      </c>
    </row>
    <row r="119" spans="2:29" x14ac:dyDescent="0.25">
      <c r="B119" s="4">
        <v>42484</v>
      </c>
      <c r="C119" s="3">
        <v>115</v>
      </c>
      <c r="D119" s="2">
        <v>10.5</v>
      </c>
      <c r="E119" s="2">
        <v>10.4</v>
      </c>
      <c r="F119" s="2">
        <v>10</v>
      </c>
      <c r="G119" s="2">
        <v>9.1</v>
      </c>
      <c r="H119" s="2">
        <v>7.7</v>
      </c>
      <c r="I119" s="2">
        <v>6.9</v>
      </c>
      <c r="J119" s="2">
        <v>7.2</v>
      </c>
      <c r="K119" s="2">
        <v>8.3000000000000007</v>
      </c>
      <c r="L119" s="2">
        <v>12.2</v>
      </c>
      <c r="M119" s="2">
        <v>14.8</v>
      </c>
      <c r="N119" s="2">
        <v>16.8</v>
      </c>
      <c r="O119" s="2">
        <v>17.5</v>
      </c>
      <c r="P119" s="2">
        <v>18.600000000000001</v>
      </c>
      <c r="Q119" s="2">
        <v>19.899999999999999</v>
      </c>
      <c r="R119" s="2">
        <v>21.4</v>
      </c>
      <c r="S119" s="2">
        <v>22</v>
      </c>
      <c r="T119" s="2">
        <v>21.9</v>
      </c>
      <c r="U119" s="2">
        <v>21.6</v>
      </c>
      <c r="V119" s="2">
        <v>21.2</v>
      </c>
      <c r="W119" s="2">
        <v>19.8</v>
      </c>
      <c r="X119" s="2">
        <v>17.899999999999999</v>
      </c>
      <c r="Y119" s="2">
        <v>16.2</v>
      </c>
      <c r="Z119" s="2">
        <v>14.9</v>
      </c>
      <c r="AA119" s="2">
        <v>13.6</v>
      </c>
      <c r="AC119" s="5">
        <f t="shared" si="2"/>
        <v>15.016666666666666</v>
      </c>
    </row>
    <row r="120" spans="2:29" x14ac:dyDescent="0.25">
      <c r="B120" s="4">
        <v>42485</v>
      </c>
      <c r="C120" s="3">
        <v>116</v>
      </c>
      <c r="D120" s="2">
        <v>12.4</v>
      </c>
      <c r="E120" s="2">
        <v>11.5</v>
      </c>
      <c r="F120" s="2">
        <v>10.4</v>
      </c>
      <c r="G120" s="2">
        <v>9.5</v>
      </c>
      <c r="H120" s="2">
        <v>9</v>
      </c>
      <c r="I120" s="2">
        <v>8.5</v>
      </c>
      <c r="J120" s="2">
        <v>7.2</v>
      </c>
      <c r="K120" s="2">
        <v>6.2</v>
      </c>
      <c r="L120" s="2">
        <v>8.5</v>
      </c>
      <c r="M120" s="2">
        <v>11.4</v>
      </c>
      <c r="N120" s="2">
        <v>13.6</v>
      </c>
      <c r="O120" s="2">
        <v>15.4</v>
      </c>
      <c r="P120" s="2">
        <v>16.100000000000001</v>
      </c>
      <c r="Q120" s="2">
        <v>16.7</v>
      </c>
      <c r="R120" s="2">
        <v>16.8</v>
      </c>
      <c r="S120" s="2">
        <v>17.100000000000001</v>
      </c>
      <c r="T120" s="2">
        <v>16.5</v>
      </c>
      <c r="U120" s="2">
        <v>16.2</v>
      </c>
      <c r="V120" s="2">
        <v>15.7</v>
      </c>
      <c r="W120" s="2">
        <v>14.9</v>
      </c>
      <c r="X120" s="2">
        <v>13.9</v>
      </c>
      <c r="Y120" s="2">
        <v>12.2</v>
      </c>
      <c r="Z120" s="2">
        <v>11</v>
      </c>
      <c r="AA120" s="2">
        <v>7.7</v>
      </c>
      <c r="AC120" s="5">
        <f t="shared" si="2"/>
        <v>12.433333333333332</v>
      </c>
    </row>
    <row r="121" spans="2:29" x14ac:dyDescent="0.25">
      <c r="B121" s="4">
        <v>42486</v>
      </c>
      <c r="C121" s="3">
        <v>117</v>
      </c>
      <c r="D121" s="2">
        <v>7.9</v>
      </c>
      <c r="E121" s="2">
        <v>8.1</v>
      </c>
      <c r="F121" s="2">
        <v>7.8</v>
      </c>
      <c r="G121" s="2">
        <v>6.5</v>
      </c>
      <c r="H121" s="2">
        <v>6.6</v>
      </c>
      <c r="I121" s="2">
        <v>5.6</v>
      </c>
      <c r="J121" s="2">
        <v>3.9</v>
      </c>
      <c r="K121" s="2">
        <v>3.3</v>
      </c>
      <c r="L121" s="2">
        <v>8.8000000000000007</v>
      </c>
      <c r="M121" s="2">
        <v>12.8</v>
      </c>
      <c r="N121" s="2">
        <v>14.6</v>
      </c>
      <c r="O121" s="2">
        <v>16.7</v>
      </c>
      <c r="P121" s="2">
        <v>19.2</v>
      </c>
      <c r="Q121" s="2">
        <v>19.600000000000001</v>
      </c>
      <c r="R121" s="2">
        <v>19.5</v>
      </c>
      <c r="S121" s="2">
        <v>18.5</v>
      </c>
      <c r="T121" s="2">
        <v>18.600000000000001</v>
      </c>
      <c r="U121" s="2">
        <v>18.8</v>
      </c>
      <c r="V121" s="2">
        <v>18.2</v>
      </c>
      <c r="W121" s="2">
        <v>17</v>
      </c>
      <c r="X121" s="2">
        <v>15.4</v>
      </c>
      <c r="Y121" s="2">
        <v>14.1</v>
      </c>
      <c r="Z121" s="2">
        <v>12.2</v>
      </c>
      <c r="AA121" s="2">
        <v>10.9</v>
      </c>
      <c r="AC121" s="5">
        <f t="shared" si="2"/>
        <v>12.691666666666665</v>
      </c>
    </row>
    <row r="122" spans="2:29" x14ac:dyDescent="0.25">
      <c r="B122" s="4">
        <v>42487</v>
      </c>
      <c r="C122" s="3">
        <v>118</v>
      </c>
      <c r="D122" s="2">
        <v>11.1</v>
      </c>
      <c r="E122" s="2">
        <v>12.7</v>
      </c>
      <c r="F122" s="2">
        <v>13.3</v>
      </c>
      <c r="G122" s="2">
        <v>13.4</v>
      </c>
      <c r="H122" s="2">
        <v>13.5</v>
      </c>
      <c r="I122" s="2">
        <v>13</v>
      </c>
      <c r="J122" s="2">
        <v>12.7</v>
      </c>
      <c r="K122" s="2">
        <v>11.8</v>
      </c>
      <c r="L122" s="2">
        <v>12.6</v>
      </c>
      <c r="M122" s="2">
        <v>14.3</v>
      </c>
      <c r="N122" s="2">
        <v>13.8</v>
      </c>
      <c r="O122" s="2">
        <v>14.5</v>
      </c>
      <c r="P122" s="2">
        <v>15.1</v>
      </c>
      <c r="Q122" s="2">
        <v>14.9</v>
      </c>
      <c r="R122" s="2">
        <v>15</v>
      </c>
      <c r="S122" s="2">
        <v>14.9</v>
      </c>
      <c r="T122" s="2">
        <v>13.8</v>
      </c>
      <c r="U122" s="2">
        <v>14</v>
      </c>
      <c r="V122" s="2">
        <v>13.5</v>
      </c>
      <c r="W122" s="2">
        <v>12.9</v>
      </c>
      <c r="X122" s="2">
        <v>12.6</v>
      </c>
      <c r="Y122" s="2">
        <v>12.5</v>
      </c>
      <c r="Z122" s="2">
        <v>11.7</v>
      </c>
      <c r="AA122" s="2">
        <v>11.4</v>
      </c>
      <c r="AC122" s="5">
        <f t="shared" si="2"/>
        <v>13.291666666666666</v>
      </c>
    </row>
    <row r="123" spans="2:29" x14ac:dyDescent="0.25">
      <c r="B123" s="4">
        <v>42488</v>
      </c>
      <c r="C123" s="3">
        <v>119</v>
      </c>
      <c r="D123" s="2">
        <v>11.1</v>
      </c>
      <c r="E123" s="2">
        <v>11.1</v>
      </c>
      <c r="F123" s="2">
        <v>11.2</v>
      </c>
      <c r="G123" s="2">
        <v>11.3</v>
      </c>
      <c r="H123" s="2">
        <v>11.5</v>
      </c>
      <c r="I123" s="2">
        <v>11.3</v>
      </c>
      <c r="J123" s="2">
        <v>11</v>
      </c>
      <c r="K123" s="2">
        <v>11</v>
      </c>
      <c r="L123" s="2">
        <v>10.9</v>
      </c>
      <c r="M123" s="2">
        <v>10.6</v>
      </c>
      <c r="N123" s="2">
        <v>10.6</v>
      </c>
      <c r="O123" s="2">
        <v>10.6</v>
      </c>
      <c r="P123" s="2">
        <v>10.9</v>
      </c>
      <c r="Q123" s="2">
        <v>10.8</v>
      </c>
      <c r="R123" s="2">
        <v>10.6</v>
      </c>
      <c r="S123" s="2">
        <v>10.8</v>
      </c>
      <c r="T123" s="2">
        <v>11</v>
      </c>
      <c r="U123" s="2">
        <v>11.2</v>
      </c>
      <c r="V123" s="2">
        <v>11.7</v>
      </c>
      <c r="W123" s="2">
        <v>13</v>
      </c>
      <c r="X123" s="2">
        <v>12.5</v>
      </c>
      <c r="Y123" s="2">
        <v>11.2</v>
      </c>
      <c r="Z123" s="2">
        <v>9.1</v>
      </c>
      <c r="AA123" s="2">
        <v>8</v>
      </c>
      <c r="AC123" s="5">
        <f t="shared" si="2"/>
        <v>10.958333333333334</v>
      </c>
    </row>
    <row r="124" spans="2:29" x14ac:dyDescent="0.25">
      <c r="B124" s="4">
        <v>42489</v>
      </c>
      <c r="C124" s="3">
        <v>120</v>
      </c>
      <c r="D124" s="2">
        <v>7.6</v>
      </c>
      <c r="E124" s="2">
        <v>6.7</v>
      </c>
      <c r="F124" s="2">
        <v>6.9</v>
      </c>
      <c r="G124" s="2">
        <v>6.7</v>
      </c>
      <c r="H124" s="2">
        <v>5.8</v>
      </c>
      <c r="I124" s="2">
        <v>6.5</v>
      </c>
      <c r="J124" s="2">
        <v>6</v>
      </c>
      <c r="K124" s="2">
        <v>4.9000000000000004</v>
      </c>
      <c r="L124" s="2">
        <v>8.6</v>
      </c>
      <c r="M124" s="2">
        <v>12.3</v>
      </c>
      <c r="N124" s="2">
        <v>14.8</v>
      </c>
      <c r="O124" s="2">
        <v>15.7</v>
      </c>
      <c r="P124" s="2">
        <v>16.5</v>
      </c>
      <c r="Q124" s="2">
        <v>17.3</v>
      </c>
      <c r="R124" s="2">
        <v>17.7</v>
      </c>
      <c r="S124" s="2">
        <v>17</v>
      </c>
      <c r="T124" s="2">
        <v>16.600000000000001</v>
      </c>
      <c r="U124" s="2">
        <v>15.8</v>
      </c>
      <c r="V124" s="2">
        <v>15.6</v>
      </c>
      <c r="W124" s="2">
        <v>14.6</v>
      </c>
      <c r="X124" s="2">
        <v>13.8</v>
      </c>
      <c r="Y124" s="2">
        <v>13.1</v>
      </c>
      <c r="Z124" s="2">
        <v>13</v>
      </c>
      <c r="AA124" s="2">
        <v>13.1</v>
      </c>
      <c r="AC124" s="5">
        <f t="shared" si="2"/>
        <v>11.941666666666668</v>
      </c>
    </row>
    <row r="125" spans="2:29" x14ac:dyDescent="0.25">
      <c r="B125" s="4">
        <v>42490</v>
      </c>
      <c r="C125" s="3">
        <v>121</v>
      </c>
      <c r="D125" s="2">
        <v>12.9</v>
      </c>
      <c r="E125" s="2">
        <v>12.7</v>
      </c>
      <c r="F125" s="2">
        <v>12.6</v>
      </c>
      <c r="G125" s="2">
        <v>13.1</v>
      </c>
      <c r="H125" s="2">
        <v>13.1</v>
      </c>
      <c r="I125" s="2">
        <v>13</v>
      </c>
      <c r="J125" s="2">
        <v>12.9</v>
      </c>
      <c r="K125" s="2">
        <v>12.7</v>
      </c>
      <c r="L125" s="2">
        <v>12.9</v>
      </c>
      <c r="M125" s="2">
        <v>13.8</v>
      </c>
      <c r="N125" s="2">
        <v>14.5</v>
      </c>
      <c r="O125" s="2">
        <v>15.3</v>
      </c>
      <c r="P125" s="2">
        <v>17.399999999999999</v>
      </c>
      <c r="Q125" s="2">
        <v>18.399999999999999</v>
      </c>
      <c r="R125" s="2">
        <v>18.899999999999999</v>
      </c>
      <c r="S125" s="2">
        <v>18.8</v>
      </c>
      <c r="T125" s="2">
        <v>18.7</v>
      </c>
      <c r="U125" s="2">
        <v>18.600000000000001</v>
      </c>
      <c r="V125" s="2">
        <v>18</v>
      </c>
      <c r="W125" s="2">
        <v>16.899999999999999</v>
      </c>
      <c r="X125" s="2">
        <v>13.7</v>
      </c>
      <c r="Y125" s="2">
        <v>11.6</v>
      </c>
      <c r="Z125" s="2">
        <v>10.3</v>
      </c>
      <c r="AA125" s="2">
        <v>10.3</v>
      </c>
      <c r="AC125" s="5">
        <f t="shared" si="2"/>
        <v>14.62916666666667</v>
      </c>
    </row>
    <row r="126" spans="2:29" x14ac:dyDescent="0.25">
      <c r="B126" s="4">
        <v>42491</v>
      </c>
      <c r="C126" s="3">
        <v>122</v>
      </c>
      <c r="D126" s="2">
        <v>10.1</v>
      </c>
      <c r="E126" s="2">
        <v>9.3000000000000007</v>
      </c>
      <c r="F126" s="2">
        <v>9.1999999999999993</v>
      </c>
      <c r="G126" s="2">
        <v>9</v>
      </c>
      <c r="H126" s="2">
        <v>8.4</v>
      </c>
      <c r="I126" s="2">
        <v>8.1999999999999993</v>
      </c>
      <c r="J126" s="2">
        <v>8.1</v>
      </c>
      <c r="K126" s="2">
        <v>8</v>
      </c>
      <c r="L126" s="2">
        <v>9.6</v>
      </c>
      <c r="M126" s="2">
        <v>12.5</v>
      </c>
      <c r="N126" s="2">
        <v>14.2</v>
      </c>
      <c r="O126" s="2">
        <v>15.5</v>
      </c>
      <c r="P126" s="2">
        <v>16.2</v>
      </c>
      <c r="Q126" s="2">
        <v>16.899999999999999</v>
      </c>
      <c r="R126" s="2">
        <v>17.600000000000001</v>
      </c>
      <c r="S126" s="2">
        <v>18.8</v>
      </c>
      <c r="T126" s="2">
        <v>19.3</v>
      </c>
      <c r="U126" s="2">
        <v>19.7</v>
      </c>
      <c r="V126" s="2">
        <v>19.100000000000001</v>
      </c>
      <c r="W126" s="2">
        <v>18.600000000000001</v>
      </c>
      <c r="X126" s="2">
        <v>17.2</v>
      </c>
      <c r="Y126" s="2">
        <v>15.6</v>
      </c>
      <c r="Z126" s="2">
        <v>14.3</v>
      </c>
      <c r="AA126" s="2">
        <v>13.1</v>
      </c>
      <c r="AC126" s="5">
        <f t="shared" si="2"/>
        <v>13.687500000000002</v>
      </c>
    </row>
    <row r="127" spans="2:29" x14ac:dyDescent="0.25">
      <c r="B127" s="4">
        <v>42492</v>
      </c>
      <c r="C127" s="3">
        <v>123</v>
      </c>
      <c r="D127" s="2">
        <v>12.4</v>
      </c>
      <c r="E127" s="2">
        <v>11.2</v>
      </c>
      <c r="F127" s="2">
        <v>10.1</v>
      </c>
      <c r="G127" s="2">
        <v>9.3000000000000007</v>
      </c>
      <c r="H127" s="2">
        <v>8.1999999999999993</v>
      </c>
      <c r="I127" s="2">
        <v>8.8000000000000007</v>
      </c>
      <c r="J127" s="2">
        <v>6.6</v>
      </c>
      <c r="K127" s="2">
        <v>4.0999999999999996</v>
      </c>
      <c r="L127" s="2">
        <v>10.9</v>
      </c>
      <c r="M127" s="2">
        <v>13.4</v>
      </c>
      <c r="N127" s="2">
        <v>14.7</v>
      </c>
      <c r="O127" s="2">
        <v>17.5</v>
      </c>
      <c r="P127" s="2">
        <v>17.7</v>
      </c>
      <c r="Q127" s="2">
        <v>19.3</v>
      </c>
      <c r="R127" s="2">
        <v>20.3</v>
      </c>
      <c r="S127" s="2">
        <v>21.3</v>
      </c>
      <c r="T127" s="2">
        <v>22</v>
      </c>
      <c r="U127" s="2">
        <v>23</v>
      </c>
      <c r="V127" s="2">
        <v>22.9</v>
      </c>
      <c r="W127" s="2">
        <v>20.3</v>
      </c>
      <c r="X127" s="2">
        <v>16.8</v>
      </c>
      <c r="Y127" s="2">
        <v>14.5</v>
      </c>
      <c r="Z127" s="2">
        <v>11.1</v>
      </c>
      <c r="AA127" s="2">
        <v>9.5</v>
      </c>
      <c r="AC127" s="5">
        <f t="shared" si="2"/>
        <v>14.412500000000003</v>
      </c>
    </row>
    <row r="128" spans="2:29" x14ac:dyDescent="0.25">
      <c r="B128" s="4">
        <v>42493</v>
      </c>
      <c r="C128" s="3">
        <v>124</v>
      </c>
      <c r="D128" s="2">
        <v>10.1</v>
      </c>
      <c r="E128" s="2">
        <v>9.9</v>
      </c>
      <c r="F128" s="2">
        <v>8</v>
      </c>
      <c r="G128" s="2">
        <v>8.5</v>
      </c>
      <c r="H128" s="2">
        <v>8.9</v>
      </c>
      <c r="I128" s="2">
        <v>7.4</v>
      </c>
      <c r="J128" s="2">
        <v>6.1</v>
      </c>
      <c r="K128" s="2">
        <v>6.2</v>
      </c>
      <c r="L128" s="2">
        <v>12.8</v>
      </c>
      <c r="M128" s="2">
        <v>15.6</v>
      </c>
      <c r="N128" s="2">
        <v>17.7</v>
      </c>
      <c r="O128" s="2">
        <v>19.7</v>
      </c>
      <c r="P128" s="2">
        <v>21.8</v>
      </c>
      <c r="Q128" s="2">
        <v>21.8</v>
      </c>
      <c r="R128" s="2">
        <v>21.7</v>
      </c>
      <c r="S128" s="2">
        <v>20.9</v>
      </c>
      <c r="T128" s="2">
        <v>20.3</v>
      </c>
      <c r="U128" s="2">
        <v>19.399999999999999</v>
      </c>
      <c r="V128" s="2">
        <v>19.100000000000001</v>
      </c>
      <c r="W128" s="2">
        <v>18.3</v>
      </c>
      <c r="X128" s="2">
        <v>17</v>
      </c>
      <c r="Y128" s="2">
        <v>13.7</v>
      </c>
      <c r="Z128" s="2">
        <v>11.2</v>
      </c>
      <c r="AA128" s="2">
        <v>10.6</v>
      </c>
      <c r="AC128" s="5">
        <f t="shared" si="2"/>
        <v>14.445833333333335</v>
      </c>
    </row>
    <row r="129" spans="2:29" x14ac:dyDescent="0.25">
      <c r="B129" s="4">
        <v>42494</v>
      </c>
      <c r="C129" s="3">
        <v>125</v>
      </c>
      <c r="D129" s="2">
        <v>10.1</v>
      </c>
      <c r="E129" s="2">
        <v>9.1</v>
      </c>
      <c r="F129" s="2">
        <v>8.6999999999999993</v>
      </c>
      <c r="G129" s="2">
        <v>8.4</v>
      </c>
      <c r="H129" s="2">
        <v>7.6</v>
      </c>
      <c r="I129" s="2">
        <v>7.8</v>
      </c>
      <c r="J129" s="2">
        <v>6.7</v>
      </c>
      <c r="K129" s="2">
        <v>6.4</v>
      </c>
      <c r="L129" s="2">
        <v>12.4</v>
      </c>
      <c r="M129" s="2">
        <v>16.100000000000001</v>
      </c>
      <c r="N129" s="2">
        <v>17.7</v>
      </c>
      <c r="O129" s="2">
        <v>19.100000000000001</v>
      </c>
      <c r="P129" s="2">
        <v>19.600000000000001</v>
      </c>
      <c r="Q129" s="2">
        <v>20.100000000000001</v>
      </c>
      <c r="R129" s="2">
        <v>20.399999999999999</v>
      </c>
      <c r="S129" s="2">
        <v>20.3</v>
      </c>
      <c r="T129" s="2">
        <v>19.899999999999999</v>
      </c>
      <c r="U129" s="2">
        <v>19.600000000000001</v>
      </c>
      <c r="V129" s="2">
        <v>18.899999999999999</v>
      </c>
      <c r="W129" s="2">
        <v>17.7</v>
      </c>
      <c r="X129" s="2">
        <v>16.2</v>
      </c>
      <c r="Y129" s="2">
        <v>14</v>
      </c>
      <c r="Z129" s="2">
        <v>11.6</v>
      </c>
      <c r="AA129" s="2">
        <v>10.199999999999999</v>
      </c>
      <c r="AC129" s="5">
        <f t="shared" si="2"/>
        <v>14.108333333333334</v>
      </c>
    </row>
    <row r="130" spans="2:29" x14ac:dyDescent="0.25">
      <c r="B130" s="4">
        <v>42495</v>
      </c>
      <c r="C130" s="3">
        <v>126</v>
      </c>
      <c r="D130" s="2">
        <v>11.5</v>
      </c>
      <c r="E130" s="2">
        <v>10</v>
      </c>
      <c r="F130" s="2">
        <v>9.4</v>
      </c>
      <c r="G130" s="2">
        <v>9.1999999999999993</v>
      </c>
      <c r="H130" s="2">
        <v>9</v>
      </c>
      <c r="I130" s="2">
        <v>10.7</v>
      </c>
      <c r="J130" s="2">
        <v>9.1999999999999993</v>
      </c>
      <c r="K130" s="2">
        <v>8.9</v>
      </c>
      <c r="L130" s="2">
        <v>14.2</v>
      </c>
      <c r="M130" s="2">
        <v>15.9</v>
      </c>
      <c r="N130" s="2">
        <v>18.600000000000001</v>
      </c>
      <c r="O130" s="2">
        <v>18.5</v>
      </c>
      <c r="P130" s="2">
        <v>19.399999999999999</v>
      </c>
      <c r="Q130" s="2">
        <v>19.8</v>
      </c>
      <c r="R130" s="2">
        <v>19.5</v>
      </c>
      <c r="S130" s="2">
        <v>19.3</v>
      </c>
      <c r="T130" s="2">
        <v>18.2</v>
      </c>
      <c r="U130" s="2">
        <v>17.2</v>
      </c>
      <c r="V130" s="2">
        <v>17.5</v>
      </c>
      <c r="W130" s="2">
        <v>17.399999999999999</v>
      </c>
      <c r="X130" s="2">
        <v>15.5</v>
      </c>
      <c r="Y130" s="2">
        <v>14.3</v>
      </c>
      <c r="Z130" s="2">
        <v>14</v>
      </c>
      <c r="AA130" s="2">
        <v>13.3</v>
      </c>
      <c r="AC130" s="5">
        <f t="shared" si="2"/>
        <v>14.60416666666667</v>
      </c>
    </row>
    <row r="131" spans="2:29" x14ac:dyDescent="0.25">
      <c r="B131" s="4">
        <v>42496</v>
      </c>
      <c r="C131" s="3">
        <v>127</v>
      </c>
      <c r="D131" s="2">
        <v>14.3</v>
      </c>
      <c r="E131" s="2">
        <v>14.1</v>
      </c>
      <c r="F131" s="2">
        <v>13.8</v>
      </c>
      <c r="G131" s="2">
        <v>13.5</v>
      </c>
      <c r="H131" s="2">
        <v>13.2</v>
      </c>
      <c r="I131" s="2">
        <v>13.3</v>
      </c>
      <c r="J131" s="2">
        <v>13.2</v>
      </c>
      <c r="K131" s="2">
        <v>13.5</v>
      </c>
      <c r="L131" s="2">
        <v>13.6</v>
      </c>
      <c r="M131" s="2">
        <v>14.1</v>
      </c>
      <c r="N131" s="2">
        <v>13.9</v>
      </c>
      <c r="O131" s="2">
        <v>15.3</v>
      </c>
      <c r="P131" s="2">
        <v>16.100000000000001</v>
      </c>
      <c r="Q131" s="2">
        <v>17.100000000000001</v>
      </c>
      <c r="R131" s="2">
        <v>18.5</v>
      </c>
      <c r="S131" s="2">
        <v>18.8</v>
      </c>
      <c r="T131" s="2">
        <v>19.7</v>
      </c>
      <c r="U131" s="2">
        <v>19.3</v>
      </c>
      <c r="V131" s="2">
        <v>17.7</v>
      </c>
      <c r="W131" s="2">
        <v>16.600000000000001</v>
      </c>
      <c r="X131" s="2">
        <v>16.100000000000001</v>
      </c>
      <c r="Y131" s="2">
        <v>15.4</v>
      </c>
      <c r="Z131" s="2">
        <v>15</v>
      </c>
      <c r="AA131" s="2">
        <v>15</v>
      </c>
      <c r="AC131" s="5">
        <f t="shared" si="2"/>
        <v>15.4625</v>
      </c>
    </row>
    <row r="132" spans="2:29" x14ac:dyDescent="0.25">
      <c r="B132" s="4">
        <v>42497</v>
      </c>
      <c r="C132" s="3">
        <v>128</v>
      </c>
      <c r="D132" s="2">
        <v>14.5</v>
      </c>
      <c r="E132" s="2">
        <v>14.2</v>
      </c>
      <c r="F132" s="2">
        <v>14.3</v>
      </c>
      <c r="G132" s="2">
        <v>14.5</v>
      </c>
      <c r="H132" s="2">
        <v>14.6</v>
      </c>
      <c r="I132" s="2">
        <v>14.7</v>
      </c>
      <c r="J132" s="2">
        <v>14.4</v>
      </c>
      <c r="K132" s="2">
        <v>13.6</v>
      </c>
      <c r="L132" s="2">
        <v>14.3</v>
      </c>
      <c r="M132" s="2">
        <v>16</v>
      </c>
      <c r="N132" s="2">
        <v>15.7</v>
      </c>
      <c r="O132" s="2">
        <v>15.5</v>
      </c>
      <c r="P132" s="2">
        <v>13.7</v>
      </c>
      <c r="Q132" s="2">
        <v>15.5</v>
      </c>
      <c r="R132" s="2">
        <v>17.7</v>
      </c>
      <c r="S132" s="2">
        <v>18.899999999999999</v>
      </c>
      <c r="T132" s="2">
        <v>18.399999999999999</v>
      </c>
      <c r="U132" s="2">
        <v>18.2</v>
      </c>
      <c r="V132" s="2">
        <v>18.8</v>
      </c>
      <c r="W132" s="2">
        <v>16.7</v>
      </c>
      <c r="X132" s="2">
        <v>15.7</v>
      </c>
      <c r="Y132" s="2">
        <v>14.6</v>
      </c>
      <c r="Z132" s="2">
        <v>14.4</v>
      </c>
      <c r="AA132" s="2">
        <v>13.8</v>
      </c>
      <c r="AC132" s="5">
        <f t="shared" si="2"/>
        <v>15.529166666666663</v>
      </c>
    </row>
    <row r="133" spans="2:29" x14ac:dyDescent="0.25">
      <c r="B133" s="4">
        <v>42498</v>
      </c>
      <c r="C133" s="3">
        <v>129</v>
      </c>
      <c r="D133" s="2">
        <v>11.7</v>
      </c>
      <c r="E133" s="2">
        <v>10.1</v>
      </c>
      <c r="F133" s="2">
        <v>10.5</v>
      </c>
      <c r="G133" s="2">
        <v>12.1</v>
      </c>
      <c r="H133" s="2">
        <v>13</v>
      </c>
      <c r="I133" s="2">
        <v>13.4</v>
      </c>
      <c r="J133" s="2">
        <v>13.5</v>
      </c>
      <c r="K133" s="2">
        <v>13.6</v>
      </c>
      <c r="L133" s="2">
        <v>14.1</v>
      </c>
      <c r="M133" s="2">
        <v>14.7</v>
      </c>
      <c r="N133" s="2">
        <v>15.2</v>
      </c>
      <c r="O133" s="2">
        <v>15.8</v>
      </c>
      <c r="P133" s="2">
        <v>16.100000000000001</v>
      </c>
      <c r="Q133" s="2">
        <v>16.600000000000001</v>
      </c>
      <c r="R133" s="2">
        <v>17.7</v>
      </c>
      <c r="S133" s="2">
        <v>17.600000000000001</v>
      </c>
      <c r="T133" s="2">
        <v>15.9</v>
      </c>
      <c r="U133" s="2">
        <v>15.6</v>
      </c>
      <c r="V133" s="2">
        <v>15.2</v>
      </c>
      <c r="W133" s="2">
        <v>15.2</v>
      </c>
      <c r="X133" s="2">
        <v>15.2</v>
      </c>
      <c r="Y133" s="2">
        <v>15</v>
      </c>
      <c r="Z133" s="2">
        <v>15.1</v>
      </c>
      <c r="AA133" s="2">
        <v>14.9</v>
      </c>
      <c r="AC133" s="5">
        <f t="shared" si="2"/>
        <v>14.491666666666665</v>
      </c>
    </row>
    <row r="134" spans="2:29" x14ac:dyDescent="0.25">
      <c r="B134" s="4">
        <v>42499</v>
      </c>
      <c r="C134" s="3">
        <v>130</v>
      </c>
      <c r="D134" s="2">
        <v>14.8</v>
      </c>
      <c r="E134" s="2">
        <v>15.1</v>
      </c>
      <c r="F134" s="2">
        <v>14.9</v>
      </c>
      <c r="G134" s="2">
        <v>15</v>
      </c>
      <c r="H134" s="2">
        <v>15.6</v>
      </c>
      <c r="I134" s="2">
        <v>15.3</v>
      </c>
      <c r="J134" s="2">
        <v>14.8</v>
      </c>
      <c r="K134" s="2">
        <v>14.4</v>
      </c>
      <c r="L134" s="2">
        <v>15.6</v>
      </c>
      <c r="M134" s="2">
        <v>16.3</v>
      </c>
      <c r="N134" s="2">
        <v>17.3</v>
      </c>
      <c r="O134" s="2">
        <v>17.600000000000001</v>
      </c>
      <c r="P134" s="2">
        <v>17.100000000000001</v>
      </c>
      <c r="Q134" s="2">
        <v>17.7</v>
      </c>
      <c r="R134" s="2">
        <v>17.7</v>
      </c>
      <c r="S134" s="2">
        <v>18</v>
      </c>
      <c r="T134" s="2">
        <v>20</v>
      </c>
      <c r="U134" s="2">
        <v>20.9</v>
      </c>
      <c r="V134" s="2">
        <v>18.399999999999999</v>
      </c>
      <c r="W134" s="2">
        <v>17.3</v>
      </c>
      <c r="X134" s="2">
        <v>17.2</v>
      </c>
      <c r="Y134" s="2">
        <v>15.9</v>
      </c>
      <c r="Z134" s="2">
        <v>12.5</v>
      </c>
      <c r="AA134" s="2">
        <v>12.4</v>
      </c>
      <c r="AC134" s="5">
        <f t="shared" ref="AC134:AC197" si="3">(SUM((D134:AA134))/24)</f>
        <v>16.324999999999996</v>
      </c>
    </row>
    <row r="135" spans="2:29" x14ac:dyDescent="0.25">
      <c r="B135" s="4">
        <v>42500</v>
      </c>
      <c r="C135" s="3">
        <v>131</v>
      </c>
      <c r="D135" s="2">
        <v>11.5</v>
      </c>
      <c r="E135" s="2">
        <v>10.8</v>
      </c>
      <c r="F135" s="2">
        <v>10.6</v>
      </c>
      <c r="G135" s="2">
        <v>9.6999999999999993</v>
      </c>
      <c r="H135" s="2">
        <v>9.1</v>
      </c>
      <c r="I135" s="2">
        <v>8.3000000000000007</v>
      </c>
      <c r="J135" s="2">
        <v>8.4</v>
      </c>
      <c r="K135" s="2">
        <v>8.8000000000000007</v>
      </c>
      <c r="L135" s="2">
        <v>11.2</v>
      </c>
      <c r="M135" s="2">
        <v>13.6</v>
      </c>
      <c r="N135" s="2">
        <v>15.9</v>
      </c>
      <c r="O135" s="2">
        <v>16.899999999999999</v>
      </c>
      <c r="P135" s="2">
        <v>18.2</v>
      </c>
      <c r="Q135" s="2">
        <v>17.5</v>
      </c>
      <c r="R135" s="2">
        <v>17.399999999999999</v>
      </c>
      <c r="S135" s="2">
        <v>18.3</v>
      </c>
      <c r="T135" s="2">
        <v>16.8</v>
      </c>
      <c r="U135" s="2">
        <v>15.2</v>
      </c>
      <c r="V135" s="2">
        <v>14</v>
      </c>
      <c r="W135" s="2">
        <v>13.9</v>
      </c>
      <c r="X135" s="2">
        <v>13.6</v>
      </c>
      <c r="Y135" s="2">
        <v>12.8</v>
      </c>
      <c r="Z135" s="2">
        <v>13</v>
      </c>
      <c r="AA135" s="2">
        <v>13</v>
      </c>
      <c r="AC135" s="5">
        <f t="shared" si="3"/>
        <v>13.270833333333336</v>
      </c>
    </row>
    <row r="136" spans="2:29" x14ac:dyDescent="0.25">
      <c r="B136" s="4">
        <v>42501</v>
      </c>
      <c r="C136" s="3">
        <v>132</v>
      </c>
      <c r="D136" s="2">
        <v>11.9</v>
      </c>
      <c r="E136" s="2">
        <v>11</v>
      </c>
      <c r="F136" s="2">
        <v>10.8</v>
      </c>
      <c r="G136" s="2">
        <v>9.4</v>
      </c>
      <c r="H136" s="2">
        <v>9.6999999999999993</v>
      </c>
      <c r="I136" s="2">
        <v>10</v>
      </c>
      <c r="J136" s="2">
        <v>10.1</v>
      </c>
      <c r="K136" s="2">
        <v>10.9</v>
      </c>
      <c r="L136" s="2">
        <v>11.9</v>
      </c>
      <c r="M136" s="2">
        <v>13</v>
      </c>
      <c r="N136" s="2">
        <v>13.8</v>
      </c>
      <c r="O136" s="2">
        <v>16.3</v>
      </c>
      <c r="P136" s="2">
        <v>19</v>
      </c>
      <c r="Q136" s="2">
        <v>20.100000000000001</v>
      </c>
      <c r="R136" s="2">
        <v>20.9</v>
      </c>
      <c r="S136" s="2">
        <v>19.399999999999999</v>
      </c>
      <c r="T136" s="2">
        <v>19.2</v>
      </c>
      <c r="U136" s="2">
        <v>17.7</v>
      </c>
      <c r="V136" s="2">
        <v>18.399999999999999</v>
      </c>
      <c r="W136" s="2">
        <v>18.100000000000001</v>
      </c>
      <c r="X136" s="2">
        <v>17</v>
      </c>
      <c r="Y136" s="2">
        <v>15.3</v>
      </c>
      <c r="Z136" s="2">
        <v>13.4</v>
      </c>
      <c r="AA136" s="2">
        <v>11.9</v>
      </c>
      <c r="AC136" s="5">
        <f t="shared" si="3"/>
        <v>14.549999999999999</v>
      </c>
    </row>
    <row r="137" spans="2:29" x14ac:dyDescent="0.25">
      <c r="B137" s="4">
        <v>42502</v>
      </c>
      <c r="C137" s="3">
        <v>133</v>
      </c>
      <c r="D137" s="2">
        <v>12.3</v>
      </c>
      <c r="E137" s="2">
        <v>11.6</v>
      </c>
      <c r="F137" s="2">
        <v>10.1</v>
      </c>
      <c r="G137" s="2">
        <v>10.3</v>
      </c>
      <c r="H137" s="2">
        <v>9.4</v>
      </c>
      <c r="I137" s="2">
        <v>8.6999999999999993</v>
      </c>
      <c r="J137" s="2">
        <v>8.6999999999999993</v>
      </c>
      <c r="K137" s="2">
        <v>9</v>
      </c>
      <c r="L137" s="2">
        <v>14.7</v>
      </c>
      <c r="M137" s="2">
        <v>15.8</v>
      </c>
      <c r="N137" s="2">
        <v>17.899999999999999</v>
      </c>
      <c r="O137" s="2">
        <v>19.5</v>
      </c>
      <c r="P137" s="2">
        <v>19.7</v>
      </c>
      <c r="Q137" s="2">
        <v>20.399999999999999</v>
      </c>
      <c r="R137" s="2">
        <v>20.399999999999999</v>
      </c>
      <c r="S137" s="2">
        <v>21.6</v>
      </c>
      <c r="T137" s="2">
        <v>21.1</v>
      </c>
      <c r="U137" s="2">
        <v>20</v>
      </c>
      <c r="V137" s="2">
        <v>18.100000000000001</v>
      </c>
      <c r="W137" s="2">
        <v>17.100000000000001</v>
      </c>
      <c r="X137" s="2">
        <v>17.2</v>
      </c>
      <c r="Y137" s="2">
        <v>13.9</v>
      </c>
      <c r="Z137" s="2">
        <v>12.1</v>
      </c>
      <c r="AA137" s="2">
        <v>11.5</v>
      </c>
      <c r="AC137" s="5">
        <f t="shared" si="3"/>
        <v>15.045833333333334</v>
      </c>
    </row>
    <row r="138" spans="2:29" x14ac:dyDescent="0.25">
      <c r="B138" s="4">
        <v>42503</v>
      </c>
      <c r="C138" s="3">
        <v>134</v>
      </c>
      <c r="D138" s="2">
        <v>11.4</v>
      </c>
      <c r="E138" s="2">
        <v>10.8</v>
      </c>
      <c r="F138" s="2">
        <v>11.9</v>
      </c>
      <c r="G138" s="2">
        <v>10.6</v>
      </c>
      <c r="H138" s="2">
        <v>10</v>
      </c>
      <c r="I138" s="2">
        <v>9.4</v>
      </c>
      <c r="J138" s="2">
        <v>8.5</v>
      </c>
      <c r="K138" s="2">
        <v>9.3000000000000007</v>
      </c>
      <c r="L138" s="2">
        <v>12.9</v>
      </c>
      <c r="M138" s="2">
        <v>16.5</v>
      </c>
      <c r="N138" s="2">
        <v>18.7</v>
      </c>
      <c r="O138" s="2">
        <v>20.9</v>
      </c>
      <c r="P138" s="2">
        <v>21.7</v>
      </c>
      <c r="Q138" s="2">
        <v>21.9</v>
      </c>
      <c r="R138" s="2">
        <v>22.3</v>
      </c>
      <c r="S138" s="2">
        <v>22.4</v>
      </c>
      <c r="T138" s="2">
        <v>22.7</v>
      </c>
      <c r="U138" s="2">
        <v>22.5</v>
      </c>
      <c r="V138" s="2">
        <v>20.7</v>
      </c>
      <c r="W138" s="2">
        <v>20.2</v>
      </c>
      <c r="X138" s="2">
        <v>20.399999999999999</v>
      </c>
      <c r="Y138" s="2">
        <v>19</v>
      </c>
      <c r="Z138" s="2">
        <v>18.5</v>
      </c>
      <c r="AA138" s="2">
        <v>17.399999999999999</v>
      </c>
      <c r="AC138" s="5">
        <f t="shared" si="3"/>
        <v>16.691666666666666</v>
      </c>
    </row>
    <row r="139" spans="2:29" x14ac:dyDescent="0.25">
      <c r="B139" s="4">
        <v>42504</v>
      </c>
      <c r="C139" s="3">
        <v>135</v>
      </c>
      <c r="D139" s="2">
        <v>16.5</v>
      </c>
      <c r="E139" s="2">
        <v>15.6</v>
      </c>
      <c r="F139" s="2">
        <v>15.7</v>
      </c>
      <c r="G139" s="2">
        <v>15</v>
      </c>
      <c r="H139" s="2">
        <v>14.9</v>
      </c>
      <c r="I139" s="2">
        <v>14.1</v>
      </c>
      <c r="J139" s="2">
        <v>13</v>
      </c>
      <c r="K139" s="2">
        <v>11.1</v>
      </c>
      <c r="L139" s="2">
        <v>15.5</v>
      </c>
      <c r="M139" s="2">
        <v>17.899999999999999</v>
      </c>
      <c r="N139" s="2">
        <v>19.600000000000001</v>
      </c>
      <c r="O139" s="2">
        <v>21.4</v>
      </c>
      <c r="P139" s="2">
        <v>22.4</v>
      </c>
      <c r="Q139" s="2">
        <v>23.5</v>
      </c>
      <c r="R139" s="2">
        <v>24.3</v>
      </c>
      <c r="S139" s="2">
        <v>25</v>
      </c>
      <c r="T139" s="2">
        <v>25.8</v>
      </c>
      <c r="U139" s="2">
        <v>26</v>
      </c>
      <c r="V139" s="2">
        <v>25.6</v>
      </c>
      <c r="W139" s="2">
        <v>24.4</v>
      </c>
      <c r="X139" s="2">
        <v>22.7</v>
      </c>
      <c r="Y139" s="2">
        <v>21.3</v>
      </c>
      <c r="Z139" s="2">
        <v>20</v>
      </c>
      <c r="AA139" s="2">
        <v>15.9</v>
      </c>
      <c r="AC139" s="5">
        <f t="shared" si="3"/>
        <v>19.466666666666665</v>
      </c>
    </row>
    <row r="140" spans="2:29" x14ac:dyDescent="0.25">
      <c r="B140" s="4">
        <v>42505</v>
      </c>
      <c r="C140" s="3">
        <v>136</v>
      </c>
      <c r="D140" s="2">
        <v>14.6</v>
      </c>
      <c r="E140" s="2">
        <v>14.5</v>
      </c>
      <c r="F140" s="2">
        <v>13.1</v>
      </c>
      <c r="G140" s="2">
        <v>13.2</v>
      </c>
      <c r="H140" s="2">
        <v>12.9</v>
      </c>
      <c r="I140" s="2">
        <v>12.1</v>
      </c>
      <c r="J140" s="2">
        <v>11.6</v>
      </c>
      <c r="K140" s="2">
        <v>12.5</v>
      </c>
      <c r="L140" s="2">
        <v>15.7</v>
      </c>
      <c r="M140" s="2">
        <v>18.100000000000001</v>
      </c>
      <c r="N140" s="2">
        <v>20.2</v>
      </c>
      <c r="O140" s="2">
        <v>21.6</v>
      </c>
      <c r="P140" s="2">
        <v>22.8</v>
      </c>
      <c r="Q140" s="2">
        <v>24</v>
      </c>
      <c r="R140" s="2">
        <v>23.6</v>
      </c>
      <c r="S140" s="2">
        <v>23.2</v>
      </c>
      <c r="T140" s="2">
        <v>22.1</v>
      </c>
      <c r="U140" s="2">
        <v>20.8</v>
      </c>
      <c r="V140" s="2">
        <v>19.899999999999999</v>
      </c>
      <c r="W140" s="2">
        <v>19.3</v>
      </c>
      <c r="X140" s="2">
        <v>19.2</v>
      </c>
      <c r="Y140" s="2">
        <v>16.5</v>
      </c>
      <c r="Z140" s="2">
        <v>14.6</v>
      </c>
      <c r="AA140" s="2">
        <v>13.6</v>
      </c>
      <c r="AC140" s="5">
        <f t="shared" si="3"/>
        <v>17.487500000000001</v>
      </c>
    </row>
    <row r="141" spans="2:29" x14ac:dyDescent="0.25">
      <c r="B141" s="4">
        <v>42506</v>
      </c>
      <c r="C141" s="3">
        <v>137</v>
      </c>
      <c r="D141" s="2">
        <v>12.9</v>
      </c>
      <c r="E141" s="2">
        <v>12.1</v>
      </c>
      <c r="F141" s="2">
        <v>11.7</v>
      </c>
      <c r="G141" s="2">
        <v>12.1</v>
      </c>
      <c r="H141" s="2">
        <v>11</v>
      </c>
      <c r="I141" s="2">
        <v>10.1</v>
      </c>
      <c r="J141" s="2">
        <v>8.4</v>
      </c>
      <c r="K141" s="2">
        <v>9.9</v>
      </c>
      <c r="L141" s="2">
        <v>13.9</v>
      </c>
      <c r="M141" s="2">
        <v>16.2</v>
      </c>
      <c r="N141" s="2">
        <v>18.2</v>
      </c>
      <c r="O141" s="2">
        <v>19.8</v>
      </c>
      <c r="P141" s="2">
        <v>21.2</v>
      </c>
      <c r="Q141" s="2">
        <v>22.1</v>
      </c>
      <c r="R141" s="2">
        <v>21.8</v>
      </c>
      <c r="S141" s="2">
        <v>21.8</v>
      </c>
      <c r="T141" s="2">
        <v>21</v>
      </c>
      <c r="U141" s="2">
        <v>20.399999999999999</v>
      </c>
      <c r="V141" s="2">
        <v>19.600000000000001</v>
      </c>
      <c r="W141" s="2">
        <v>18.7</v>
      </c>
      <c r="X141" s="2">
        <v>17.5</v>
      </c>
      <c r="Y141" s="2">
        <v>15.8</v>
      </c>
      <c r="Z141" s="2">
        <v>12</v>
      </c>
      <c r="AA141" s="2">
        <v>11.7</v>
      </c>
      <c r="AC141" s="5">
        <f t="shared" si="3"/>
        <v>15.829166666666667</v>
      </c>
    </row>
    <row r="142" spans="2:29" x14ac:dyDescent="0.25">
      <c r="B142" s="4">
        <v>42507</v>
      </c>
      <c r="C142" s="3">
        <v>138</v>
      </c>
      <c r="D142" s="2">
        <v>10.9</v>
      </c>
      <c r="E142" s="2">
        <v>10.4</v>
      </c>
      <c r="F142" s="2">
        <v>10.1</v>
      </c>
      <c r="G142" s="2">
        <v>9.6</v>
      </c>
      <c r="H142" s="2">
        <v>9.4</v>
      </c>
      <c r="I142" s="2">
        <v>9.3000000000000007</v>
      </c>
      <c r="J142" s="2">
        <v>9</v>
      </c>
      <c r="K142" s="2">
        <v>10.9</v>
      </c>
      <c r="L142" s="2">
        <v>13.2</v>
      </c>
      <c r="M142" s="2">
        <v>16.5</v>
      </c>
      <c r="N142" s="2">
        <v>18.3</v>
      </c>
      <c r="O142" s="2">
        <v>18.3</v>
      </c>
      <c r="P142" s="2">
        <v>19</v>
      </c>
      <c r="Q142" s="2">
        <v>19.399999999999999</v>
      </c>
      <c r="R142" s="2">
        <v>19.7</v>
      </c>
      <c r="S142" s="2">
        <v>20</v>
      </c>
      <c r="T142" s="2">
        <v>19.8</v>
      </c>
      <c r="U142" s="2">
        <v>19.5</v>
      </c>
      <c r="V142" s="2">
        <v>18.399999999999999</v>
      </c>
      <c r="W142" s="2">
        <v>18.100000000000001</v>
      </c>
      <c r="X142" s="2">
        <v>17.100000000000001</v>
      </c>
      <c r="Y142" s="2">
        <v>15.8</v>
      </c>
      <c r="Z142" s="2">
        <v>12</v>
      </c>
      <c r="AA142" s="2">
        <v>11.7</v>
      </c>
      <c r="AC142" s="5">
        <f t="shared" si="3"/>
        <v>14.850000000000001</v>
      </c>
    </row>
    <row r="143" spans="2:29" x14ac:dyDescent="0.25">
      <c r="B143" s="4">
        <v>42508</v>
      </c>
      <c r="C143" s="3">
        <v>139</v>
      </c>
      <c r="D143" s="2">
        <v>11.8</v>
      </c>
      <c r="E143" s="2">
        <v>11.1</v>
      </c>
      <c r="F143" s="2">
        <v>10.5</v>
      </c>
      <c r="G143" s="2">
        <v>10</v>
      </c>
      <c r="H143" s="2">
        <v>11.9</v>
      </c>
      <c r="I143" s="2">
        <v>12.4</v>
      </c>
      <c r="J143" s="2">
        <v>11.6</v>
      </c>
      <c r="K143" s="2">
        <v>12</v>
      </c>
      <c r="L143" s="2">
        <v>14.9</v>
      </c>
      <c r="M143" s="2">
        <v>16.399999999999999</v>
      </c>
      <c r="N143" s="2">
        <v>17.100000000000001</v>
      </c>
      <c r="O143" s="2">
        <v>17.5</v>
      </c>
      <c r="P143" s="2">
        <v>18.7</v>
      </c>
      <c r="Q143" s="2">
        <v>18.2</v>
      </c>
      <c r="R143" s="2">
        <v>18.5</v>
      </c>
      <c r="S143" s="2">
        <v>19</v>
      </c>
      <c r="T143" s="2">
        <v>20</v>
      </c>
      <c r="U143" s="2">
        <v>19.2</v>
      </c>
      <c r="V143" s="2">
        <v>19.399999999999999</v>
      </c>
      <c r="W143" s="2">
        <v>18.899999999999999</v>
      </c>
      <c r="X143" s="2">
        <v>17.399999999999999</v>
      </c>
      <c r="Y143" s="2">
        <v>16.8</v>
      </c>
      <c r="Z143" s="2">
        <v>16.899999999999999</v>
      </c>
      <c r="AA143" s="2">
        <v>16.899999999999999</v>
      </c>
      <c r="AC143" s="5">
        <f t="shared" si="3"/>
        <v>15.712499999999993</v>
      </c>
    </row>
    <row r="144" spans="2:29" x14ac:dyDescent="0.25">
      <c r="B144" s="4">
        <v>42509</v>
      </c>
      <c r="C144" s="3">
        <v>140</v>
      </c>
      <c r="D144" s="2">
        <v>16.5</v>
      </c>
      <c r="E144" s="2">
        <v>16.3</v>
      </c>
      <c r="F144" s="2">
        <v>15.6</v>
      </c>
      <c r="G144" s="2">
        <v>15.2</v>
      </c>
      <c r="H144" s="2">
        <v>14.2</v>
      </c>
      <c r="I144" s="2">
        <v>12.7</v>
      </c>
      <c r="J144" s="2">
        <v>12.6</v>
      </c>
      <c r="K144" s="2">
        <v>15.5</v>
      </c>
      <c r="L144" s="2">
        <v>18.2</v>
      </c>
      <c r="M144" s="2">
        <v>18</v>
      </c>
      <c r="N144" s="2">
        <v>18.8</v>
      </c>
      <c r="O144" s="2">
        <v>19.600000000000001</v>
      </c>
      <c r="P144" s="2">
        <v>21.5</v>
      </c>
      <c r="Q144" s="2">
        <v>22.4</v>
      </c>
      <c r="R144" s="2">
        <v>24.5</v>
      </c>
      <c r="S144" s="2">
        <v>25</v>
      </c>
      <c r="T144" s="2">
        <v>25.5</v>
      </c>
      <c r="U144" s="2">
        <v>25.7</v>
      </c>
      <c r="V144" s="2">
        <v>25.8</v>
      </c>
      <c r="W144" s="2">
        <v>20.3</v>
      </c>
      <c r="X144" s="2">
        <v>18.2</v>
      </c>
      <c r="Y144" s="2">
        <v>16.5</v>
      </c>
      <c r="Z144" s="2">
        <v>16.3</v>
      </c>
      <c r="AA144" s="2">
        <v>16.2</v>
      </c>
      <c r="AC144" s="5">
        <f t="shared" si="3"/>
        <v>18.795833333333334</v>
      </c>
    </row>
    <row r="145" spans="2:29" x14ac:dyDescent="0.25">
      <c r="B145" s="4">
        <v>42510</v>
      </c>
      <c r="C145" s="3">
        <v>141</v>
      </c>
      <c r="D145" s="2">
        <v>15.6</v>
      </c>
      <c r="E145" s="2">
        <v>15.7</v>
      </c>
      <c r="F145" s="2">
        <v>15.2</v>
      </c>
      <c r="G145" s="2">
        <v>15.3</v>
      </c>
      <c r="H145" s="2">
        <v>15.3</v>
      </c>
      <c r="I145" s="2">
        <v>14.7</v>
      </c>
      <c r="J145" s="2">
        <v>13.5</v>
      </c>
      <c r="K145" s="2">
        <v>12.3</v>
      </c>
      <c r="L145" s="2">
        <v>16.3</v>
      </c>
      <c r="M145" s="2">
        <v>18.2</v>
      </c>
      <c r="N145" s="2">
        <v>19.600000000000001</v>
      </c>
      <c r="O145" s="2">
        <v>20.8</v>
      </c>
      <c r="P145" s="2">
        <v>22.6</v>
      </c>
      <c r="Q145" s="2">
        <v>21.8</v>
      </c>
      <c r="R145" s="2">
        <v>21.4</v>
      </c>
      <c r="S145" s="2">
        <v>21.1</v>
      </c>
      <c r="T145" s="2">
        <v>20.8</v>
      </c>
      <c r="U145" s="2">
        <v>20.100000000000001</v>
      </c>
      <c r="V145" s="2">
        <v>20.2</v>
      </c>
      <c r="W145" s="2">
        <v>19.8</v>
      </c>
      <c r="X145" s="2">
        <v>18.8</v>
      </c>
      <c r="Y145" s="2">
        <v>17.3</v>
      </c>
      <c r="Z145" s="2">
        <v>16.100000000000001</v>
      </c>
      <c r="AA145" s="2">
        <v>15.9</v>
      </c>
      <c r="AC145" s="5">
        <f t="shared" si="3"/>
        <v>17.850000000000005</v>
      </c>
    </row>
    <row r="146" spans="2:29" x14ac:dyDescent="0.25">
      <c r="B146" s="4">
        <v>42511</v>
      </c>
      <c r="C146" s="3">
        <v>142</v>
      </c>
      <c r="D146" s="2">
        <v>16.2</v>
      </c>
      <c r="E146" s="2">
        <v>14.5</v>
      </c>
      <c r="F146" s="2">
        <v>13.2</v>
      </c>
      <c r="G146" s="2">
        <v>12.9</v>
      </c>
      <c r="H146" s="2">
        <v>12.3</v>
      </c>
      <c r="I146" s="2">
        <v>12.6</v>
      </c>
      <c r="J146" s="2">
        <v>12</v>
      </c>
      <c r="K146" s="2">
        <v>13.2</v>
      </c>
      <c r="L146" s="2">
        <v>16.8</v>
      </c>
      <c r="M146" s="2">
        <v>18</v>
      </c>
      <c r="N146" s="2">
        <v>19.100000000000001</v>
      </c>
      <c r="O146" s="2">
        <v>20.3</v>
      </c>
      <c r="P146" s="2">
        <v>20.399999999999999</v>
      </c>
      <c r="Q146" s="2">
        <v>20.100000000000001</v>
      </c>
      <c r="R146" s="2">
        <v>20.7</v>
      </c>
      <c r="S146" s="2">
        <v>20.8</v>
      </c>
      <c r="T146" s="2">
        <v>20.9</v>
      </c>
      <c r="U146" s="2">
        <v>20.7</v>
      </c>
      <c r="V146" s="2">
        <v>20</v>
      </c>
      <c r="W146" s="2">
        <v>18.899999999999999</v>
      </c>
      <c r="X146" s="2">
        <v>17.899999999999999</v>
      </c>
      <c r="Y146" s="2">
        <v>17.3</v>
      </c>
      <c r="Z146" s="2">
        <v>16</v>
      </c>
      <c r="AA146" s="2">
        <v>16.100000000000001</v>
      </c>
      <c r="AC146" s="5">
        <f t="shared" si="3"/>
        <v>17.12083333333333</v>
      </c>
    </row>
    <row r="147" spans="2:29" x14ac:dyDescent="0.25">
      <c r="B147" s="4">
        <v>42512</v>
      </c>
      <c r="C147" s="3">
        <v>143</v>
      </c>
      <c r="D147" s="2">
        <v>16.100000000000001</v>
      </c>
      <c r="E147" s="2">
        <v>14.9</v>
      </c>
      <c r="F147" s="2">
        <v>13</v>
      </c>
      <c r="G147" s="2">
        <v>12.6</v>
      </c>
      <c r="H147" s="2">
        <v>13.8</v>
      </c>
      <c r="I147" s="2">
        <v>13.7</v>
      </c>
      <c r="J147" s="2">
        <v>13</v>
      </c>
      <c r="K147" s="2">
        <v>13.6</v>
      </c>
      <c r="L147" s="2">
        <v>16.399999999999999</v>
      </c>
      <c r="M147" s="2">
        <v>17.399999999999999</v>
      </c>
      <c r="N147" s="2">
        <v>18</v>
      </c>
      <c r="O147" s="2">
        <v>18.5</v>
      </c>
      <c r="P147" s="2">
        <v>19.3</v>
      </c>
      <c r="Q147" s="2">
        <v>19.3</v>
      </c>
      <c r="R147" s="2">
        <v>20</v>
      </c>
      <c r="S147" s="2">
        <v>18.8</v>
      </c>
      <c r="T147" s="2">
        <v>18.8</v>
      </c>
      <c r="U147" s="2">
        <v>19.3</v>
      </c>
      <c r="V147" s="2">
        <v>20.399999999999999</v>
      </c>
      <c r="W147" s="2">
        <v>20.9</v>
      </c>
      <c r="X147" s="2">
        <v>20.5</v>
      </c>
      <c r="Y147" s="2">
        <v>19.100000000000001</v>
      </c>
      <c r="Z147" s="2">
        <v>18.5</v>
      </c>
      <c r="AA147" s="2">
        <v>17.2</v>
      </c>
      <c r="AC147" s="5">
        <f t="shared" si="3"/>
        <v>17.212500000000002</v>
      </c>
    </row>
    <row r="148" spans="2:29" x14ac:dyDescent="0.25">
      <c r="B148" s="4">
        <v>42513</v>
      </c>
      <c r="C148" s="3">
        <v>144</v>
      </c>
      <c r="D148" s="2">
        <v>15.8</v>
      </c>
      <c r="E148" s="2">
        <v>15.3</v>
      </c>
      <c r="F148" s="2">
        <v>13.9</v>
      </c>
      <c r="G148" s="2">
        <v>13</v>
      </c>
      <c r="H148" s="2">
        <v>12.6</v>
      </c>
      <c r="I148" s="2">
        <v>12</v>
      </c>
      <c r="J148" s="2">
        <v>12.3</v>
      </c>
      <c r="K148" s="2">
        <v>13.1</v>
      </c>
      <c r="L148" s="2">
        <v>13.5</v>
      </c>
      <c r="M148" s="2">
        <v>14.7</v>
      </c>
      <c r="N148" s="2">
        <v>16.100000000000001</v>
      </c>
      <c r="O148" s="2">
        <v>18</v>
      </c>
      <c r="P148" s="2">
        <v>19.399999999999999</v>
      </c>
      <c r="Q148" s="2">
        <v>20.5</v>
      </c>
      <c r="R148" s="2">
        <v>21.5</v>
      </c>
      <c r="S148" s="2">
        <v>22.7</v>
      </c>
      <c r="T148" s="2">
        <v>21.3</v>
      </c>
      <c r="U148" s="2">
        <v>20.399999999999999</v>
      </c>
      <c r="V148" s="2">
        <v>19.7</v>
      </c>
      <c r="W148" s="2">
        <v>18.899999999999999</v>
      </c>
      <c r="X148" s="2">
        <v>17.7</v>
      </c>
      <c r="Y148" s="2">
        <v>16.100000000000001</v>
      </c>
      <c r="Z148" s="2">
        <v>13.7</v>
      </c>
      <c r="AA148" s="2">
        <v>13</v>
      </c>
      <c r="AC148" s="5">
        <f t="shared" si="3"/>
        <v>16.466666666666665</v>
      </c>
    </row>
    <row r="149" spans="2:29" x14ac:dyDescent="0.25">
      <c r="B149" s="4">
        <v>42514</v>
      </c>
      <c r="C149" s="3">
        <v>145</v>
      </c>
      <c r="D149" s="2">
        <v>12.5</v>
      </c>
      <c r="E149" s="2">
        <v>12.1</v>
      </c>
      <c r="F149" s="2">
        <v>11.8</v>
      </c>
      <c r="G149" s="2">
        <v>12.2</v>
      </c>
      <c r="H149" s="2">
        <v>11.9</v>
      </c>
      <c r="I149" s="2">
        <v>12.3</v>
      </c>
      <c r="J149" s="2">
        <v>13.4</v>
      </c>
      <c r="K149" s="2">
        <v>13.9</v>
      </c>
      <c r="L149" s="2">
        <v>15.5</v>
      </c>
      <c r="M149" s="2">
        <v>16.7</v>
      </c>
      <c r="N149" s="2">
        <v>17.600000000000001</v>
      </c>
      <c r="O149" s="2">
        <v>18.600000000000001</v>
      </c>
      <c r="P149" s="2">
        <v>18.899999999999999</v>
      </c>
      <c r="Q149" s="2">
        <v>19.399999999999999</v>
      </c>
      <c r="R149" s="2">
        <v>19.7</v>
      </c>
      <c r="S149" s="2">
        <v>19</v>
      </c>
      <c r="T149" s="2">
        <v>19.399999999999999</v>
      </c>
      <c r="U149" s="2">
        <v>18.600000000000001</v>
      </c>
      <c r="V149" s="2">
        <v>18.399999999999999</v>
      </c>
      <c r="W149" s="2">
        <v>18.100000000000001</v>
      </c>
      <c r="X149" s="2">
        <v>17.5</v>
      </c>
      <c r="Y149" s="2">
        <v>16.600000000000001</v>
      </c>
      <c r="Z149" s="2">
        <v>14.9</v>
      </c>
      <c r="AA149" s="2">
        <v>13.7</v>
      </c>
      <c r="AC149" s="5">
        <f t="shared" si="3"/>
        <v>15.945833333333333</v>
      </c>
    </row>
    <row r="150" spans="2:29" x14ac:dyDescent="0.25">
      <c r="B150" s="4">
        <v>42515</v>
      </c>
      <c r="C150" s="3">
        <v>146</v>
      </c>
      <c r="D150" s="2">
        <v>13.4</v>
      </c>
      <c r="E150" s="2">
        <v>13.8</v>
      </c>
      <c r="F150" s="2">
        <v>14.1</v>
      </c>
      <c r="G150" s="2">
        <v>13.8</v>
      </c>
      <c r="H150" s="2">
        <v>13.5</v>
      </c>
      <c r="I150" s="2">
        <v>13.3</v>
      </c>
      <c r="J150" s="2">
        <v>13.2</v>
      </c>
      <c r="K150" s="2">
        <v>14.4</v>
      </c>
      <c r="L150" s="2">
        <v>16.899999999999999</v>
      </c>
      <c r="M150" s="2">
        <v>18.2</v>
      </c>
      <c r="N150" s="2">
        <v>19.600000000000001</v>
      </c>
      <c r="O150" s="2">
        <v>20.2</v>
      </c>
      <c r="P150" s="2">
        <v>19.899999999999999</v>
      </c>
      <c r="Q150" s="2">
        <v>20.3</v>
      </c>
      <c r="R150" s="2">
        <v>20.2</v>
      </c>
      <c r="S150" s="2">
        <v>20.7</v>
      </c>
      <c r="T150" s="2">
        <v>21.6</v>
      </c>
      <c r="U150" s="2">
        <v>20.100000000000001</v>
      </c>
      <c r="V150" s="2">
        <v>19.399999999999999</v>
      </c>
      <c r="W150" s="2">
        <v>19.100000000000001</v>
      </c>
      <c r="X150" s="2">
        <v>18.899999999999999</v>
      </c>
      <c r="Y150" s="2">
        <v>18</v>
      </c>
      <c r="Z150" s="2">
        <v>17.2</v>
      </c>
      <c r="AA150" s="2">
        <v>15.8</v>
      </c>
      <c r="AC150" s="5">
        <f t="shared" si="3"/>
        <v>17.316666666666666</v>
      </c>
    </row>
    <row r="151" spans="2:29" x14ac:dyDescent="0.25">
      <c r="B151" s="4">
        <v>42516</v>
      </c>
      <c r="C151" s="3">
        <v>147</v>
      </c>
      <c r="D151" s="2">
        <v>16</v>
      </c>
      <c r="E151" s="2">
        <v>13.8</v>
      </c>
      <c r="F151" s="2">
        <v>13.7</v>
      </c>
      <c r="G151" s="2">
        <v>14.1</v>
      </c>
      <c r="H151" s="2">
        <v>13.5</v>
      </c>
      <c r="I151" s="2">
        <v>12.7</v>
      </c>
      <c r="J151" s="2">
        <v>13</v>
      </c>
      <c r="K151" s="2">
        <v>13</v>
      </c>
      <c r="L151" s="2">
        <v>15.3</v>
      </c>
      <c r="M151" s="2">
        <v>17.399999999999999</v>
      </c>
      <c r="N151" s="2">
        <v>18.600000000000001</v>
      </c>
      <c r="O151" s="2">
        <v>19.100000000000001</v>
      </c>
      <c r="P151" s="2">
        <v>20.5</v>
      </c>
      <c r="Q151" s="2">
        <v>20.399999999999999</v>
      </c>
      <c r="R151" s="2">
        <v>20.399999999999999</v>
      </c>
      <c r="S151" s="2">
        <v>21.6</v>
      </c>
      <c r="T151" s="2">
        <v>21.7</v>
      </c>
      <c r="U151" s="2">
        <v>21.3</v>
      </c>
      <c r="V151" s="2">
        <v>20.399999999999999</v>
      </c>
      <c r="W151" s="2">
        <v>19.7</v>
      </c>
      <c r="X151" s="2">
        <v>18.100000000000001</v>
      </c>
      <c r="Y151" s="2">
        <v>17.3</v>
      </c>
      <c r="Z151" s="2">
        <v>15.2</v>
      </c>
      <c r="AA151" s="2">
        <v>15.2</v>
      </c>
      <c r="AC151" s="5">
        <f t="shared" si="3"/>
        <v>17.166666666666668</v>
      </c>
    </row>
    <row r="152" spans="2:29" x14ac:dyDescent="0.25">
      <c r="B152" s="4">
        <v>42517</v>
      </c>
      <c r="C152" s="3">
        <v>148</v>
      </c>
      <c r="D152" s="2">
        <v>13.9</v>
      </c>
      <c r="E152" s="2">
        <v>13.6</v>
      </c>
      <c r="F152" s="2">
        <v>12.8</v>
      </c>
      <c r="G152" s="2">
        <v>12.6</v>
      </c>
      <c r="H152" s="2">
        <v>12.5</v>
      </c>
      <c r="I152" s="2">
        <v>12.8</v>
      </c>
      <c r="J152" s="2">
        <v>12.8</v>
      </c>
      <c r="K152" s="2">
        <v>13.9</v>
      </c>
      <c r="L152" s="2">
        <v>15.9</v>
      </c>
      <c r="M152" s="2">
        <v>17.5</v>
      </c>
      <c r="N152" s="2">
        <v>19</v>
      </c>
      <c r="O152" s="2">
        <v>20.6</v>
      </c>
      <c r="P152" s="2">
        <v>20.9</v>
      </c>
      <c r="Q152" s="2">
        <v>21.8</v>
      </c>
      <c r="R152" s="2">
        <v>21.5</v>
      </c>
      <c r="S152" s="2">
        <v>21.6</v>
      </c>
      <c r="T152" s="2">
        <v>22</v>
      </c>
      <c r="U152" s="2">
        <v>22</v>
      </c>
      <c r="V152" s="2">
        <v>21.2</v>
      </c>
      <c r="W152" s="2">
        <v>20.3</v>
      </c>
      <c r="X152" s="2">
        <v>18.899999999999999</v>
      </c>
      <c r="Y152" s="2">
        <v>17.600000000000001</v>
      </c>
      <c r="Z152" s="2">
        <v>16.600000000000001</v>
      </c>
      <c r="AA152" s="2">
        <v>15.5</v>
      </c>
      <c r="AC152" s="5">
        <f t="shared" si="3"/>
        <v>17.408333333333335</v>
      </c>
    </row>
    <row r="153" spans="2:29" x14ac:dyDescent="0.25">
      <c r="B153" s="4">
        <v>42518</v>
      </c>
      <c r="C153" s="3">
        <v>149</v>
      </c>
      <c r="D153" s="2">
        <v>14.5</v>
      </c>
      <c r="E153" s="2">
        <v>14.4</v>
      </c>
      <c r="F153" s="2">
        <v>14.4</v>
      </c>
      <c r="G153" s="2">
        <v>13.6</v>
      </c>
      <c r="H153" s="2">
        <v>14.7</v>
      </c>
      <c r="I153" s="2">
        <v>16.3</v>
      </c>
      <c r="J153" s="2">
        <v>16.8</v>
      </c>
      <c r="K153" s="2">
        <v>16.3</v>
      </c>
      <c r="L153" s="2">
        <v>17</v>
      </c>
      <c r="M153" s="2">
        <v>18.2</v>
      </c>
      <c r="N153" s="2">
        <v>19.7</v>
      </c>
      <c r="O153" s="2">
        <v>21.6</v>
      </c>
      <c r="P153" s="2">
        <v>22.4</v>
      </c>
      <c r="Q153" s="2">
        <v>22.2</v>
      </c>
      <c r="R153" s="2">
        <v>22.5</v>
      </c>
      <c r="S153" s="2">
        <v>22.3</v>
      </c>
      <c r="T153" s="2">
        <v>20.2</v>
      </c>
      <c r="U153" s="2">
        <v>21.5</v>
      </c>
      <c r="V153" s="2">
        <v>20.6</v>
      </c>
      <c r="W153" s="2">
        <v>21.4</v>
      </c>
      <c r="X153" s="2">
        <v>21.1</v>
      </c>
      <c r="Y153" s="2">
        <v>18.899999999999999</v>
      </c>
      <c r="Z153" s="2">
        <v>16.2</v>
      </c>
      <c r="AA153" s="2">
        <v>16.100000000000001</v>
      </c>
      <c r="AC153" s="5">
        <f t="shared" si="3"/>
        <v>18.454166666666666</v>
      </c>
    </row>
    <row r="154" spans="2:29" x14ac:dyDescent="0.25">
      <c r="B154" s="4">
        <v>42519</v>
      </c>
      <c r="C154" s="3">
        <v>150</v>
      </c>
      <c r="D154" s="2">
        <v>18.3</v>
      </c>
      <c r="E154" s="2">
        <v>19.3</v>
      </c>
      <c r="F154" s="2">
        <v>19.399999999999999</v>
      </c>
      <c r="G154" s="2">
        <v>18.5</v>
      </c>
      <c r="H154" s="2">
        <v>18.100000000000001</v>
      </c>
      <c r="I154" s="2">
        <v>17.100000000000001</v>
      </c>
      <c r="J154" s="2">
        <v>17</v>
      </c>
      <c r="K154" s="2">
        <v>16.5</v>
      </c>
      <c r="L154" s="2">
        <v>18</v>
      </c>
      <c r="M154" s="2">
        <v>18.899999999999999</v>
      </c>
      <c r="N154" s="2">
        <v>20.399999999999999</v>
      </c>
      <c r="O154" s="2">
        <v>21.6</v>
      </c>
      <c r="P154" s="2">
        <v>23</v>
      </c>
      <c r="Q154" s="2">
        <v>23.5</v>
      </c>
      <c r="R154" s="2">
        <v>24.1</v>
      </c>
      <c r="S154" s="2">
        <v>25.1</v>
      </c>
      <c r="T154" s="2">
        <v>25.7</v>
      </c>
      <c r="U154" s="2">
        <v>23.2</v>
      </c>
      <c r="V154" s="2">
        <v>23.6</v>
      </c>
      <c r="W154" s="2">
        <v>21.3</v>
      </c>
      <c r="X154" s="2">
        <v>20.6</v>
      </c>
      <c r="Y154" s="2">
        <v>19.8</v>
      </c>
      <c r="Z154" s="2">
        <v>16.5</v>
      </c>
      <c r="AA154" s="2">
        <v>15</v>
      </c>
      <c r="AC154" s="5">
        <f t="shared" si="3"/>
        <v>20.187500000000004</v>
      </c>
    </row>
    <row r="155" spans="2:29" x14ac:dyDescent="0.25">
      <c r="B155" s="4">
        <v>42520</v>
      </c>
      <c r="C155" s="3">
        <v>151</v>
      </c>
      <c r="D155" s="2">
        <v>17.100000000000001</v>
      </c>
      <c r="E155" s="2">
        <v>18.2</v>
      </c>
      <c r="F155" s="2">
        <v>17.3</v>
      </c>
      <c r="G155" s="2">
        <v>14.3</v>
      </c>
      <c r="H155" s="2">
        <v>13.9</v>
      </c>
      <c r="I155" s="2">
        <v>12.5</v>
      </c>
      <c r="J155" s="2">
        <v>12.3</v>
      </c>
      <c r="K155" s="2">
        <v>15.4</v>
      </c>
      <c r="L155" s="2">
        <v>17.7</v>
      </c>
      <c r="M155" s="2">
        <v>19.399999999999999</v>
      </c>
      <c r="N155" s="2">
        <v>21.3</v>
      </c>
      <c r="O155" s="2">
        <v>21.8</v>
      </c>
      <c r="P155" s="2">
        <v>23.1</v>
      </c>
      <c r="Q155" s="2">
        <v>23.6</v>
      </c>
      <c r="R155" s="2">
        <v>23.5</v>
      </c>
      <c r="S155" s="2">
        <v>24</v>
      </c>
      <c r="T155" s="2">
        <v>22.9</v>
      </c>
      <c r="U155" s="2">
        <v>21.8</v>
      </c>
      <c r="V155" s="2">
        <v>21.4</v>
      </c>
      <c r="W155" s="2">
        <v>21.4</v>
      </c>
      <c r="X155" s="2">
        <v>20.5</v>
      </c>
      <c r="Y155" s="2">
        <v>19</v>
      </c>
      <c r="Z155" s="2">
        <v>16.899999999999999</v>
      </c>
      <c r="AA155" s="2">
        <v>13.7</v>
      </c>
      <c r="AC155" s="5">
        <f t="shared" si="3"/>
        <v>18.874999999999996</v>
      </c>
    </row>
    <row r="156" spans="2:29" x14ac:dyDescent="0.25">
      <c r="B156" s="4">
        <v>42521</v>
      </c>
      <c r="C156" s="3">
        <v>152</v>
      </c>
      <c r="D156" s="2">
        <v>14.9</v>
      </c>
      <c r="E156" s="2">
        <v>15.5</v>
      </c>
      <c r="F156" s="2">
        <v>15.9</v>
      </c>
      <c r="G156" s="2">
        <v>13.1</v>
      </c>
      <c r="H156" s="2">
        <v>12.6</v>
      </c>
      <c r="I156" s="2">
        <v>11.6</v>
      </c>
      <c r="J156" s="2">
        <v>11.1</v>
      </c>
      <c r="K156" s="2">
        <v>13</v>
      </c>
      <c r="L156" s="2">
        <v>16.399999999999999</v>
      </c>
      <c r="M156" s="2">
        <v>17.899999999999999</v>
      </c>
      <c r="N156" s="2">
        <v>19.8</v>
      </c>
      <c r="O156" s="2">
        <v>20.8</v>
      </c>
      <c r="P156" s="2">
        <v>21.6</v>
      </c>
      <c r="Q156" s="2">
        <v>23</v>
      </c>
      <c r="R156" s="2">
        <v>24.1</v>
      </c>
      <c r="S156" s="2">
        <v>25.2</v>
      </c>
      <c r="T156" s="2">
        <v>25.1</v>
      </c>
      <c r="U156" s="2">
        <v>22.9</v>
      </c>
      <c r="V156" s="2">
        <v>21.4</v>
      </c>
      <c r="W156" s="2">
        <v>22</v>
      </c>
      <c r="X156" s="2">
        <v>20</v>
      </c>
      <c r="Y156" s="2">
        <v>18.3</v>
      </c>
      <c r="Z156" s="2">
        <v>17.399999999999999</v>
      </c>
      <c r="AA156" s="2">
        <v>15.8</v>
      </c>
      <c r="AC156" s="5">
        <f t="shared" si="3"/>
        <v>18.308333333333334</v>
      </c>
    </row>
    <row r="157" spans="2:29" x14ac:dyDescent="0.25">
      <c r="B157" s="4">
        <v>42522</v>
      </c>
      <c r="C157" s="3">
        <v>153</v>
      </c>
      <c r="D157" s="2">
        <v>15.8</v>
      </c>
      <c r="E157" s="2">
        <v>13.9</v>
      </c>
      <c r="F157" s="2">
        <v>15.5</v>
      </c>
      <c r="G157" s="2">
        <v>12.8</v>
      </c>
      <c r="H157" s="2">
        <v>12.1</v>
      </c>
      <c r="I157" s="2">
        <v>11.4</v>
      </c>
      <c r="J157" s="2">
        <v>9.6</v>
      </c>
      <c r="K157" s="2">
        <v>11.7</v>
      </c>
      <c r="L157" s="2">
        <v>15.7</v>
      </c>
      <c r="M157" s="2">
        <v>17.899999999999999</v>
      </c>
      <c r="N157" s="2">
        <v>19.600000000000001</v>
      </c>
      <c r="O157" s="2">
        <v>21.4</v>
      </c>
      <c r="P157" s="2">
        <v>22.9</v>
      </c>
      <c r="Q157" s="2">
        <v>24</v>
      </c>
      <c r="R157" s="2">
        <v>25.3</v>
      </c>
      <c r="S157" s="2">
        <v>25.5</v>
      </c>
      <c r="T157" s="2">
        <v>25.1</v>
      </c>
      <c r="U157" s="2">
        <v>22.7</v>
      </c>
      <c r="V157" s="2">
        <v>21.8</v>
      </c>
      <c r="W157" s="2">
        <v>20.6</v>
      </c>
      <c r="X157" s="2">
        <v>19.399999999999999</v>
      </c>
      <c r="Y157" s="2">
        <v>17.7</v>
      </c>
      <c r="Z157" s="2">
        <v>15.1</v>
      </c>
      <c r="AA157" s="2">
        <v>13.5</v>
      </c>
      <c r="AC157" s="5">
        <f t="shared" si="3"/>
        <v>17.958333333333336</v>
      </c>
    </row>
    <row r="158" spans="2:29" x14ac:dyDescent="0.25">
      <c r="B158" s="4">
        <v>42523</v>
      </c>
      <c r="C158" s="3">
        <v>154</v>
      </c>
      <c r="D158" s="2">
        <v>15.3</v>
      </c>
      <c r="E158" s="2">
        <v>15</v>
      </c>
      <c r="F158" s="2">
        <v>13.7</v>
      </c>
      <c r="G158" s="2">
        <v>13.6</v>
      </c>
      <c r="H158" s="2">
        <v>12.9</v>
      </c>
      <c r="I158" s="2">
        <v>12.7</v>
      </c>
      <c r="J158" s="2">
        <v>12</v>
      </c>
      <c r="K158" s="2">
        <v>13</v>
      </c>
      <c r="L158" s="2">
        <v>16.399999999999999</v>
      </c>
      <c r="M158" s="2">
        <v>18.399999999999999</v>
      </c>
      <c r="N158" s="2">
        <v>20.3</v>
      </c>
      <c r="O158" s="2">
        <v>21.5</v>
      </c>
      <c r="P158" s="2">
        <v>22.6</v>
      </c>
      <c r="Q158" s="2">
        <v>22.8</v>
      </c>
      <c r="R158" s="2">
        <v>22.1</v>
      </c>
      <c r="S158" s="2">
        <v>22</v>
      </c>
      <c r="T158" s="2">
        <v>21.8</v>
      </c>
      <c r="U158" s="2">
        <v>21.7</v>
      </c>
      <c r="V158" s="2">
        <v>21.6</v>
      </c>
      <c r="W158" s="2">
        <v>21.4</v>
      </c>
      <c r="X158" s="2">
        <v>20.399999999999999</v>
      </c>
      <c r="Y158" s="2">
        <v>18.600000000000001</v>
      </c>
      <c r="Z158" s="2">
        <v>17.2</v>
      </c>
      <c r="AA158" s="2">
        <v>15.7</v>
      </c>
      <c r="AC158" s="5">
        <f t="shared" si="3"/>
        <v>18.029166666666665</v>
      </c>
    </row>
    <row r="159" spans="2:29" x14ac:dyDescent="0.25">
      <c r="B159" s="4">
        <v>42524</v>
      </c>
      <c r="C159" s="3">
        <v>155</v>
      </c>
      <c r="D159" s="2">
        <v>14</v>
      </c>
      <c r="E159" s="2">
        <v>14</v>
      </c>
      <c r="F159" s="2">
        <v>15.2</v>
      </c>
      <c r="G159" s="2">
        <v>14.3</v>
      </c>
      <c r="H159" s="2">
        <v>13.8</v>
      </c>
      <c r="I159" s="2">
        <v>12.9</v>
      </c>
      <c r="J159" s="2">
        <v>13</v>
      </c>
      <c r="K159" s="2">
        <v>14.3</v>
      </c>
      <c r="L159" s="2">
        <v>18.3</v>
      </c>
      <c r="M159" s="2">
        <v>19.7</v>
      </c>
      <c r="N159" s="2">
        <v>21.1</v>
      </c>
      <c r="O159" s="2">
        <v>21.9</v>
      </c>
      <c r="P159" s="2">
        <v>22.4</v>
      </c>
      <c r="Q159" s="2">
        <v>22.5</v>
      </c>
      <c r="R159" s="2">
        <v>23.6</v>
      </c>
      <c r="S159" s="2">
        <v>23.3</v>
      </c>
      <c r="T159" s="2">
        <v>22.1</v>
      </c>
      <c r="U159" s="2">
        <v>21.8</v>
      </c>
      <c r="V159" s="2">
        <v>23</v>
      </c>
      <c r="W159" s="2">
        <v>21.2</v>
      </c>
      <c r="X159" s="2">
        <v>20.100000000000001</v>
      </c>
      <c r="Y159" s="2">
        <v>19.2</v>
      </c>
      <c r="Z159" s="2">
        <v>17</v>
      </c>
      <c r="AA159" s="2">
        <v>15.7</v>
      </c>
      <c r="AC159" s="5">
        <f t="shared" si="3"/>
        <v>18.516666666666669</v>
      </c>
    </row>
    <row r="160" spans="2:29" x14ac:dyDescent="0.25">
      <c r="B160" s="4">
        <v>42525</v>
      </c>
      <c r="C160" s="3">
        <v>156</v>
      </c>
      <c r="D160" s="2">
        <v>15.8</v>
      </c>
      <c r="E160" s="2">
        <v>15</v>
      </c>
      <c r="F160" s="2">
        <v>14.3</v>
      </c>
      <c r="G160" s="2">
        <v>13.9</v>
      </c>
      <c r="H160" s="2">
        <v>13.6</v>
      </c>
      <c r="I160" s="2">
        <v>12.7</v>
      </c>
      <c r="J160" s="2">
        <v>13.8</v>
      </c>
      <c r="K160" s="2">
        <v>15.8</v>
      </c>
      <c r="L160" s="2">
        <v>17.3</v>
      </c>
      <c r="M160" s="2">
        <v>19.899999999999999</v>
      </c>
      <c r="N160" s="2">
        <v>20.3</v>
      </c>
      <c r="O160" s="2">
        <v>22.8</v>
      </c>
      <c r="P160" s="2">
        <v>23.3</v>
      </c>
      <c r="Q160" s="2">
        <v>23.4</v>
      </c>
      <c r="R160" s="2">
        <v>21.3</v>
      </c>
      <c r="S160" s="2">
        <v>21</v>
      </c>
      <c r="T160" s="2">
        <v>22.7</v>
      </c>
      <c r="U160" s="2">
        <v>23.2</v>
      </c>
      <c r="V160" s="2">
        <v>21.3</v>
      </c>
      <c r="W160" s="2">
        <v>20.5</v>
      </c>
      <c r="X160" s="2">
        <v>19.600000000000001</v>
      </c>
      <c r="Y160" s="2">
        <v>18.5</v>
      </c>
      <c r="Z160" s="2">
        <v>18.100000000000001</v>
      </c>
      <c r="AA160" s="2">
        <v>16.8</v>
      </c>
      <c r="AC160" s="5">
        <f t="shared" si="3"/>
        <v>18.537500000000005</v>
      </c>
    </row>
    <row r="161" spans="2:29" x14ac:dyDescent="0.25">
      <c r="B161" s="4">
        <v>42526</v>
      </c>
      <c r="C161" s="3">
        <v>157</v>
      </c>
      <c r="D161" s="2">
        <v>16.7</v>
      </c>
      <c r="E161" s="2">
        <v>15.5</v>
      </c>
      <c r="F161" s="2">
        <v>14.8</v>
      </c>
      <c r="G161" s="2">
        <v>13.8</v>
      </c>
      <c r="H161" s="2">
        <v>13.2</v>
      </c>
      <c r="I161" s="2">
        <v>12.9</v>
      </c>
      <c r="J161" s="2">
        <v>12.4</v>
      </c>
      <c r="K161" s="2">
        <v>14.4</v>
      </c>
      <c r="L161" s="2">
        <v>19.100000000000001</v>
      </c>
      <c r="M161" s="2">
        <v>21.2</v>
      </c>
      <c r="N161" s="2">
        <v>22.5</v>
      </c>
      <c r="O161" s="2">
        <v>24.2</v>
      </c>
      <c r="P161" s="2">
        <v>24.5</v>
      </c>
      <c r="Q161" s="2">
        <v>24.8</v>
      </c>
      <c r="R161" s="2">
        <v>24.6</v>
      </c>
      <c r="S161" s="2">
        <v>24.5</v>
      </c>
      <c r="T161" s="2">
        <v>24.6</v>
      </c>
      <c r="U161" s="2">
        <v>24.1</v>
      </c>
      <c r="V161" s="2">
        <v>23.1</v>
      </c>
      <c r="W161" s="2">
        <v>22.4</v>
      </c>
      <c r="X161" s="2">
        <v>20.7</v>
      </c>
      <c r="Y161" s="2">
        <v>19.8</v>
      </c>
      <c r="Z161" s="2">
        <v>18.8</v>
      </c>
      <c r="AA161" s="2">
        <v>17.3</v>
      </c>
      <c r="AC161" s="5">
        <f t="shared" si="3"/>
        <v>19.579166666666669</v>
      </c>
    </row>
    <row r="162" spans="2:29" x14ac:dyDescent="0.25">
      <c r="B162" s="4">
        <v>42527</v>
      </c>
      <c r="C162" s="3">
        <v>158</v>
      </c>
      <c r="D162" s="2">
        <v>16.5</v>
      </c>
      <c r="E162" s="2">
        <v>15.7</v>
      </c>
      <c r="F162" s="2">
        <v>15.6</v>
      </c>
      <c r="G162" s="2">
        <v>15.1</v>
      </c>
      <c r="H162" s="2">
        <v>15.6</v>
      </c>
      <c r="I162" s="2">
        <v>16.3</v>
      </c>
      <c r="J162" s="2">
        <v>14.7</v>
      </c>
      <c r="K162" s="2">
        <v>15.7</v>
      </c>
      <c r="L162" s="2">
        <v>19.399999999999999</v>
      </c>
      <c r="M162" s="2">
        <v>21</v>
      </c>
      <c r="N162" s="2">
        <v>22.4</v>
      </c>
      <c r="O162" s="2">
        <v>23.8</v>
      </c>
      <c r="P162" s="2">
        <v>24.2</v>
      </c>
      <c r="Q162" s="2">
        <v>24</v>
      </c>
      <c r="R162" s="2">
        <v>23.4</v>
      </c>
      <c r="S162" s="2">
        <v>22.7</v>
      </c>
      <c r="T162" s="2">
        <v>20.9</v>
      </c>
      <c r="U162" s="2">
        <v>20.2</v>
      </c>
      <c r="V162" s="2">
        <v>22.1</v>
      </c>
      <c r="W162" s="2">
        <v>21.6</v>
      </c>
      <c r="X162" s="2">
        <v>21.2</v>
      </c>
      <c r="Y162" s="2">
        <v>19.899999999999999</v>
      </c>
      <c r="Z162" s="2">
        <v>18.8</v>
      </c>
      <c r="AA162" s="2">
        <v>17.100000000000001</v>
      </c>
      <c r="AC162" s="5">
        <f t="shared" si="3"/>
        <v>19.495833333333334</v>
      </c>
    </row>
    <row r="163" spans="2:29" x14ac:dyDescent="0.25">
      <c r="B163" s="4">
        <v>42528</v>
      </c>
      <c r="C163" s="3">
        <v>159</v>
      </c>
      <c r="D163" s="2">
        <v>16.399999999999999</v>
      </c>
      <c r="E163" s="2">
        <v>15.6</v>
      </c>
      <c r="F163" s="2">
        <v>15.4</v>
      </c>
      <c r="G163" s="2">
        <v>15</v>
      </c>
      <c r="H163" s="2">
        <v>14.6</v>
      </c>
      <c r="I163" s="2">
        <v>14.5</v>
      </c>
      <c r="J163" s="2">
        <v>14.1</v>
      </c>
      <c r="K163" s="2">
        <v>15.9</v>
      </c>
      <c r="L163" s="2">
        <v>19.899999999999999</v>
      </c>
      <c r="M163" s="2">
        <v>21.7</v>
      </c>
      <c r="N163" s="2">
        <v>24.1</v>
      </c>
      <c r="O163" s="2">
        <v>25.3</v>
      </c>
      <c r="P163" s="2">
        <v>25.6</v>
      </c>
      <c r="Q163" s="2">
        <v>25.3</v>
      </c>
      <c r="R163" s="2">
        <v>25.9</v>
      </c>
      <c r="S163" s="2">
        <v>25.5</v>
      </c>
      <c r="T163" s="2">
        <v>25.7</v>
      </c>
      <c r="U163" s="2">
        <v>25.7</v>
      </c>
      <c r="V163" s="2">
        <v>26</v>
      </c>
      <c r="W163" s="2">
        <v>25.3</v>
      </c>
      <c r="X163" s="2">
        <v>23.9</v>
      </c>
      <c r="Y163" s="2">
        <v>22</v>
      </c>
      <c r="Z163" s="2">
        <v>19.399999999999999</v>
      </c>
      <c r="AA163" s="2">
        <v>17.100000000000001</v>
      </c>
      <c r="AC163" s="5">
        <f t="shared" si="3"/>
        <v>20.829166666666662</v>
      </c>
    </row>
    <row r="164" spans="2:29" x14ac:dyDescent="0.25">
      <c r="B164" s="4">
        <v>42529</v>
      </c>
      <c r="C164" s="3">
        <v>160</v>
      </c>
      <c r="D164" s="2">
        <v>16.3</v>
      </c>
      <c r="E164" s="2">
        <v>16.3</v>
      </c>
      <c r="F164" s="2">
        <v>16.3</v>
      </c>
      <c r="G164" s="2">
        <v>15.9</v>
      </c>
      <c r="H164" s="2">
        <v>16.2</v>
      </c>
      <c r="I164" s="2">
        <v>16</v>
      </c>
      <c r="J164" s="2">
        <v>15.7</v>
      </c>
      <c r="K164" s="2">
        <v>17</v>
      </c>
      <c r="L164" s="2">
        <v>21.7</v>
      </c>
      <c r="M164" s="2">
        <v>22.5</v>
      </c>
      <c r="N164" s="2">
        <v>24.1</v>
      </c>
      <c r="O164" s="2">
        <v>24.6</v>
      </c>
      <c r="P164" s="2">
        <v>24.8</v>
      </c>
      <c r="Q164" s="2">
        <v>24.9</v>
      </c>
      <c r="R164" s="2">
        <v>25.2</v>
      </c>
      <c r="S164" s="2">
        <v>25.7</v>
      </c>
      <c r="T164" s="2">
        <v>25.5</v>
      </c>
      <c r="U164" s="2">
        <v>25.4</v>
      </c>
      <c r="V164" s="2">
        <v>24.5</v>
      </c>
      <c r="W164" s="2">
        <v>24</v>
      </c>
      <c r="X164" s="2">
        <v>23.1</v>
      </c>
      <c r="Y164" s="2">
        <v>21.5</v>
      </c>
      <c r="Z164" s="2">
        <v>20.399999999999999</v>
      </c>
      <c r="AA164" s="2">
        <v>18.399999999999999</v>
      </c>
      <c r="AC164" s="5">
        <f t="shared" si="3"/>
        <v>21.083333333333332</v>
      </c>
    </row>
    <row r="165" spans="2:29" x14ac:dyDescent="0.25">
      <c r="B165" s="4">
        <v>42530</v>
      </c>
      <c r="C165" s="3">
        <v>161</v>
      </c>
      <c r="D165" s="2">
        <v>17.7</v>
      </c>
      <c r="E165" s="2">
        <v>17.600000000000001</v>
      </c>
      <c r="F165" s="2">
        <v>17.3</v>
      </c>
      <c r="G165" s="2">
        <v>16.3</v>
      </c>
      <c r="H165" s="2">
        <v>16</v>
      </c>
      <c r="I165" s="2">
        <v>16</v>
      </c>
      <c r="J165" s="2">
        <v>15.7</v>
      </c>
      <c r="K165" s="2">
        <v>17.3</v>
      </c>
      <c r="L165" s="2">
        <v>20.399999999999999</v>
      </c>
      <c r="M165" s="2">
        <v>23.3</v>
      </c>
      <c r="N165" s="2">
        <v>24.3</v>
      </c>
      <c r="O165" s="2">
        <v>25.5</v>
      </c>
      <c r="P165" s="2">
        <v>25.8</v>
      </c>
      <c r="Q165" s="2">
        <v>26.5</v>
      </c>
      <c r="R165" s="2">
        <v>26.9</v>
      </c>
      <c r="S165" s="2">
        <v>26.2</v>
      </c>
      <c r="T165" s="2">
        <v>25.7</v>
      </c>
      <c r="U165" s="2">
        <v>25.6</v>
      </c>
      <c r="V165" s="2">
        <v>25.4</v>
      </c>
      <c r="W165" s="2">
        <v>24</v>
      </c>
      <c r="X165" s="2">
        <v>23.4</v>
      </c>
      <c r="Y165" s="2">
        <v>22.7</v>
      </c>
      <c r="Z165" s="2">
        <v>22</v>
      </c>
      <c r="AA165" s="2">
        <v>21.1</v>
      </c>
      <c r="AC165" s="5">
        <f t="shared" si="3"/>
        <v>21.779166666666665</v>
      </c>
    </row>
    <row r="166" spans="2:29" x14ac:dyDescent="0.25">
      <c r="B166" s="4">
        <v>42531</v>
      </c>
      <c r="C166" s="3">
        <v>162</v>
      </c>
      <c r="D166" s="2">
        <v>18.7</v>
      </c>
      <c r="E166" s="2">
        <v>19</v>
      </c>
      <c r="F166" s="2">
        <v>19.100000000000001</v>
      </c>
      <c r="G166" s="2">
        <v>18.600000000000001</v>
      </c>
      <c r="H166" s="2">
        <v>18.100000000000001</v>
      </c>
      <c r="I166" s="2">
        <v>17.5</v>
      </c>
      <c r="J166" s="2">
        <v>17.5</v>
      </c>
      <c r="K166" s="2">
        <v>18.100000000000001</v>
      </c>
      <c r="L166" s="2">
        <v>22.3</v>
      </c>
      <c r="M166" s="2">
        <v>23.6</v>
      </c>
      <c r="N166" s="2">
        <v>24.6</v>
      </c>
      <c r="O166" s="2">
        <v>25.2</v>
      </c>
      <c r="P166" s="2">
        <v>25.5</v>
      </c>
      <c r="Q166" s="2">
        <v>25</v>
      </c>
      <c r="R166" s="2">
        <v>25.6</v>
      </c>
      <c r="S166" s="2">
        <v>25.4</v>
      </c>
      <c r="T166" s="2">
        <v>25.5</v>
      </c>
      <c r="U166" s="2">
        <v>25</v>
      </c>
      <c r="V166" s="2">
        <v>24.5</v>
      </c>
      <c r="W166" s="2">
        <v>24.5</v>
      </c>
      <c r="X166" s="2">
        <v>23.2</v>
      </c>
      <c r="Y166" s="2">
        <v>21.9</v>
      </c>
      <c r="Z166" s="2">
        <v>21</v>
      </c>
      <c r="AA166" s="2">
        <v>20.8</v>
      </c>
      <c r="AC166" s="5">
        <f t="shared" si="3"/>
        <v>22.091666666666665</v>
      </c>
    </row>
    <row r="167" spans="2:29" x14ac:dyDescent="0.25">
      <c r="B167" s="4">
        <v>42532</v>
      </c>
      <c r="C167" s="3">
        <v>163</v>
      </c>
      <c r="D167" s="2">
        <v>19.7</v>
      </c>
      <c r="E167" s="2">
        <v>19.600000000000001</v>
      </c>
      <c r="F167" s="2">
        <v>19.3</v>
      </c>
      <c r="G167" s="2">
        <v>19.2</v>
      </c>
      <c r="H167" s="2">
        <v>19.2</v>
      </c>
      <c r="I167" s="2">
        <v>18.100000000000001</v>
      </c>
      <c r="J167" s="2">
        <v>17.8</v>
      </c>
      <c r="K167" s="2">
        <v>18.5</v>
      </c>
      <c r="L167" s="2">
        <v>20.100000000000001</v>
      </c>
      <c r="M167" s="2">
        <v>22</v>
      </c>
      <c r="N167" s="2">
        <v>22.6</v>
      </c>
      <c r="O167" s="2">
        <v>23.6</v>
      </c>
      <c r="P167" s="2">
        <v>24.4</v>
      </c>
      <c r="Q167" s="2">
        <v>24.9</v>
      </c>
      <c r="R167" s="2">
        <v>24.9</v>
      </c>
      <c r="S167" s="2">
        <v>24.6</v>
      </c>
      <c r="T167" s="2">
        <v>24.6</v>
      </c>
      <c r="U167" s="2">
        <v>23.7</v>
      </c>
      <c r="V167" s="2">
        <v>23.6</v>
      </c>
      <c r="W167" s="2">
        <v>22</v>
      </c>
      <c r="X167" s="2">
        <v>21.2</v>
      </c>
      <c r="Y167" s="2">
        <v>20.6</v>
      </c>
      <c r="Z167" s="2">
        <v>20.5</v>
      </c>
      <c r="AA167" s="2">
        <v>20.3</v>
      </c>
      <c r="AC167" s="5">
        <f t="shared" si="3"/>
        <v>21.458333333333332</v>
      </c>
    </row>
    <row r="168" spans="2:29" x14ac:dyDescent="0.25">
      <c r="B168" s="4">
        <v>42533</v>
      </c>
      <c r="C168" s="3">
        <v>164</v>
      </c>
      <c r="D168" s="2">
        <v>19.899999999999999</v>
      </c>
      <c r="E168" s="2">
        <v>19.8</v>
      </c>
      <c r="F168" s="2">
        <v>20</v>
      </c>
      <c r="G168" s="2">
        <v>20.100000000000001</v>
      </c>
      <c r="H168" s="2">
        <v>19.7</v>
      </c>
      <c r="I168" s="2">
        <v>18.7</v>
      </c>
      <c r="J168" s="2">
        <v>18.600000000000001</v>
      </c>
      <c r="K168" s="2">
        <v>18</v>
      </c>
      <c r="L168" s="2">
        <v>19.399999999999999</v>
      </c>
      <c r="M168" s="2">
        <v>20.6</v>
      </c>
      <c r="N168" s="2">
        <v>22.1</v>
      </c>
      <c r="O168" s="2">
        <v>23.2</v>
      </c>
      <c r="P168" s="2">
        <v>24.7</v>
      </c>
      <c r="Q168" s="2">
        <v>26.6</v>
      </c>
      <c r="R168" s="2">
        <v>28</v>
      </c>
      <c r="S168" s="2">
        <v>29</v>
      </c>
      <c r="T168" s="2">
        <v>27.1</v>
      </c>
      <c r="U168" s="2">
        <v>25.3</v>
      </c>
      <c r="V168" s="2">
        <v>24.2</v>
      </c>
      <c r="W168" s="2">
        <v>25</v>
      </c>
      <c r="X168" s="2">
        <v>23.7</v>
      </c>
      <c r="Y168" s="2">
        <v>22.4</v>
      </c>
      <c r="Z168" s="2">
        <v>21.5</v>
      </c>
      <c r="AA168" s="2">
        <v>20.7</v>
      </c>
      <c r="AC168" s="5">
        <f t="shared" si="3"/>
        <v>22.429166666666671</v>
      </c>
    </row>
    <row r="169" spans="2:29" x14ac:dyDescent="0.25">
      <c r="B169" s="4">
        <v>42534</v>
      </c>
      <c r="C169" s="3">
        <v>165</v>
      </c>
      <c r="D169" s="2">
        <v>20</v>
      </c>
      <c r="E169" s="2">
        <v>19.3</v>
      </c>
      <c r="F169" s="2">
        <v>18.899999999999999</v>
      </c>
      <c r="G169" s="2">
        <v>19.600000000000001</v>
      </c>
      <c r="H169" s="2">
        <v>19.8</v>
      </c>
      <c r="I169" s="2">
        <v>19.2</v>
      </c>
      <c r="J169" s="2">
        <v>22</v>
      </c>
      <c r="K169" s="2">
        <v>22.1</v>
      </c>
      <c r="L169" s="2">
        <v>22.8</v>
      </c>
      <c r="M169" s="2">
        <v>23.8</v>
      </c>
      <c r="N169" s="2">
        <v>24.6</v>
      </c>
      <c r="O169" s="2">
        <v>27.8</v>
      </c>
      <c r="P169" s="2">
        <v>28.7</v>
      </c>
      <c r="Q169" s="2">
        <v>29.5</v>
      </c>
      <c r="R169" s="2">
        <v>29.9</v>
      </c>
      <c r="S169" s="2">
        <v>30.8</v>
      </c>
      <c r="T169" s="2">
        <v>31.8</v>
      </c>
      <c r="U169" s="2">
        <v>32.299999999999997</v>
      </c>
      <c r="V169" s="2">
        <v>32.1</v>
      </c>
      <c r="W169" s="2">
        <v>31.8</v>
      </c>
      <c r="X169" s="2">
        <v>30.8</v>
      </c>
      <c r="Y169" s="2">
        <v>28.8</v>
      </c>
      <c r="Z169" s="2">
        <v>27.5</v>
      </c>
      <c r="AA169" s="2">
        <v>26.4</v>
      </c>
      <c r="AC169" s="5">
        <f t="shared" si="3"/>
        <v>25.845833333333331</v>
      </c>
    </row>
    <row r="170" spans="2:29" x14ac:dyDescent="0.25">
      <c r="B170" s="4">
        <v>42535</v>
      </c>
      <c r="C170" s="3">
        <v>166</v>
      </c>
      <c r="D170" s="2">
        <v>25.3</v>
      </c>
      <c r="E170" s="2">
        <v>24.3</v>
      </c>
      <c r="F170" s="2">
        <v>23</v>
      </c>
      <c r="G170" s="2">
        <v>21.7</v>
      </c>
      <c r="H170" s="2">
        <v>21.7</v>
      </c>
      <c r="I170" s="2">
        <v>20</v>
      </c>
      <c r="J170" s="2">
        <v>20.100000000000001</v>
      </c>
      <c r="K170" s="2">
        <v>20.8</v>
      </c>
      <c r="L170" s="2">
        <v>21.8</v>
      </c>
      <c r="M170" s="2">
        <v>22.6</v>
      </c>
      <c r="N170" s="2">
        <v>24.6</v>
      </c>
      <c r="O170" s="2">
        <v>25.2</v>
      </c>
      <c r="P170" s="2">
        <v>26.4</v>
      </c>
      <c r="Q170" s="2">
        <v>26.7</v>
      </c>
      <c r="R170" s="2">
        <v>26.8</v>
      </c>
      <c r="S170" s="2">
        <v>27.5</v>
      </c>
      <c r="T170" s="2">
        <v>28.4</v>
      </c>
      <c r="U170" s="2">
        <v>29.2</v>
      </c>
      <c r="V170" s="2">
        <v>25.4</v>
      </c>
      <c r="W170" s="2">
        <v>24.6</v>
      </c>
      <c r="X170" s="2">
        <v>23.1</v>
      </c>
      <c r="Y170" s="2">
        <v>21.5</v>
      </c>
      <c r="Z170" s="2">
        <v>20.6</v>
      </c>
      <c r="AA170" s="2">
        <v>20.5</v>
      </c>
      <c r="AC170" s="5">
        <f t="shared" si="3"/>
        <v>23.825000000000003</v>
      </c>
    </row>
    <row r="171" spans="2:29" x14ac:dyDescent="0.25">
      <c r="B171" s="4">
        <v>42536</v>
      </c>
      <c r="C171" s="3">
        <v>167</v>
      </c>
      <c r="D171" s="2">
        <v>20.8</v>
      </c>
      <c r="E171" s="2">
        <v>20.6</v>
      </c>
      <c r="F171" s="2">
        <v>20</v>
      </c>
      <c r="G171" s="2">
        <v>19</v>
      </c>
      <c r="H171" s="2">
        <v>16.3</v>
      </c>
      <c r="I171" s="2">
        <v>16.2</v>
      </c>
      <c r="J171" s="2">
        <v>15.6</v>
      </c>
      <c r="K171" s="2">
        <v>18.7</v>
      </c>
      <c r="L171" s="2">
        <v>21.2</v>
      </c>
      <c r="M171" s="2">
        <v>22.8</v>
      </c>
      <c r="N171" s="2">
        <v>22.7</v>
      </c>
      <c r="O171" s="2">
        <v>23.9</v>
      </c>
      <c r="P171" s="2">
        <v>23.9</v>
      </c>
      <c r="Q171" s="2">
        <v>23.5</v>
      </c>
      <c r="R171" s="2">
        <v>22.3</v>
      </c>
      <c r="S171" s="2">
        <v>22.1</v>
      </c>
      <c r="T171" s="2">
        <v>22</v>
      </c>
      <c r="U171" s="2">
        <v>22.2</v>
      </c>
      <c r="V171" s="2">
        <v>23.1</v>
      </c>
      <c r="W171" s="2">
        <v>22.4</v>
      </c>
      <c r="X171" s="2">
        <v>20.8</v>
      </c>
      <c r="Y171" s="2">
        <v>20.100000000000001</v>
      </c>
      <c r="Z171" s="2">
        <v>18.5</v>
      </c>
      <c r="AA171" s="2">
        <v>18</v>
      </c>
      <c r="AC171" s="5">
        <f t="shared" si="3"/>
        <v>20.695833333333336</v>
      </c>
    </row>
    <row r="172" spans="2:29" x14ac:dyDescent="0.25">
      <c r="B172" s="4">
        <v>42537</v>
      </c>
      <c r="C172" s="3">
        <v>168</v>
      </c>
      <c r="D172" s="2">
        <v>15.9</v>
      </c>
      <c r="E172" s="2">
        <v>16.600000000000001</v>
      </c>
      <c r="F172" s="2">
        <v>15.4</v>
      </c>
      <c r="G172" s="2">
        <v>16.8</v>
      </c>
      <c r="H172" s="2">
        <v>17.5</v>
      </c>
      <c r="I172" s="2">
        <v>18.2</v>
      </c>
      <c r="J172" s="2">
        <v>17.5</v>
      </c>
      <c r="K172" s="2">
        <v>17.8</v>
      </c>
      <c r="L172" s="2">
        <v>17.3</v>
      </c>
      <c r="M172" s="2">
        <v>18.8</v>
      </c>
      <c r="N172" s="2">
        <v>19.100000000000001</v>
      </c>
      <c r="O172" s="2">
        <v>20.5</v>
      </c>
      <c r="P172" s="2">
        <v>22.2</v>
      </c>
      <c r="Q172" s="2">
        <v>22.8</v>
      </c>
      <c r="R172" s="2">
        <v>23.5</v>
      </c>
      <c r="S172" s="2">
        <v>23.4</v>
      </c>
      <c r="T172" s="2">
        <v>22.2</v>
      </c>
      <c r="U172" s="2">
        <v>21.8</v>
      </c>
      <c r="V172" s="2">
        <v>21.8</v>
      </c>
      <c r="W172" s="2">
        <v>21.3</v>
      </c>
      <c r="X172" s="2">
        <v>20.9</v>
      </c>
      <c r="Y172" s="2">
        <v>19.8</v>
      </c>
      <c r="Z172" s="2">
        <v>17.2</v>
      </c>
      <c r="AA172" s="2">
        <v>16.8</v>
      </c>
      <c r="AC172" s="5">
        <f t="shared" si="3"/>
        <v>19.379166666666666</v>
      </c>
    </row>
    <row r="173" spans="2:29" x14ac:dyDescent="0.25">
      <c r="B173" s="4">
        <v>42538</v>
      </c>
      <c r="C173" s="3">
        <v>169</v>
      </c>
      <c r="D173" s="2">
        <v>15.7</v>
      </c>
      <c r="E173" s="2">
        <v>16.2</v>
      </c>
      <c r="F173" s="2">
        <v>16</v>
      </c>
      <c r="G173" s="2">
        <v>14.8</v>
      </c>
      <c r="H173" s="2">
        <v>12.3</v>
      </c>
      <c r="I173" s="2">
        <v>12.3</v>
      </c>
      <c r="J173" s="2">
        <v>11.4</v>
      </c>
      <c r="K173" s="2">
        <v>12.8</v>
      </c>
      <c r="L173" s="2">
        <v>17.5</v>
      </c>
      <c r="M173" s="2">
        <v>19.3</v>
      </c>
      <c r="N173" s="2">
        <v>21</v>
      </c>
      <c r="O173" s="2">
        <v>21.5</v>
      </c>
      <c r="P173" s="2">
        <v>22.4</v>
      </c>
      <c r="Q173" s="2">
        <v>23.6</v>
      </c>
      <c r="R173" s="2">
        <v>24</v>
      </c>
      <c r="S173" s="2">
        <v>22.7</v>
      </c>
      <c r="T173" s="2">
        <v>23.3</v>
      </c>
      <c r="U173" s="2">
        <v>22.8</v>
      </c>
      <c r="V173" s="2">
        <v>21.9</v>
      </c>
      <c r="W173" s="2">
        <v>21.9</v>
      </c>
      <c r="X173" s="2">
        <v>21.1</v>
      </c>
      <c r="Y173" s="2">
        <v>20.3</v>
      </c>
      <c r="Z173" s="2">
        <v>19.2</v>
      </c>
      <c r="AA173" s="2">
        <v>19.100000000000001</v>
      </c>
      <c r="AC173" s="5">
        <f t="shared" si="3"/>
        <v>18.879166666666666</v>
      </c>
    </row>
    <row r="174" spans="2:29" x14ac:dyDescent="0.25">
      <c r="B174" s="4">
        <v>42539</v>
      </c>
      <c r="C174" s="3">
        <v>170</v>
      </c>
      <c r="D174" s="2">
        <v>17</v>
      </c>
      <c r="E174" s="2">
        <v>16.100000000000001</v>
      </c>
      <c r="F174" s="2">
        <v>15.5</v>
      </c>
      <c r="G174" s="2">
        <v>15.6</v>
      </c>
      <c r="H174" s="2">
        <v>15.2</v>
      </c>
      <c r="I174" s="2">
        <v>15.3</v>
      </c>
      <c r="J174" s="2">
        <v>16.3</v>
      </c>
      <c r="K174" s="2">
        <v>15.8</v>
      </c>
      <c r="L174" s="2">
        <v>14.5</v>
      </c>
      <c r="M174" s="2">
        <v>15.8</v>
      </c>
      <c r="N174" s="2">
        <v>17.8</v>
      </c>
      <c r="O174" s="2">
        <v>19.7</v>
      </c>
      <c r="P174" s="2">
        <v>21.1</v>
      </c>
      <c r="Q174" s="2">
        <v>23</v>
      </c>
      <c r="R174" s="2">
        <v>23.5</v>
      </c>
      <c r="S174" s="2">
        <v>24.4</v>
      </c>
      <c r="T174" s="2">
        <v>24.9</v>
      </c>
      <c r="U174" s="2">
        <v>22.1</v>
      </c>
      <c r="V174" s="2">
        <v>21.6</v>
      </c>
      <c r="W174" s="2">
        <v>19.100000000000001</v>
      </c>
      <c r="X174" s="2">
        <v>17.399999999999999</v>
      </c>
      <c r="Y174" s="2">
        <v>16.899999999999999</v>
      </c>
      <c r="Z174" s="2">
        <v>14.5</v>
      </c>
      <c r="AA174" s="2">
        <v>13.1</v>
      </c>
      <c r="AC174" s="5">
        <f t="shared" si="3"/>
        <v>18.175000000000001</v>
      </c>
    </row>
    <row r="175" spans="2:29" x14ac:dyDescent="0.25">
      <c r="B175" s="4">
        <v>42540</v>
      </c>
      <c r="C175" s="3">
        <v>171</v>
      </c>
      <c r="D175" s="2">
        <v>13.2</v>
      </c>
      <c r="E175" s="2">
        <v>12.2</v>
      </c>
      <c r="F175" s="2">
        <v>13.1</v>
      </c>
      <c r="G175" s="2">
        <v>12.6</v>
      </c>
      <c r="H175" s="2">
        <v>13.9</v>
      </c>
      <c r="I175" s="2">
        <v>11.2</v>
      </c>
      <c r="J175" s="2">
        <v>10.199999999999999</v>
      </c>
      <c r="K175" s="2">
        <v>14.2</v>
      </c>
      <c r="L175" s="2">
        <v>17.3</v>
      </c>
      <c r="M175" s="2">
        <v>18.8</v>
      </c>
      <c r="N175" s="2">
        <v>20.8</v>
      </c>
      <c r="O175" s="2">
        <v>22.1</v>
      </c>
      <c r="P175" s="2">
        <v>23.4</v>
      </c>
      <c r="Q175" s="2">
        <v>25.1</v>
      </c>
      <c r="R175" s="2">
        <v>25.1</v>
      </c>
      <c r="S175" s="2">
        <v>26.2</v>
      </c>
      <c r="T175" s="2">
        <v>27.2</v>
      </c>
      <c r="U175" s="2">
        <v>28</v>
      </c>
      <c r="V175" s="2">
        <v>27.5</v>
      </c>
      <c r="W175" s="2">
        <v>22.4</v>
      </c>
      <c r="X175" s="2">
        <v>21.1</v>
      </c>
      <c r="Y175" s="2">
        <v>19.600000000000001</v>
      </c>
      <c r="Z175" s="2">
        <v>18</v>
      </c>
      <c r="AA175" s="2">
        <v>17.5</v>
      </c>
      <c r="AC175" s="5">
        <f t="shared" si="3"/>
        <v>19.195833333333336</v>
      </c>
    </row>
    <row r="176" spans="2:29" x14ac:dyDescent="0.25">
      <c r="B176" s="4">
        <v>42541</v>
      </c>
      <c r="C176" s="3">
        <v>172</v>
      </c>
      <c r="D176" s="2">
        <v>17.399999999999999</v>
      </c>
      <c r="E176" s="2">
        <v>17.100000000000001</v>
      </c>
      <c r="F176" s="2">
        <v>15.7</v>
      </c>
      <c r="G176" s="2">
        <v>14.6</v>
      </c>
      <c r="H176" s="2">
        <v>14.4</v>
      </c>
      <c r="I176" s="2">
        <v>12.2</v>
      </c>
      <c r="J176" s="2">
        <v>12</v>
      </c>
      <c r="K176" s="2">
        <v>13.7</v>
      </c>
      <c r="L176" s="2">
        <v>18.5</v>
      </c>
      <c r="M176" s="2">
        <v>20.3</v>
      </c>
      <c r="N176" s="2">
        <v>22.3</v>
      </c>
      <c r="O176" s="2">
        <v>23.6</v>
      </c>
      <c r="P176" s="2">
        <v>23.6</v>
      </c>
      <c r="Q176" s="2">
        <v>24.3</v>
      </c>
      <c r="R176" s="2">
        <v>24.1</v>
      </c>
      <c r="S176" s="2">
        <v>23.6</v>
      </c>
      <c r="T176" s="2">
        <v>23.8</v>
      </c>
      <c r="U176" s="2">
        <v>23.6</v>
      </c>
      <c r="V176" s="2">
        <v>23</v>
      </c>
      <c r="W176" s="2">
        <v>22.3</v>
      </c>
      <c r="X176" s="2">
        <v>21.2</v>
      </c>
      <c r="Y176" s="2">
        <v>20.100000000000001</v>
      </c>
      <c r="Z176" s="2">
        <v>18.7</v>
      </c>
      <c r="AA176" s="2">
        <v>16</v>
      </c>
      <c r="AC176" s="5">
        <f t="shared" si="3"/>
        <v>19.420833333333338</v>
      </c>
    </row>
    <row r="177" spans="2:29" x14ac:dyDescent="0.25">
      <c r="B177" s="4">
        <v>42542</v>
      </c>
      <c r="C177" s="3">
        <v>173</v>
      </c>
      <c r="D177" s="2">
        <v>15.1</v>
      </c>
      <c r="E177" s="2">
        <v>15.3</v>
      </c>
      <c r="F177" s="2">
        <v>14.4</v>
      </c>
      <c r="G177" s="2">
        <v>14</v>
      </c>
      <c r="H177" s="2">
        <v>13.9</v>
      </c>
      <c r="I177" s="2">
        <v>14.8</v>
      </c>
      <c r="J177" s="2">
        <v>14.2</v>
      </c>
      <c r="K177" s="2">
        <v>16.2</v>
      </c>
      <c r="L177" s="2">
        <v>19</v>
      </c>
      <c r="M177" s="2">
        <v>21</v>
      </c>
      <c r="N177" s="2">
        <v>22.4</v>
      </c>
      <c r="O177" s="2">
        <v>24.1</v>
      </c>
      <c r="P177" s="2">
        <v>23.8</v>
      </c>
      <c r="Q177" s="2">
        <v>23.5</v>
      </c>
      <c r="R177" s="2">
        <v>25.3</v>
      </c>
      <c r="S177" s="2">
        <v>25.3</v>
      </c>
      <c r="T177" s="2">
        <v>25.3</v>
      </c>
      <c r="U177" s="2">
        <v>25.1</v>
      </c>
      <c r="V177" s="2">
        <v>24.5</v>
      </c>
      <c r="W177" s="2">
        <v>24</v>
      </c>
      <c r="X177" s="2">
        <v>22.8</v>
      </c>
      <c r="Y177" s="2">
        <v>21.3</v>
      </c>
      <c r="Z177" s="2">
        <v>20.100000000000001</v>
      </c>
      <c r="AA177" s="2">
        <v>17.100000000000001</v>
      </c>
      <c r="AC177" s="5">
        <f t="shared" si="3"/>
        <v>20.104166666666671</v>
      </c>
    </row>
    <row r="178" spans="2:29" x14ac:dyDescent="0.25">
      <c r="B178" s="4">
        <v>42543</v>
      </c>
      <c r="C178" s="3">
        <v>174</v>
      </c>
      <c r="D178" s="2">
        <v>16.7</v>
      </c>
      <c r="E178" s="2">
        <v>16.600000000000001</v>
      </c>
      <c r="F178" s="2">
        <v>15.6</v>
      </c>
      <c r="G178" s="2">
        <v>15.3</v>
      </c>
      <c r="H178" s="2">
        <v>15</v>
      </c>
      <c r="I178" s="2">
        <v>14.5</v>
      </c>
      <c r="J178" s="2">
        <v>14.5</v>
      </c>
      <c r="K178" s="2">
        <v>17.899999999999999</v>
      </c>
      <c r="L178" s="2">
        <v>22.3</v>
      </c>
      <c r="M178" s="2">
        <v>22.7</v>
      </c>
      <c r="N178" s="2">
        <v>24.7</v>
      </c>
      <c r="O178" s="2">
        <v>25.2</v>
      </c>
      <c r="P178" s="2">
        <v>25.7</v>
      </c>
      <c r="Q178" s="2">
        <v>26</v>
      </c>
      <c r="R178" s="2">
        <v>26.7</v>
      </c>
      <c r="S178" s="2">
        <v>27.1</v>
      </c>
      <c r="T178" s="2">
        <v>26.5</v>
      </c>
      <c r="U178" s="2">
        <v>25.9</v>
      </c>
      <c r="V178" s="2">
        <v>25.9</v>
      </c>
      <c r="W178" s="2">
        <v>25.4</v>
      </c>
      <c r="X178" s="2">
        <v>23.8</v>
      </c>
      <c r="Y178" s="2">
        <v>22.1</v>
      </c>
      <c r="Z178" s="2">
        <v>20.399999999999999</v>
      </c>
      <c r="AA178" s="2">
        <v>18.8</v>
      </c>
      <c r="AC178" s="5">
        <f t="shared" si="3"/>
        <v>21.470833333333328</v>
      </c>
    </row>
    <row r="179" spans="2:29" x14ac:dyDescent="0.25">
      <c r="B179" s="4">
        <v>42544</v>
      </c>
      <c r="C179" s="3">
        <v>175</v>
      </c>
      <c r="D179" s="2">
        <v>16.399999999999999</v>
      </c>
      <c r="E179" s="2">
        <v>15.8</v>
      </c>
      <c r="F179" s="2">
        <v>15.6</v>
      </c>
      <c r="G179" s="2">
        <v>15.8</v>
      </c>
      <c r="H179" s="2">
        <v>16.3</v>
      </c>
      <c r="I179" s="2">
        <v>16.100000000000001</v>
      </c>
      <c r="J179" s="2">
        <v>15.5</v>
      </c>
      <c r="K179" s="2">
        <v>18.7</v>
      </c>
      <c r="L179" s="2">
        <v>22.3</v>
      </c>
      <c r="M179" s="2">
        <v>24.7</v>
      </c>
      <c r="N179" s="2">
        <v>25</v>
      </c>
      <c r="O179" s="2">
        <v>26.1</v>
      </c>
      <c r="P179" s="2">
        <v>26.6</v>
      </c>
      <c r="Q179" s="2">
        <v>26.9</v>
      </c>
      <c r="R179" s="2">
        <v>27.3</v>
      </c>
      <c r="S179" s="2">
        <v>27.4</v>
      </c>
      <c r="T179" s="2">
        <v>27.4</v>
      </c>
      <c r="U179" s="2">
        <v>27.3</v>
      </c>
      <c r="V179" s="2">
        <v>27.3</v>
      </c>
      <c r="W179" s="2">
        <v>26.4</v>
      </c>
      <c r="X179" s="2">
        <v>25.2</v>
      </c>
      <c r="Y179" s="2">
        <v>23.5</v>
      </c>
      <c r="Z179" s="2">
        <v>21.1</v>
      </c>
      <c r="AA179" s="2">
        <v>19.2</v>
      </c>
      <c r="AC179" s="5">
        <f t="shared" si="3"/>
        <v>22.245833333333334</v>
      </c>
    </row>
    <row r="180" spans="2:29" x14ac:dyDescent="0.25">
      <c r="B180" s="4">
        <v>42545</v>
      </c>
      <c r="C180" s="3">
        <v>176</v>
      </c>
      <c r="D180" s="2">
        <v>16.5</v>
      </c>
      <c r="E180" s="2">
        <v>15.7</v>
      </c>
      <c r="F180" s="2">
        <v>15.3</v>
      </c>
      <c r="G180" s="2">
        <v>16.600000000000001</v>
      </c>
      <c r="H180" s="2">
        <v>15.8</v>
      </c>
      <c r="I180" s="2">
        <v>16.100000000000001</v>
      </c>
      <c r="J180" s="2">
        <v>15.9</v>
      </c>
      <c r="K180" s="2">
        <v>17.7</v>
      </c>
      <c r="L180" s="2">
        <v>20.5</v>
      </c>
      <c r="M180" s="2">
        <v>22.4</v>
      </c>
      <c r="N180" s="2">
        <v>24.2</v>
      </c>
      <c r="O180" s="2">
        <v>25.9</v>
      </c>
      <c r="P180" s="2">
        <v>25.9</v>
      </c>
      <c r="Q180" s="2">
        <v>25.7</v>
      </c>
      <c r="R180" s="2">
        <v>26</v>
      </c>
      <c r="S180" s="2">
        <v>25.7</v>
      </c>
      <c r="T180" s="2">
        <v>25.5</v>
      </c>
      <c r="U180" s="2">
        <v>26.3</v>
      </c>
      <c r="V180" s="2">
        <v>25.5</v>
      </c>
      <c r="W180" s="2">
        <v>25</v>
      </c>
      <c r="X180" s="2">
        <v>24.2</v>
      </c>
      <c r="Y180" s="2">
        <v>22.5</v>
      </c>
      <c r="Z180" s="2">
        <v>22.1</v>
      </c>
      <c r="AA180" s="2">
        <v>21.7</v>
      </c>
      <c r="AC180" s="5">
        <f t="shared" si="3"/>
        <v>21.612500000000001</v>
      </c>
    </row>
    <row r="181" spans="2:29" x14ac:dyDescent="0.25">
      <c r="B181" s="4">
        <v>42546</v>
      </c>
      <c r="C181" s="3">
        <v>177</v>
      </c>
      <c r="D181" s="2">
        <v>20.2</v>
      </c>
      <c r="E181" s="2">
        <v>20.2</v>
      </c>
      <c r="F181" s="2">
        <v>20</v>
      </c>
      <c r="G181" s="2">
        <v>19.2</v>
      </c>
      <c r="H181" s="2">
        <v>18.399999999999999</v>
      </c>
      <c r="I181" s="2">
        <v>18</v>
      </c>
      <c r="J181" s="2">
        <v>18.399999999999999</v>
      </c>
      <c r="K181" s="2">
        <v>18.3</v>
      </c>
      <c r="L181" s="2">
        <v>21.9</v>
      </c>
      <c r="M181" s="2">
        <v>23.1</v>
      </c>
      <c r="N181" s="2">
        <v>25.4</v>
      </c>
      <c r="O181" s="2">
        <v>26.8</v>
      </c>
      <c r="P181" s="2">
        <v>28.1</v>
      </c>
      <c r="Q181" s="2">
        <v>29</v>
      </c>
      <c r="R181" s="2">
        <v>28.5</v>
      </c>
      <c r="S181" s="2">
        <v>27.6</v>
      </c>
      <c r="T181" s="2">
        <v>26.3</v>
      </c>
      <c r="U181" s="2">
        <v>26.6</v>
      </c>
      <c r="V181" s="2">
        <v>26.4</v>
      </c>
      <c r="W181" s="2">
        <v>25.3</v>
      </c>
      <c r="X181" s="2">
        <v>23.9</v>
      </c>
      <c r="Y181" s="2">
        <v>22.7</v>
      </c>
      <c r="Z181" s="2">
        <v>22</v>
      </c>
      <c r="AA181" s="2">
        <v>21.7</v>
      </c>
      <c r="AC181" s="5">
        <f t="shared" si="3"/>
        <v>23.250000000000004</v>
      </c>
    </row>
    <row r="182" spans="2:29" x14ac:dyDescent="0.25">
      <c r="B182" s="4">
        <v>42547</v>
      </c>
      <c r="C182" s="3">
        <v>178</v>
      </c>
      <c r="D182" s="2">
        <v>21.5</v>
      </c>
      <c r="E182" s="2">
        <v>21.7</v>
      </c>
      <c r="F182" s="2">
        <v>20.6</v>
      </c>
      <c r="G182" s="2">
        <v>20</v>
      </c>
      <c r="H182" s="2">
        <v>20</v>
      </c>
      <c r="I182" s="2">
        <v>18.899999999999999</v>
      </c>
      <c r="J182" s="2">
        <v>18.7</v>
      </c>
      <c r="K182" s="2">
        <v>18.399999999999999</v>
      </c>
      <c r="L182" s="2">
        <v>21.8</v>
      </c>
      <c r="M182" s="2">
        <v>23.8</v>
      </c>
      <c r="N182" s="2">
        <v>24.7</v>
      </c>
      <c r="O182" s="2">
        <v>25.2</v>
      </c>
      <c r="P182" s="2">
        <v>26.4</v>
      </c>
      <c r="Q182" s="2">
        <v>27.2</v>
      </c>
      <c r="R182" s="2">
        <v>27.2</v>
      </c>
      <c r="S182" s="2">
        <v>27</v>
      </c>
      <c r="T182" s="2">
        <v>26.4</v>
      </c>
      <c r="U182" s="2">
        <v>25.4</v>
      </c>
      <c r="V182" s="2">
        <v>24.5</v>
      </c>
      <c r="W182" s="2">
        <v>23.7</v>
      </c>
      <c r="X182" s="2">
        <v>22.4</v>
      </c>
      <c r="Y182" s="2">
        <v>21.7</v>
      </c>
      <c r="Z182" s="2">
        <v>21</v>
      </c>
      <c r="AA182" s="2">
        <v>20.399999999999999</v>
      </c>
      <c r="AC182" s="5">
        <f t="shared" si="3"/>
        <v>22.858333333333324</v>
      </c>
    </row>
    <row r="183" spans="2:29" x14ac:dyDescent="0.25">
      <c r="B183" s="4">
        <v>42548</v>
      </c>
      <c r="C183" s="3">
        <v>179</v>
      </c>
      <c r="D183" s="2">
        <v>19.3</v>
      </c>
      <c r="E183" s="2">
        <v>18.2</v>
      </c>
      <c r="F183" s="2">
        <v>18.8</v>
      </c>
      <c r="G183" s="2">
        <v>19.100000000000001</v>
      </c>
      <c r="H183" s="2">
        <v>18.5</v>
      </c>
      <c r="I183" s="2">
        <v>17.3</v>
      </c>
      <c r="J183" s="2">
        <v>15.8</v>
      </c>
      <c r="K183" s="2">
        <v>17.399999999999999</v>
      </c>
      <c r="L183" s="2">
        <v>20.2</v>
      </c>
      <c r="M183" s="2">
        <v>22.4</v>
      </c>
      <c r="N183" s="2">
        <v>23.6</v>
      </c>
      <c r="O183" s="2">
        <v>25</v>
      </c>
      <c r="P183" s="2">
        <v>26.4</v>
      </c>
      <c r="Q183" s="2">
        <v>26.2</v>
      </c>
      <c r="R183" s="2">
        <v>26.4</v>
      </c>
      <c r="S183" s="2">
        <v>25.7</v>
      </c>
      <c r="T183" s="2">
        <v>24.9</v>
      </c>
      <c r="U183" s="2">
        <v>24.7</v>
      </c>
      <c r="V183" s="2">
        <v>24.5</v>
      </c>
      <c r="W183" s="2">
        <v>24.1</v>
      </c>
      <c r="X183" s="2">
        <v>23.4</v>
      </c>
      <c r="Y183" s="2">
        <v>22.5</v>
      </c>
      <c r="Z183" s="2">
        <v>21.3</v>
      </c>
      <c r="AA183" s="2">
        <v>19.399999999999999</v>
      </c>
      <c r="AC183" s="5">
        <f t="shared" si="3"/>
        <v>21.879166666666663</v>
      </c>
    </row>
    <row r="184" spans="2:29" x14ac:dyDescent="0.25">
      <c r="B184" s="4">
        <v>42549</v>
      </c>
      <c r="C184" s="3">
        <v>180</v>
      </c>
      <c r="D184" s="2">
        <v>17.8</v>
      </c>
      <c r="E184" s="2">
        <v>17.2</v>
      </c>
      <c r="F184" s="2">
        <v>16.8</v>
      </c>
      <c r="G184" s="2">
        <v>17.2</v>
      </c>
      <c r="H184" s="2">
        <v>17.3</v>
      </c>
      <c r="I184" s="2">
        <v>17.7</v>
      </c>
      <c r="J184" s="2">
        <v>18.600000000000001</v>
      </c>
      <c r="K184" s="2">
        <v>18.5</v>
      </c>
      <c r="L184" s="2">
        <v>20.5</v>
      </c>
      <c r="M184" s="2">
        <v>23</v>
      </c>
      <c r="N184" s="2">
        <v>24.5</v>
      </c>
      <c r="O184" s="2">
        <v>25.3</v>
      </c>
      <c r="P184" s="2">
        <v>25</v>
      </c>
      <c r="Q184" s="2">
        <v>25.6</v>
      </c>
      <c r="R184" s="2">
        <v>25.9</v>
      </c>
      <c r="S184" s="2">
        <v>26.1</v>
      </c>
      <c r="T184" s="2">
        <v>25.8</v>
      </c>
      <c r="U184" s="2">
        <v>24.9</v>
      </c>
      <c r="V184" s="2">
        <v>26.2</v>
      </c>
      <c r="W184" s="2">
        <v>25.7</v>
      </c>
      <c r="X184" s="2">
        <v>25</v>
      </c>
      <c r="Y184" s="2">
        <v>22.9</v>
      </c>
      <c r="Z184" s="2">
        <v>21.9</v>
      </c>
      <c r="AA184" s="2">
        <v>19.600000000000001</v>
      </c>
      <c r="AC184" s="5">
        <f t="shared" si="3"/>
        <v>22.041666666666661</v>
      </c>
    </row>
    <row r="185" spans="2:29" x14ac:dyDescent="0.25">
      <c r="B185" s="4">
        <v>42550</v>
      </c>
      <c r="C185" s="3">
        <v>181</v>
      </c>
      <c r="D185" s="2">
        <v>20.2</v>
      </c>
      <c r="E185" s="2">
        <v>19.5</v>
      </c>
      <c r="F185" s="2">
        <v>19.5</v>
      </c>
      <c r="G185" s="2">
        <v>19</v>
      </c>
      <c r="H185" s="2">
        <v>18.8</v>
      </c>
      <c r="I185" s="2">
        <v>19.100000000000001</v>
      </c>
      <c r="J185" s="2">
        <v>19.2</v>
      </c>
      <c r="K185" s="2">
        <v>19.7</v>
      </c>
      <c r="L185" s="2">
        <v>21.1</v>
      </c>
      <c r="M185" s="2">
        <v>22.5</v>
      </c>
      <c r="N185" s="2">
        <v>24.7</v>
      </c>
      <c r="O185" s="2">
        <v>26</v>
      </c>
      <c r="P185" s="2">
        <v>26.8</v>
      </c>
      <c r="Q185" s="2">
        <v>27.8</v>
      </c>
      <c r="R185" s="2">
        <v>26.5</v>
      </c>
      <c r="S185" s="2">
        <v>25.5</v>
      </c>
      <c r="T185" s="2">
        <v>25.4</v>
      </c>
      <c r="U185" s="2">
        <v>26.2</v>
      </c>
      <c r="V185" s="2">
        <v>26.6</v>
      </c>
      <c r="W185" s="2">
        <v>25.4</v>
      </c>
      <c r="X185" s="2">
        <v>25</v>
      </c>
      <c r="Y185" s="2">
        <v>24</v>
      </c>
      <c r="Z185" s="2">
        <v>22.7</v>
      </c>
      <c r="AA185" s="2">
        <v>22.2</v>
      </c>
      <c r="AC185" s="5">
        <f t="shared" si="3"/>
        <v>23.058333333333334</v>
      </c>
    </row>
    <row r="186" spans="2:29" x14ac:dyDescent="0.25">
      <c r="B186" s="4">
        <v>42551</v>
      </c>
      <c r="C186" s="3">
        <v>182</v>
      </c>
      <c r="D186" s="2">
        <v>21.4</v>
      </c>
      <c r="E186" s="2">
        <v>21.2</v>
      </c>
      <c r="F186" s="2">
        <v>20.8</v>
      </c>
      <c r="G186" s="2">
        <v>20.399999999999999</v>
      </c>
      <c r="H186" s="2">
        <v>20.5</v>
      </c>
      <c r="I186" s="2">
        <v>19.399999999999999</v>
      </c>
      <c r="J186" s="2">
        <v>18.8</v>
      </c>
      <c r="K186" s="2">
        <v>19.100000000000001</v>
      </c>
      <c r="L186" s="2">
        <v>22.4</v>
      </c>
      <c r="M186" s="2">
        <v>24.3</v>
      </c>
      <c r="N186" s="2">
        <v>25.1</v>
      </c>
      <c r="O186" s="2">
        <v>26.1</v>
      </c>
      <c r="P186" s="2">
        <v>26.1</v>
      </c>
      <c r="Q186" s="2">
        <v>26.5</v>
      </c>
      <c r="R186" s="2">
        <v>26.4</v>
      </c>
      <c r="S186" s="2">
        <v>26.6</v>
      </c>
      <c r="T186" s="2">
        <v>26.6</v>
      </c>
      <c r="U186" s="2">
        <v>26.7</v>
      </c>
      <c r="V186" s="2">
        <v>26.4</v>
      </c>
      <c r="W186" s="2">
        <v>25.7</v>
      </c>
      <c r="X186" s="2">
        <v>24.3</v>
      </c>
      <c r="Y186" s="2">
        <v>23.7</v>
      </c>
      <c r="Z186" s="2">
        <v>22.7</v>
      </c>
      <c r="AA186" s="2">
        <v>21.5</v>
      </c>
      <c r="AC186" s="5">
        <f t="shared" si="3"/>
        <v>23.445833333333336</v>
      </c>
    </row>
    <row r="187" spans="2:29" x14ac:dyDescent="0.25">
      <c r="B187" s="4">
        <v>42552</v>
      </c>
      <c r="C187" s="3">
        <v>183</v>
      </c>
      <c r="D187" s="2">
        <v>21.1</v>
      </c>
      <c r="E187" s="2">
        <v>20</v>
      </c>
      <c r="F187" s="2">
        <v>19.600000000000001</v>
      </c>
      <c r="G187" s="2">
        <v>19.3</v>
      </c>
      <c r="H187" s="2">
        <v>18.5</v>
      </c>
      <c r="I187" s="2">
        <v>18.7</v>
      </c>
      <c r="J187" s="2">
        <v>18.899999999999999</v>
      </c>
      <c r="K187" s="2">
        <v>20.3</v>
      </c>
      <c r="L187" s="2">
        <v>22.7</v>
      </c>
      <c r="M187" s="2">
        <v>24.3</v>
      </c>
      <c r="N187" s="2">
        <v>25.2</v>
      </c>
      <c r="O187" s="2">
        <v>26.4</v>
      </c>
      <c r="P187" s="2">
        <v>27.2</v>
      </c>
      <c r="Q187" s="2">
        <v>27.3</v>
      </c>
      <c r="R187" s="2">
        <v>27.3</v>
      </c>
      <c r="S187" s="2">
        <v>26.8</v>
      </c>
      <c r="T187" s="2">
        <v>27.2</v>
      </c>
      <c r="U187" s="2">
        <v>27.1</v>
      </c>
      <c r="V187" s="2">
        <v>26.6</v>
      </c>
      <c r="W187" s="2">
        <v>26.2</v>
      </c>
      <c r="X187" s="2">
        <v>25.1</v>
      </c>
      <c r="Y187" s="2">
        <v>23.5</v>
      </c>
      <c r="Z187" s="2">
        <v>22.3</v>
      </c>
      <c r="AA187" s="2">
        <v>20.3</v>
      </c>
      <c r="AC187" s="5">
        <f t="shared" si="3"/>
        <v>23.412499999999998</v>
      </c>
    </row>
    <row r="188" spans="2:29" x14ac:dyDescent="0.25">
      <c r="B188" s="4">
        <v>42553</v>
      </c>
      <c r="C188" s="3">
        <v>184</v>
      </c>
      <c r="D188" s="2">
        <v>19.100000000000001</v>
      </c>
      <c r="E188" s="2">
        <v>18.8</v>
      </c>
      <c r="F188" s="2">
        <v>19.2</v>
      </c>
      <c r="G188" s="2">
        <v>18.8</v>
      </c>
      <c r="H188" s="2">
        <v>18.399999999999999</v>
      </c>
      <c r="I188" s="2">
        <v>17.8</v>
      </c>
      <c r="J188" s="2">
        <v>17.7</v>
      </c>
      <c r="K188" s="2">
        <v>19.399999999999999</v>
      </c>
      <c r="L188" s="2">
        <v>21.9</v>
      </c>
      <c r="M188" s="2">
        <v>24.2</v>
      </c>
      <c r="N188" s="2">
        <v>25.6</v>
      </c>
      <c r="O188" s="2">
        <v>27.9</v>
      </c>
      <c r="P188" s="2">
        <v>27.6</v>
      </c>
      <c r="Q188" s="2">
        <v>28</v>
      </c>
      <c r="R188" s="2">
        <v>28</v>
      </c>
      <c r="S188" s="2">
        <v>27.1</v>
      </c>
      <c r="T188" s="2">
        <v>27</v>
      </c>
      <c r="U188" s="2">
        <v>27</v>
      </c>
      <c r="V188" s="2">
        <v>26.6</v>
      </c>
      <c r="W188" s="2">
        <v>25.8</v>
      </c>
      <c r="X188" s="2">
        <v>25</v>
      </c>
      <c r="Y188" s="2">
        <v>23.9</v>
      </c>
      <c r="Z188" s="2">
        <v>22.8</v>
      </c>
      <c r="AA188" s="2">
        <v>23</v>
      </c>
      <c r="AC188" s="5">
        <f t="shared" si="3"/>
        <v>23.358333333333334</v>
      </c>
    </row>
    <row r="189" spans="2:29" x14ac:dyDescent="0.25">
      <c r="B189" s="4">
        <v>42554</v>
      </c>
      <c r="C189" s="3">
        <v>185</v>
      </c>
      <c r="D189" s="2">
        <v>22.9</v>
      </c>
      <c r="E189" s="2">
        <v>22.8</v>
      </c>
      <c r="F189" s="2">
        <v>22.4</v>
      </c>
      <c r="G189" s="2">
        <v>22</v>
      </c>
      <c r="H189" s="2">
        <v>22.1</v>
      </c>
      <c r="I189" s="2">
        <v>21.8</v>
      </c>
      <c r="J189" s="2">
        <v>20.5</v>
      </c>
      <c r="K189" s="2">
        <v>20.7</v>
      </c>
      <c r="L189" s="2">
        <v>23.3</v>
      </c>
      <c r="M189" s="2">
        <v>23.2</v>
      </c>
      <c r="N189" s="2">
        <v>24.8</v>
      </c>
      <c r="O189" s="2">
        <v>26</v>
      </c>
      <c r="P189" s="2">
        <v>26.9</v>
      </c>
      <c r="Q189" s="2">
        <v>27.2</v>
      </c>
      <c r="R189" s="2">
        <v>26.4</v>
      </c>
      <c r="S189" s="2">
        <v>26</v>
      </c>
      <c r="T189" s="2">
        <v>25.7</v>
      </c>
      <c r="U189" s="2">
        <v>24.6</v>
      </c>
      <c r="V189" s="2">
        <v>23.7</v>
      </c>
      <c r="W189" s="2">
        <v>23.4</v>
      </c>
      <c r="X189" s="2">
        <v>23.3</v>
      </c>
      <c r="Y189" s="2">
        <v>22.5</v>
      </c>
      <c r="Z189" s="2">
        <v>21.8</v>
      </c>
      <c r="AA189" s="2">
        <v>19.5</v>
      </c>
      <c r="AC189" s="5">
        <f t="shared" si="3"/>
        <v>23.479166666666661</v>
      </c>
    </row>
    <row r="190" spans="2:29" x14ac:dyDescent="0.25">
      <c r="B190" s="4">
        <v>42555</v>
      </c>
      <c r="C190" s="3">
        <v>186</v>
      </c>
      <c r="D190" s="2">
        <v>20.399999999999999</v>
      </c>
      <c r="E190" s="2">
        <v>22</v>
      </c>
      <c r="F190" s="2">
        <v>20.3</v>
      </c>
      <c r="G190" s="2">
        <v>19.100000000000001</v>
      </c>
      <c r="H190" s="2">
        <v>18.5</v>
      </c>
      <c r="I190" s="2">
        <v>17.5</v>
      </c>
      <c r="J190" s="2">
        <v>17.600000000000001</v>
      </c>
      <c r="K190" s="2">
        <v>18.399999999999999</v>
      </c>
      <c r="L190" s="2">
        <v>24.3</v>
      </c>
      <c r="M190" s="2">
        <v>26</v>
      </c>
      <c r="N190" s="2">
        <v>26.7</v>
      </c>
      <c r="O190" s="2">
        <v>27.3</v>
      </c>
      <c r="P190" s="2">
        <v>28.1</v>
      </c>
      <c r="Q190" s="2">
        <v>27.8</v>
      </c>
      <c r="R190" s="2">
        <v>27.6</v>
      </c>
      <c r="S190" s="2">
        <v>27.5</v>
      </c>
      <c r="T190" s="2">
        <v>27.5</v>
      </c>
      <c r="U190" s="2">
        <v>27</v>
      </c>
      <c r="V190" s="2">
        <v>26.7</v>
      </c>
      <c r="W190" s="2">
        <v>25.9</v>
      </c>
      <c r="X190" s="2">
        <v>25.2</v>
      </c>
      <c r="Y190" s="2">
        <v>23.7</v>
      </c>
      <c r="Z190" s="2">
        <v>22.5</v>
      </c>
      <c r="AA190" s="2">
        <v>21.9</v>
      </c>
      <c r="AC190" s="5">
        <f t="shared" si="3"/>
        <v>23.729166666666668</v>
      </c>
    </row>
    <row r="191" spans="2:29" x14ac:dyDescent="0.25">
      <c r="B191" s="4">
        <v>42556</v>
      </c>
      <c r="C191" s="3">
        <v>187</v>
      </c>
      <c r="D191" s="2">
        <v>20.8</v>
      </c>
      <c r="E191" s="2">
        <v>20.2</v>
      </c>
      <c r="F191" s="2">
        <v>20.8</v>
      </c>
      <c r="G191" s="2">
        <v>21.2</v>
      </c>
      <c r="H191" s="2">
        <v>21.7</v>
      </c>
      <c r="I191" s="2">
        <v>19.7</v>
      </c>
      <c r="J191" s="2">
        <v>18.7</v>
      </c>
      <c r="K191" s="2">
        <v>20.3</v>
      </c>
      <c r="L191" s="2">
        <v>23.6</v>
      </c>
      <c r="M191" s="2">
        <v>26.3</v>
      </c>
      <c r="N191" s="2">
        <v>28.2</v>
      </c>
      <c r="O191" s="2">
        <v>28.3</v>
      </c>
      <c r="P191" s="2">
        <v>29.2</v>
      </c>
      <c r="Q191" s="2">
        <v>29.2</v>
      </c>
      <c r="R191" s="2">
        <v>29</v>
      </c>
      <c r="S191" s="2">
        <v>28.8</v>
      </c>
      <c r="T191" s="2">
        <v>28.7</v>
      </c>
      <c r="U191" s="2">
        <v>28.1</v>
      </c>
      <c r="V191" s="2">
        <v>28.7</v>
      </c>
      <c r="W191" s="2">
        <v>28.3</v>
      </c>
      <c r="X191" s="2">
        <v>27.4</v>
      </c>
      <c r="Y191" s="2">
        <v>26</v>
      </c>
      <c r="Z191" s="2">
        <v>24.3</v>
      </c>
      <c r="AA191" s="2">
        <v>22.7</v>
      </c>
      <c r="AC191" s="5">
        <f t="shared" si="3"/>
        <v>25.008333333333336</v>
      </c>
    </row>
    <row r="192" spans="2:29" x14ac:dyDescent="0.25">
      <c r="B192" s="4">
        <v>42557</v>
      </c>
      <c r="C192" s="3">
        <v>188</v>
      </c>
      <c r="D192" s="2">
        <v>21.5</v>
      </c>
      <c r="E192" s="2">
        <v>20.399999999999999</v>
      </c>
      <c r="F192" s="2">
        <v>20.5</v>
      </c>
      <c r="G192" s="2">
        <v>19.8</v>
      </c>
      <c r="H192" s="2">
        <v>18.100000000000001</v>
      </c>
      <c r="I192" s="2">
        <v>19.2</v>
      </c>
      <c r="J192" s="2">
        <v>19.899999999999999</v>
      </c>
      <c r="K192" s="2">
        <v>20.2</v>
      </c>
      <c r="L192" s="2">
        <v>24.2</v>
      </c>
      <c r="M192" s="2">
        <v>26.4</v>
      </c>
      <c r="N192" s="2">
        <v>27.6</v>
      </c>
      <c r="O192" s="2">
        <v>28.9</v>
      </c>
      <c r="P192" s="2">
        <v>29.8</v>
      </c>
      <c r="Q192" s="2">
        <v>29.8</v>
      </c>
      <c r="R192" s="2">
        <v>29.1</v>
      </c>
      <c r="S192" s="2">
        <v>29.1</v>
      </c>
      <c r="T192" s="2">
        <v>29.2</v>
      </c>
      <c r="U192" s="2">
        <v>29.2</v>
      </c>
      <c r="V192" s="2">
        <v>27.6</v>
      </c>
      <c r="W192" s="2">
        <v>26.8</v>
      </c>
      <c r="X192" s="2">
        <v>26.7</v>
      </c>
      <c r="Y192" s="2">
        <v>25</v>
      </c>
      <c r="Z192" s="2">
        <v>23.9</v>
      </c>
      <c r="AA192" s="2">
        <v>22.4</v>
      </c>
      <c r="AC192" s="5">
        <f t="shared" si="3"/>
        <v>24.804166666666671</v>
      </c>
    </row>
    <row r="193" spans="2:29" x14ac:dyDescent="0.25">
      <c r="B193" s="4">
        <v>42558</v>
      </c>
      <c r="C193" s="3">
        <v>189</v>
      </c>
      <c r="D193" s="2">
        <v>21</v>
      </c>
      <c r="E193" s="2">
        <v>20.9</v>
      </c>
      <c r="F193" s="2">
        <v>20.5</v>
      </c>
      <c r="G193" s="2">
        <v>20.5</v>
      </c>
      <c r="H193" s="2">
        <v>20.3</v>
      </c>
      <c r="I193" s="2">
        <v>19.8</v>
      </c>
      <c r="J193" s="2">
        <v>19.2</v>
      </c>
      <c r="K193" s="2">
        <v>20.2</v>
      </c>
      <c r="L193" s="2">
        <v>24.6</v>
      </c>
      <c r="M193" s="2">
        <v>26.3</v>
      </c>
      <c r="N193" s="2">
        <v>27.2</v>
      </c>
      <c r="O193" s="2">
        <v>28.4</v>
      </c>
      <c r="P193" s="2">
        <v>26.9</v>
      </c>
      <c r="Q193" s="2">
        <v>28.1</v>
      </c>
      <c r="R193" s="2">
        <v>29.1</v>
      </c>
      <c r="S193" s="2">
        <v>29.2</v>
      </c>
      <c r="T193" s="2">
        <v>28</v>
      </c>
      <c r="U193" s="2">
        <v>28.2</v>
      </c>
      <c r="V193" s="2">
        <v>26.5</v>
      </c>
      <c r="W193" s="2">
        <v>25.9</v>
      </c>
      <c r="X193" s="2">
        <v>25.6</v>
      </c>
      <c r="Y193" s="2">
        <v>24.9</v>
      </c>
      <c r="Z193" s="2">
        <v>24.6</v>
      </c>
      <c r="AA193" s="2">
        <v>24.1</v>
      </c>
      <c r="AC193" s="5">
        <f t="shared" si="3"/>
        <v>24.583333333333332</v>
      </c>
    </row>
    <row r="194" spans="2:29" x14ac:dyDescent="0.25">
      <c r="B194" s="4">
        <v>42559</v>
      </c>
      <c r="C194" s="3">
        <v>190</v>
      </c>
      <c r="D194" s="2">
        <v>23.1</v>
      </c>
      <c r="E194" s="2">
        <v>22.9</v>
      </c>
      <c r="F194" s="2">
        <v>22.7</v>
      </c>
      <c r="G194" s="2">
        <v>23</v>
      </c>
      <c r="H194" s="2">
        <v>22.5</v>
      </c>
      <c r="I194" s="2">
        <v>22</v>
      </c>
      <c r="J194" s="2">
        <v>21.8</v>
      </c>
      <c r="K194" s="2">
        <v>22.1</v>
      </c>
      <c r="L194" s="2">
        <v>25.1</v>
      </c>
      <c r="M194" s="2">
        <v>26.3</v>
      </c>
      <c r="N194" s="2">
        <v>28.2</v>
      </c>
      <c r="O194" s="2">
        <v>29.3</v>
      </c>
      <c r="P194" s="2">
        <v>29.9</v>
      </c>
      <c r="Q194" s="2">
        <v>30.1</v>
      </c>
      <c r="R194" s="2">
        <v>30.5</v>
      </c>
      <c r="S194" s="2">
        <v>28.7</v>
      </c>
      <c r="T194" s="2">
        <v>28.5</v>
      </c>
      <c r="U194" s="2">
        <v>28.6</v>
      </c>
      <c r="V194" s="2">
        <v>28.2</v>
      </c>
      <c r="W194" s="2">
        <v>26.8</v>
      </c>
      <c r="X194" s="2">
        <v>26.4</v>
      </c>
      <c r="Y194" s="2">
        <v>24.7</v>
      </c>
      <c r="Z194" s="2">
        <v>22.3</v>
      </c>
      <c r="AA194" s="2">
        <v>21.7</v>
      </c>
      <c r="AC194" s="5">
        <f t="shared" si="3"/>
        <v>25.641666666666666</v>
      </c>
    </row>
    <row r="195" spans="2:29" x14ac:dyDescent="0.25">
      <c r="B195" s="4">
        <v>42560</v>
      </c>
      <c r="C195" s="3">
        <v>191</v>
      </c>
      <c r="D195" s="2">
        <v>20.399999999999999</v>
      </c>
      <c r="E195" s="2">
        <v>20.2</v>
      </c>
      <c r="F195" s="2">
        <v>20.100000000000001</v>
      </c>
      <c r="G195" s="2">
        <v>19.7</v>
      </c>
      <c r="H195" s="2">
        <v>18.8</v>
      </c>
      <c r="I195" s="2">
        <v>19.3</v>
      </c>
      <c r="J195" s="2">
        <v>18.899999999999999</v>
      </c>
      <c r="K195" s="2">
        <v>20.6</v>
      </c>
      <c r="L195" s="2">
        <v>24.8</v>
      </c>
      <c r="M195" s="2">
        <v>28.9</v>
      </c>
      <c r="N195" s="2">
        <v>30.1</v>
      </c>
      <c r="O195" s="2">
        <v>30.8</v>
      </c>
      <c r="P195" s="2">
        <v>31.7</v>
      </c>
      <c r="Q195" s="2">
        <v>32.4</v>
      </c>
      <c r="R195" s="2">
        <v>32.1</v>
      </c>
      <c r="S195" s="2">
        <v>30.9</v>
      </c>
      <c r="T195" s="2">
        <v>30.8</v>
      </c>
      <c r="U195" s="2">
        <v>30.1</v>
      </c>
      <c r="V195" s="2">
        <v>29.7</v>
      </c>
      <c r="W195" s="2">
        <v>28.9</v>
      </c>
      <c r="X195" s="2">
        <v>27.5</v>
      </c>
      <c r="Y195" s="2">
        <v>25.8</v>
      </c>
      <c r="Z195" s="2">
        <v>24.6</v>
      </c>
      <c r="AA195" s="2">
        <v>22</v>
      </c>
      <c r="AC195" s="5">
        <f t="shared" si="3"/>
        <v>25.795833333333331</v>
      </c>
    </row>
    <row r="196" spans="2:29" x14ac:dyDescent="0.25">
      <c r="B196" s="4">
        <v>42561</v>
      </c>
      <c r="C196" s="3">
        <v>192</v>
      </c>
      <c r="D196" s="2">
        <v>20.9</v>
      </c>
      <c r="E196" s="2">
        <v>20.399999999999999</v>
      </c>
      <c r="F196" s="2">
        <v>20</v>
      </c>
      <c r="G196" s="2">
        <v>20.3</v>
      </c>
      <c r="H196" s="2">
        <v>20.2</v>
      </c>
      <c r="I196" s="2">
        <v>18.899999999999999</v>
      </c>
      <c r="J196" s="2">
        <v>18.100000000000001</v>
      </c>
      <c r="K196" s="2">
        <v>20</v>
      </c>
      <c r="L196" s="2">
        <v>24.3</v>
      </c>
      <c r="M196" s="2">
        <v>26.9</v>
      </c>
      <c r="N196" s="2">
        <v>28.6</v>
      </c>
      <c r="O196" s="2">
        <v>30</v>
      </c>
      <c r="P196" s="2">
        <v>30.1</v>
      </c>
      <c r="Q196" s="2">
        <v>30</v>
      </c>
      <c r="R196" s="2">
        <v>30</v>
      </c>
      <c r="S196" s="2">
        <v>29.7</v>
      </c>
      <c r="T196" s="2">
        <v>29.6</v>
      </c>
      <c r="U196" s="2">
        <v>29.7</v>
      </c>
      <c r="V196" s="2">
        <v>29.3</v>
      </c>
      <c r="W196" s="2">
        <v>28.9</v>
      </c>
      <c r="X196" s="2">
        <v>28</v>
      </c>
      <c r="Y196" s="2">
        <v>26.5</v>
      </c>
      <c r="Z196" s="2">
        <v>25</v>
      </c>
      <c r="AA196" s="2">
        <v>21.8</v>
      </c>
      <c r="AC196" s="5">
        <f t="shared" si="3"/>
        <v>25.3</v>
      </c>
    </row>
    <row r="197" spans="2:29" x14ac:dyDescent="0.25">
      <c r="B197" s="4">
        <v>42562</v>
      </c>
      <c r="C197" s="3">
        <v>193</v>
      </c>
      <c r="D197" s="2">
        <v>21.1</v>
      </c>
      <c r="E197" s="2">
        <v>20.5</v>
      </c>
      <c r="F197" s="2">
        <v>20.399999999999999</v>
      </c>
      <c r="G197" s="2">
        <v>20.399999999999999</v>
      </c>
      <c r="H197" s="2">
        <v>20.9</v>
      </c>
      <c r="I197" s="2">
        <v>20.399999999999999</v>
      </c>
      <c r="J197" s="2">
        <v>19.899999999999999</v>
      </c>
      <c r="K197" s="2">
        <v>20.7</v>
      </c>
      <c r="L197" s="2">
        <v>23.9</v>
      </c>
      <c r="M197" s="2">
        <v>25.6</v>
      </c>
      <c r="N197" s="2">
        <v>27.5</v>
      </c>
      <c r="O197" s="2">
        <v>28.8</v>
      </c>
      <c r="P197" s="2">
        <v>28.7</v>
      </c>
      <c r="Q197" s="2">
        <v>28.9</v>
      </c>
      <c r="R197" s="2">
        <v>29.7</v>
      </c>
      <c r="S197" s="2">
        <v>29.2</v>
      </c>
      <c r="T197" s="2">
        <v>29</v>
      </c>
      <c r="U197" s="2">
        <v>29.3</v>
      </c>
      <c r="V197" s="2">
        <v>28.9</v>
      </c>
      <c r="W197" s="2">
        <v>27.3</v>
      </c>
      <c r="X197" s="2">
        <v>26.5</v>
      </c>
      <c r="Y197" s="2">
        <v>25.9</v>
      </c>
      <c r="Z197" s="2">
        <v>24.4</v>
      </c>
      <c r="AA197" s="2">
        <v>22.1</v>
      </c>
      <c r="AC197" s="5">
        <f t="shared" si="3"/>
        <v>24.999999999999996</v>
      </c>
    </row>
    <row r="198" spans="2:29" x14ac:dyDescent="0.25">
      <c r="B198" s="4">
        <v>42563</v>
      </c>
      <c r="C198" s="3">
        <v>194</v>
      </c>
      <c r="D198" s="2">
        <v>21.6</v>
      </c>
      <c r="E198" s="2">
        <v>21</v>
      </c>
      <c r="F198" s="2">
        <v>20.8</v>
      </c>
      <c r="G198" s="2">
        <v>19.899999999999999</v>
      </c>
      <c r="H198" s="2">
        <v>20</v>
      </c>
      <c r="I198" s="2">
        <v>20.5</v>
      </c>
      <c r="J198" s="2">
        <v>20.7</v>
      </c>
      <c r="K198" s="2">
        <v>21.2</v>
      </c>
      <c r="L198" s="2">
        <v>23.6</v>
      </c>
      <c r="M198" s="2">
        <v>25.1</v>
      </c>
      <c r="N198" s="2">
        <v>25.9</v>
      </c>
      <c r="O198" s="2">
        <v>25.7</v>
      </c>
      <c r="P198" s="2">
        <v>25.8</v>
      </c>
      <c r="Q198" s="2">
        <v>26.9</v>
      </c>
      <c r="R198" s="2">
        <v>27.7</v>
      </c>
      <c r="S198" s="2">
        <v>27.6</v>
      </c>
      <c r="T198" s="2">
        <v>27.1</v>
      </c>
      <c r="U198" s="2">
        <v>26.7</v>
      </c>
      <c r="V198" s="2">
        <v>26.2</v>
      </c>
      <c r="W198" s="2">
        <v>25.5</v>
      </c>
      <c r="X198" s="2">
        <v>24.4</v>
      </c>
      <c r="Y198" s="2">
        <v>24</v>
      </c>
      <c r="Z198" s="2">
        <v>23.7</v>
      </c>
      <c r="AA198" s="2">
        <v>23.2</v>
      </c>
      <c r="AC198" s="5">
        <f t="shared" ref="AC198:AC261" si="4">(SUM((D198:AA198))/24)</f>
        <v>23.950000000000003</v>
      </c>
    </row>
    <row r="199" spans="2:29" x14ac:dyDescent="0.25">
      <c r="B199" s="4">
        <v>42564</v>
      </c>
      <c r="C199" s="3">
        <v>195</v>
      </c>
      <c r="D199" s="2">
        <v>23.1</v>
      </c>
      <c r="E199" s="2">
        <v>23</v>
      </c>
      <c r="F199" s="2">
        <v>22.1</v>
      </c>
      <c r="G199" s="2">
        <v>21.2</v>
      </c>
      <c r="H199" s="2">
        <v>21.3</v>
      </c>
      <c r="I199" s="2">
        <v>20.5</v>
      </c>
      <c r="J199" s="2">
        <v>19.7</v>
      </c>
      <c r="K199" s="2">
        <v>19.399999999999999</v>
      </c>
      <c r="L199" s="2">
        <v>20.5</v>
      </c>
      <c r="M199" s="2">
        <v>21.1</v>
      </c>
      <c r="N199" s="2">
        <v>22.4</v>
      </c>
      <c r="O199" s="2">
        <v>22.3</v>
      </c>
      <c r="P199" s="2">
        <v>22.9</v>
      </c>
      <c r="Q199" s="2">
        <v>26.5</v>
      </c>
      <c r="R199" s="2">
        <v>27.8</v>
      </c>
      <c r="S199" s="2">
        <v>27.8</v>
      </c>
      <c r="T199" s="2">
        <v>28.5</v>
      </c>
      <c r="U199" s="2">
        <v>28.5</v>
      </c>
      <c r="V199" s="2">
        <v>28.5</v>
      </c>
      <c r="W199" s="2">
        <v>27.8</v>
      </c>
      <c r="X199" s="2">
        <v>26.1</v>
      </c>
      <c r="Y199" s="2">
        <v>24.1</v>
      </c>
      <c r="Z199" s="2">
        <v>22.7</v>
      </c>
      <c r="AA199" s="2">
        <v>21.2</v>
      </c>
      <c r="AC199" s="5">
        <f t="shared" si="4"/>
        <v>23.708333333333339</v>
      </c>
    </row>
    <row r="200" spans="2:29" x14ac:dyDescent="0.25">
      <c r="B200" s="4">
        <v>42565</v>
      </c>
      <c r="C200" s="3">
        <v>196</v>
      </c>
      <c r="D200" s="2">
        <v>20.2</v>
      </c>
      <c r="E200" s="2">
        <v>19.399999999999999</v>
      </c>
      <c r="F200" s="2">
        <v>18.3</v>
      </c>
      <c r="G200" s="2">
        <v>17.600000000000001</v>
      </c>
      <c r="H200" s="2">
        <v>17</v>
      </c>
      <c r="I200" s="2">
        <v>15.8</v>
      </c>
      <c r="J200" s="2">
        <v>13.7</v>
      </c>
      <c r="K200" s="2">
        <v>14.8</v>
      </c>
      <c r="L200" s="2">
        <v>17.7</v>
      </c>
      <c r="M200" s="2">
        <v>19.899999999999999</v>
      </c>
      <c r="N200" s="2">
        <v>21.2</v>
      </c>
      <c r="O200" s="2">
        <v>22.5</v>
      </c>
      <c r="P200" s="2">
        <v>23.5</v>
      </c>
      <c r="Q200" s="2">
        <v>24.9</v>
      </c>
      <c r="R200" s="2">
        <v>26</v>
      </c>
      <c r="S200" s="2">
        <v>26.4</v>
      </c>
      <c r="T200" s="2">
        <v>27.5</v>
      </c>
      <c r="U200" s="2">
        <v>27.7</v>
      </c>
      <c r="V200" s="2">
        <v>25.3</v>
      </c>
      <c r="W200" s="2">
        <v>23.8</v>
      </c>
      <c r="X200" s="2">
        <v>22.9</v>
      </c>
      <c r="Y200" s="2">
        <v>23.1</v>
      </c>
      <c r="Z200" s="2">
        <v>21.3</v>
      </c>
      <c r="AA200" s="2">
        <v>21.2</v>
      </c>
      <c r="AC200" s="5">
        <f t="shared" si="4"/>
        <v>21.320833333333333</v>
      </c>
    </row>
    <row r="201" spans="2:29" x14ac:dyDescent="0.25">
      <c r="B201" s="4">
        <v>42566</v>
      </c>
      <c r="C201" s="3">
        <v>197</v>
      </c>
      <c r="D201" s="2">
        <v>18.5</v>
      </c>
      <c r="E201" s="2">
        <v>18.899999999999999</v>
      </c>
      <c r="F201" s="2">
        <v>18.5</v>
      </c>
      <c r="G201" s="2">
        <v>17.899999999999999</v>
      </c>
      <c r="H201" s="2">
        <v>17.3</v>
      </c>
      <c r="I201" s="2">
        <v>16.5</v>
      </c>
      <c r="J201" s="2">
        <v>16</v>
      </c>
      <c r="K201" s="2">
        <v>15.7</v>
      </c>
      <c r="L201" s="2">
        <v>18.600000000000001</v>
      </c>
      <c r="M201" s="2">
        <v>20.9</v>
      </c>
      <c r="N201" s="2">
        <v>23</v>
      </c>
      <c r="O201" s="2">
        <v>23.8</v>
      </c>
      <c r="P201" s="2">
        <v>24.4</v>
      </c>
      <c r="Q201" s="2">
        <v>25.1</v>
      </c>
      <c r="R201" s="2">
        <v>24.9</v>
      </c>
      <c r="S201" s="2">
        <v>24.3</v>
      </c>
      <c r="T201" s="2">
        <v>24.6</v>
      </c>
      <c r="U201" s="2">
        <v>24.9</v>
      </c>
      <c r="V201" s="2">
        <v>24.8</v>
      </c>
      <c r="W201" s="2">
        <v>23.8</v>
      </c>
      <c r="X201" s="2">
        <v>22.7</v>
      </c>
      <c r="Y201" s="2">
        <v>21.4</v>
      </c>
      <c r="Z201" s="2">
        <v>20.100000000000001</v>
      </c>
      <c r="AA201" s="2">
        <v>17.600000000000001</v>
      </c>
      <c r="AC201" s="5">
        <f t="shared" si="4"/>
        <v>21.008333333333336</v>
      </c>
    </row>
    <row r="202" spans="2:29" x14ac:dyDescent="0.25">
      <c r="B202" s="4">
        <v>42567</v>
      </c>
      <c r="C202" s="3">
        <v>198</v>
      </c>
      <c r="D202" s="2">
        <v>16.8</v>
      </c>
      <c r="E202" s="2">
        <v>17</v>
      </c>
      <c r="F202" s="2">
        <v>16.600000000000001</v>
      </c>
      <c r="G202" s="2">
        <v>17.600000000000001</v>
      </c>
      <c r="H202" s="2">
        <v>17.5</v>
      </c>
      <c r="I202" s="2">
        <v>18.100000000000001</v>
      </c>
      <c r="J202" s="2">
        <v>17.3</v>
      </c>
      <c r="K202" s="2">
        <v>17.3</v>
      </c>
      <c r="L202" s="2">
        <v>20.9</v>
      </c>
      <c r="M202" s="2">
        <v>22.7</v>
      </c>
      <c r="N202" s="2">
        <v>24.4</v>
      </c>
      <c r="O202" s="2">
        <v>25.4</v>
      </c>
      <c r="P202" s="2">
        <v>25.8</v>
      </c>
      <c r="Q202" s="2">
        <v>25.8</v>
      </c>
      <c r="R202" s="2">
        <v>25.9</v>
      </c>
      <c r="S202" s="2">
        <v>25.5</v>
      </c>
      <c r="T202" s="2">
        <v>25.8</v>
      </c>
      <c r="U202" s="2">
        <v>25.8</v>
      </c>
      <c r="V202" s="2">
        <v>25.3</v>
      </c>
      <c r="W202" s="2">
        <v>24.7</v>
      </c>
      <c r="X202" s="2">
        <v>23.8</v>
      </c>
      <c r="Y202" s="2">
        <v>22.4</v>
      </c>
      <c r="Z202" s="2">
        <v>19.899999999999999</v>
      </c>
      <c r="AA202" s="2">
        <v>17.899999999999999</v>
      </c>
      <c r="AC202" s="5">
        <f t="shared" si="4"/>
        <v>21.674999999999997</v>
      </c>
    </row>
    <row r="203" spans="2:29" x14ac:dyDescent="0.25">
      <c r="B203" s="4">
        <v>42568</v>
      </c>
      <c r="C203" s="3">
        <v>199</v>
      </c>
      <c r="D203" s="2">
        <v>17.7</v>
      </c>
      <c r="E203" s="2">
        <v>17.600000000000001</v>
      </c>
      <c r="F203" s="2">
        <v>17.399999999999999</v>
      </c>
      <c r="G203" s="2">
        <v>16.899999999999999</v>
      </c>
      <c r="H203" s="2">
        <v>16</v>
      </c>
      <c r="I203" s="2">
        <v>15.8</v>
      </c>
      <c r="J203" s="2">
        <v>16.2</v>
      </c>
      <c r="K203" s="2">
        <v>17.2</v>
      </c>
      <c r="L203" s="2">
        <v>20.2</v>
      </c>
      <c r="M203" s="2">
        <v>23.6</v>
      </c>
      <c r="N203" s="2">
        <v>24.8</v>
      </c>
      <c r="O203" s="2">
        <v>25.8</v>
      </c>
      <c r="P203" s="2">
        <v>26.1</v>
      </c>
      <c r="Q203" s="2">
        <v>26.7</v>
      </c>
      <c r="R203" s="2">
        <v>26.6</v>
      </c>
      <c r="S203" s="2">
        <v>26.1</v>
      </c>
      <c r="T203" s="2">
        <v>26.6</v>
      </c>
      <c r="U203" s="2">
        <v>26.9</v>
      </c>
      <c r="V203" s="2">
        <v>26.7</v>
      </c>
      <c r="W203" s="2">
        <v>26.2</v>
      </c>
      <c r="X203" s="2">
        <v>25.4</v>
      </c>
      <c r="Y203" s="2">
        <v>22.9</v>
      </c>
      <c r="Z203" s="2">
        <v>20.5</v>
      </c>
      <c r="AA203" s="2">
        <v>17.600000000000001</v>
      </c>
      <c r="AC203" s="5">
        <f t="shared" si="4"/>
        <v>21.979166666666668</v>
      </c>
    </row>
    <row r="204" spans="2:29" x14ac:dyDescent="0.25">
      <c r="B204" s="4">
        <v>42569</v>
      </c>
      <c r="C204" s="3">
        <v>200</v>
      </c>
      <c r="D204" s="2">
        <v>16.399999999999999</v>
      </c>
      <c r="E204" s="2">
        <v>16.600000000000001</v>
      </c>
      <c r="F204" s="2">
        <v>16.7</v>
      </c>
      <c r="G204" s="2">
        <v>16.600000000000001</v>
      </c>
      <c r="H204" s="2">
        <v>17.100000000000001</v>
      </c>
      <c r="I204" s="2">
        <v>18</v>
      </c>
      <c r="J204" s="2">
        <v>17.600000000000001</v>
      </c>
      <c r="K204" s="2">
        <v>19.100000000000001</v>
      </c>
      <c r="L204" s="2">
        <v>22.8</v>
      </c>
      <c r="M204" s="2">
        <v>24.2</v>
      </c>
      <c r="N204" s="2">
        <v>25.4</v>
      </c>
      <c r="O204" s="2">
        <v>25.8</v>
      </c>
      <c r="P204" s="2">
        <v>26</v>
      </c>
      <c r="Q204" s="2">
        <v>26.8</v>
      </c>
      <c r="R204" s="2">
        <v>26.6</v>
      </c>
      <c r="S204" s="2">
        <v>26</v>
      </c>
      <c r="T204" s="2">
        <v>26.5</v>
      </c>
      <c r="U204" s="2">
        <v>26.3</v>
      </c>
      <c r="V204" s="2">
        <v>25.9</v>
      </c>
      <c r="W204" s="2">
        <v>25.4</v>
      </c>
      <c r="X204" s="2">
        <v>24.6</v>
      </c>
      <c r="Y204" s="2">
        <v>22.5</v>
      </c>
      <c r="Z204" s="2">
        <v>19.7</v>
      </c>
      <c r="AA204" s="2">
        <v>19.100000000000001</v>
      </c>
      <c r="AC204" s="5">
        <f t="shared" si="4"/>
        <v>22.154166666666669</v>
      </c>
    </row>
    <row r="205" spans="2:29" x14ac:dyDescent="0.25">
      <c r="B205" s="4">
        <v>42570</v>
      </c>
      <c r="C205" s="3">
        <v>201</v>
      </c>
      <c r="D205" s="2">
        <v>19.2</v>
      </c>
      <c r="E205" s="2">
        <v>18.899999999999999</v>
      </c>
      <c r="F205" s="2">
        <v>17.5</v>
      </c>
      <c r="G205" s="2">
        <v>17.5</v>
      </c>
      <c r="H205" s="2">
        <v>17.2</v>
      </c>
      <c r="I205" s="2">
        <v>16.7</v>
      </c>
      <c r="J205" s="2">
        <v>16.2</v>
      </c>
      <c r="K205" s="2">
        <v>16.8</v>
      </c>
      <c r="L205" s="2">
        <v>21.1</v>
      </c>
      <c r="M205" s="2">
        <v>23.1</v>
      </c>
      <c r="N205" s="2">
        <v>24.2</v>
      </c>
      <c r="O205" s="2">
        <v>26.1</v>
      </c>
      <c r="P205" s="2">
        <v>26.7</v>
      </c>
      <c r="Q205" s="2">
        <v>27.2</v>
      </c>
      <c r="R205" s="2">
        <v>27.9</v>
      </c>
      <c r="S205" s="2">
        <v>27.1</v>
      </c>
      <c r="T205" s="2">
        <v>27.1</v>
      </c>
      <c r="U205" s="2">
        <v>26.6</v>
      </c>
      <c r="V205" s="2">
        <v>26.5</v>
      </c>
      <c r="W205" s="2">
        <v>26</v>
      </c>
      <c r="X205" s="2">
        <v>24.8</v>
      </c>
      <c r="Y205" s="2">
        <v>23.4</v>
      </c>
      <c r="Z205" s="2">
        <v>22</v>
      </c>
      <c r="AA205" s="2">
        <v>21.8</v>
      </c>
      <c r="AC205" s="5">
        <f t="shared" si="4"/>
        <v>22.566666666666663</v>
      </c>
    </row>
    <row r="206" spans="2:29" x14ac:dyDescent="0.25">
      <c r="B206" s="4">
        <v>42571</v>
      </c>
      <c r="C206" s="3">
        <v>202</v>
      </c>
      <c r="D206" s="2">
        <v>19.3</v>
      </c>
      <c r="E206" s="2">
        <v>19</v>
      </c>
      <c r="F206" s="2">
        <v>18.600000000000001</v>
      </c>
      <c r="G206" s="2">
        <v>18.7</v>
      </c>
      <c r="H206" s="2">
        <v>18.8</v>
      </c>
      <c r="I206" s="2">
        <v>18.5</v>
      </c>
      <c r="J206" s="2">
        <v>18.2</v>
      </c>
      <c r="K206" s="2">
        <v>19.100000000000001</v>
      </c>
      <c r="L206" s="2">
        <v>21.9</v>
      </c>
      <c r="M206" s="2">
        <v>24.5</v>
      </c>
      <c r="N206" s="2">
        <v>24.7</v>
      </c>
      <c r="O206" s="2">
        <v>26.2</v>
      </c>
      <c r="P206" s="2">
        <v>26.7</v>
      </c>
      <c r="Q206" s="2">
        <v>28.2</v>
      </c>
      <c r="R206" s="2">
        <v>28.4</v>
      </c>
      <c r="S206" s="2">
        <v>27.5</v>
      </c>
      <c r="T206" s="2">
        <v>26.4</v>
      </c>
      <c r="U206" s="2">
        <v>26.3</v>
      </c>
      <c r="V206" s="2">
        <v>25</v>
      </c>
      <c r="W206" s="2">
        <v>24.8</v>
      </c>
      <c r="X206" s="2">
        <v>25.4</v>
      </c>
      <c r="Y206" s="2">
        <v>24.2</v>
      </c>
      <c r="Z206" s="2">
        <v>23.9</v>
      </c>
      <c r="AA206" s="2">
        <v>24.1</v>
      </c>
      <c r="AC206" s="5">
        <f t="shared" si="4"/>
        <v>23.266666666666666</v>
      </c>
    </row>
    <row r="207" spans="2:29" x14ac:dyDescent="0.25">
      <c r="B207" s="4">
        <v>42572</v>
      </c>
      <c r="C207" s="3">
        <v>203</v>
      </c>
      <c r="D207" s="2">
        <v>22.7</v>
      </c>
      <c r="E207" s="2">
        <v>22.3</v>
      </c>
      <c r="F207" s="2">
        <v>22.8</v>
      </c>
      <c r="G207" s="2">
        <v>22.6</v>
      </c>
      <c r="H207" s="2">
        <v>21.7</v>
      </c>
      <c r="I207" s="2">
        <v>20.8</v>
      </c>
      <c r="J207" s="2">
        <v>19.899999999999999</v>
      </c>
      <c r="K207" s="2">
        <v>20.9</v>
      </c>
      <c r="L207" s="2">
        <v>23.4</v>
      </c>
      <c r="M207" s="2">
        <v>25.6</v>
      </c>
      <c r="N207" s="2">
        <v>27</v>
      </c>
      <c r="O207" s="2">
        <v>27.2</v>
      </c>
      <c r="P207" s="2">
        <v>27.5</v>
      </c>
      <c r="Q207" s="2">
        <v>28.5</v>
      </c>
      <c r="R207" s="2">
        <v>28.6</v>
      </c>
      <c r="S207" s="2">
        <v>27.5</v>
      </c>
      <c r="T207" s="2">
        <v>27.1</v>
      </c>
      <c r="U207" s="2">
        <v>26.7</v>
      </c>
      <c r="V207" s="2">
        <v>26.1</v>
      </c>
      <c r="W207" s="2">
        <v>25.9</v>
      </c>
      <c r="X207" s="2">
        <v>25</v>
      </c>
      <c r="Y207" s="2">
        <v>24</v>
      </c>
      <c r="Z207" s="2">
        <v>23.4</v>
      </c>
      <c r="AA207" s="2">
        <v>22.4</v>
      </c>
      <c r="AC207" s="5">
        <f t="shared" si="4"/>
        <v>24.566666666666666</v>
      </c>
    </row>
    <row r="208" spans="2:29" x14ac:dyDescent="0.25">
      <c r="B208" s="4">
        <v>42573</v>
      </c>
      <c r="C208" s="3">
        <v>204</v>
      </c>
      <c r="D208" s="2">
        <v>21.5</v>
      </c>
      <c r="E208" s="2">
        <v>21.1</v>
      </c>
      <c r="F208" s="2">
        <v>20.8</v>
      </c>
      <c r="G208" s="2">
        <v>20.3</v>
      </c>
      <c r="H208" s="2">
        <v>20.3</v>
      </c>
      <c r="I208" s="2">
        <v>18.5</v>
      </c>
      <c r="J208" s="2">
        <v>18.3</v>
      </c>
      <c r="K208" s="2">
        <v>18.899999999999999</v>
      </c>
      <c r="L208" s="2">
        <v>22.1</v>
      </c>
      <c r="M208" s="2">
        <v>25.3</v>
      </c>
      <c r="N208" s="2">
        <v>27.3</v>
      </c>
      <c r="O208" s="2">
        <v>29.3</v>
      </c>
      <c r="P208" s="2">
        <v>29.8</v>
      </c>
      <c r="Q208" s="2">
        <v>29.6</v>
      </c>
      <c r="R208" s="2">
        <v>28.5</v>
      </c>
      <c r="S208" s="2">
        <v>27.6</v>
      </c>
      <c r="T208" s="2">
        <v>27.6</v>
      </c>
      <c r="U208" s="2">
        <v>27.6</v>
      </c>
      <c r="V208" s="2">
        <v>25.8</v>
      </c>
      <c r="W208" s="2">
        <v>24.8</v>
      </c>
      <c r="X208" s="2">
        <v>24.3</v>
      </c>
      <c r="Y208" s="2">
        <v>20.3</v>
      </c>
      <c r="Z208" s="2">
        <v>18.2</v>
      </c>
      <c r="AA208" s="2">
        <v>18.399999999999999</v>
      </c>
      <c r="AC208" s="5">
        <f t="shared" si="4"/>
        <v>23.591666666666672</v>
      </c>
    </row>
    <row r="209" spans="2:29" x14ac:dyDescent="0.25">
      <c r="B209" s="4">
        <v>42574</v>
      </c>
      <c r="C209" s="3">
        <v>205</v>
      </c>
      <c r="D209" s="2">
        <v>18.3</v>
      </c>
      <c r="E209" s="2">
        <v>17.8</v>
      </c>
      <c r="F209" s="2">
        <v>18.2</v>
      </c>
      <c r="G209" s="2">
        <v>18</v>
      </c>
      <c r="H209" s="2">
        <v>17.5</v>
      </c>
      <c r="I209" s="2">
        <v>18.3</v>
      </c>
      <c r="J209" s="2">
        <v>17.100000000000001</v>
      </c>
      <c r="K209" s="2">
        <v>19.2</v>
      </c>
      <c r="L209" s="2">
        <v>20.8</v>
      </c>
      <c r="M209" s="2">
        <v>22.1</v>
      </c>
      <c r="N209" s="2">
        <v>24.1</v>
      </c>
      <c r="O209" s="2">
        <v>26</v>
      </c>
      <c r="P209" s="2">
        <v>26.6</v>
      </c>
      <c r="Q209" s="2">
        <v>28.7</v>
      </c>
      <c r="R209" s="2">
        <v>29.5</v>
      </c>
      <c r="S209" s="2">
        <v>29.5</v>
      </c>
      <c r="T209" s="2">
        <v>30.1</v>
      </c>
      <c r="U209" s="2">
        <v>27.2</v>
      </c>
      <c r="V209" s="2">
        <v>27</v>
      </c>
      <c r="W209" s="2">
        <v>25.9</v>
      </c>
      <c r="X209" s="2">
        <v>24.5</v>
      </c>
      <c r="Y209" s="2">
        <v>22.3</v>
      </c>
      <c r="Z209" s="2">
        <v>20.3</v>
      </c>
      <c r="AA209" s="2">
        <v>20.100000000000001</v>
      </c>
      <c r="AC209" s="5">
        <f t="shared" si="4"/>
        <v>22.879166666666666</v>
      </c>
    </row>
    <row r="210" spans="2:29" x14ac:dyDescent="0.25">
      <c r="B210" s="4">
        <v>42575</v>
      </c>
      <c r="C210" s="3">
        <v>206</v>
      </c>
      <c r="D210" s="2">
        <v>19.600000000000001</v>
      </c>
      <c r="E210" s="2">
        <v>19.399999999999999</v>
      </c>
      <c r="F210" s="2">
        <v>18.8</v>
      </c>
      <c r="G210" s="2">
        <v>18</v>
      </c>
      <c r="H210" s="2">
        <v>18</v>
      </c>
      <c r="I210" s="2">
        <v>17.600000000000001</v>
      </c>
      <c r="J210" s="2">
        <v>16.600000000000001</v>
      </c>
      <c r="K210" s="2">
        <v>17.8</v>
      </c>
      <c r="L210" s="2">
        <v>21.4</v>
      </c>
      <c r="M210" s="2">
        <v>22.8</v>
      </c>
      <c r="N210" s="2">
        <v>25.3</v>
      </c>
      <c r="O210" s="2">
        <v>26.9</v>
      </c>
      <c r="P210" s="2">
        <v>28.5</v>
      </c>
      <c r="Q210" s="2">
        <v>29.6</v>
      </c>
      <c r="R210" s="2">
        <v>30</v>
      </c>
      <c r="S210" s="2">
        <v>29.8</v>
      </c>
      <c r="T210" s="2">
        <v>28.9</v>
      </c>
      <c r="U210" s="2">
        <v>27.9</v>
      </c>
      <c r="V210" s="2">
        <v>28</v>
      </c>
      <c r="W210" s="2">
        <v>26.9</v>
      </c>
      <c r="X210" s="2">
        <v>25.5</v>
      </c>
      <c r="Y210" s="2">
        <v>23.9</v>
      </c>
      <c r="Z210" s="2">
        <v>23.1</v>
      </c>
      <c r="AA210" s="2">
        <v>21.5</v>
      </c>
      <c r="AC210" s="5">
        <f t="shared" si="4"/>
        <v>23.575000000000003</v>
      </c>
    </row>
    <row r="211" spans="2:29" x14ac:dyDescent="0.25">
      <c r="B211" s="4">
        <v>42576</v>
      </c>
      <c r="C211" s="3">
        <v>207</v>
      </c>
      <c r="D211" s="2">
        <v>21.8</v>
      </c>
      <c r="E211" s="2">
        <v>21.7</v>
      </c>
      <c r="F211" s="2">
        <v>21.5</v>
      </c>
      <c r="G211" s="2">
        <v>20.9</v>
      </c>
      <c r="H211" s="2">
        <v>20.6</v>
      </c>
      <c r="I211" s="2">
        <v>19.8</v>
      </c>
      <c r="J211" s="2">
        <v>19.5</v>
      </c>
      <c r="K211" s="2">
        <v>19.3</v>
      </c>
      <c r="L211" s="2">
        <v>22.6</v>
      </c>
      <c r="M211" s="2">
        <v>24.7</v>
      </c>
      <c r="N211" s="2">
        <v>26.7</v>
      </c>
      <c r="O211" s="2">
        <v>28.7</v>
      </c>
      <c r="P211" s="2">
        <v>30.1</v>
      </c>
      <c r="Q211" s="2">
        <v>29.7</v>
      </c>
      <c r="R211" s="2">
        <v>29.2</v>
      </c>
      <c r="S211" s="2">
        <v>28.4</v>
      </c>
      <c r="T211" s="2">
        <v>28.1</v>
      </c>
      <c r="U211" s="2">
        <v>28.2</v>
      </c>
      <c r="V211" s="2">
        <v>27.9</v>
      </c>
      <c r="W211" s="2">
        <v>27.5</v>
      </c>
      <c r="X211" s="2">
        <v>26.5</v>
      </c>
      <c r="Y211" s="2">
        <v>24.9</v>
      </c>
      <c r="Z211" s="2">
        <v>22.6</v>
      </c>
      <c r="AA211" s="2">
        <v>20.7</v>
      </c>
      <c r="AC211" s="5">
        <f t="shared" si="4"/>
        <v>24.650000000000002</v>
      </c>
    </row>
    <row r="212" spans="2:29" x14ac:dyDescent="0.25">
      <c r="B212" s="4">
        <v>42577</v>
      </c>
      <c r="C212" s="3">
        <v>208</v>
      </c>
      <c r="D212" s="2">
        <v>20.100000000000001</v>
      </c>
      <c r="E212" s="2">
        <v>20.399999999999999</v>
      </c>
      <c r="F212" s="2">
        <v>20.8</v>
      </c>
      <c r="G212" s="2">
        <v>20.8</v>
      </c>
      <c r="H212" s="2">
        <v>20.6</v>
      </c>
      <c r="I212" s="2">
        <v>19.899999999999999</v>
      </c>
      <c r="J212" s="2">
        <v>19.600000000000001</v>
      </c>
      <c r="K212" s="2">
        <v>20.100000000000001</v>
      </c>
      <c r="L212" s="2">
        <v>24.5</v>
      </c>
      <c r="M212" s="2">
        <v>24.9</v>
      </c>
      <c r="N212" s="2">
        <v>26.9</v>
      </c>
      <c r="O212" s="2">
        <v>28.7</v>
      </c>
      <c r="P212" s="2">
        <v>29.5</v>
      </c>
      <c r="Q212" s="2">
        <v>29</v>
      </c>
      <c r="R212" s="2">
        <v>28.8</v>
      </c>
      <c r="S212" s="2">
        <v>28.4</v>
      </c>
      <c r="T212" s="2">
        <v>28</v>
      </c>
      <c r="U212" s="2">
        <v>28.3</v>
      </c>
      <c r="V212" s="2">
        <v>27.2</v>
      </c>
      <c r="W212" s="2">
        <v>26.2</v>
      </c>
      <c r="X212" s="2">
        <v>25.5</v>
      </c>
      <c r="Y212" s="2">
        <v>24.5</v>
      </c>
      <c r="Z212" s="2">
        <v>23.7</v>
      </c>
      <c r="AA212" s="2">
        <v>22.2</v>
      </c>
      <c r="AC212" s="5">
        <f t="shared" si="4"/>
        <v>24.525000000000006</v>
      </c>
    </row>
    <row r="213" spans="2:29" x14ac:dyDescent="0.25">
      <c r="B213" s="4">
        <v>42578</v>
      </c>
      <c r="C213" s="3">
        <v>209</v>
      </c>
      <c r="D213" s="2">
        <v>21.2</v>
      </c>
      <c r="E213" s="2">
        <v>21.8</v>
      </c>
      <c r="F213" s="2">
        <v>21.7</v>
      </c>
      <c r="G213" s="2">
        <v>21.2</v>
      </c>
      <c r="H213" s="2">
        <v>20.5</v>
      </c>
      <c r="I213" s="2">
        <v>20.399999999999999</v>
      </c>
      <c r="J213" s="2">
        <v>20.8</v>
      </c>
      <c r="K213" s="2">
        <v>21</v>
      </c>
      <c r="L213" s="2">
        <v>22.8</v>
      </c>
      <c r="M213" s="2">
        <v>25</v>
      </c>
      <c r="N213" s="2">
        <v>26.7</v>
      </c>
      <c r="O213" s="2">
        <v>28.1</v>
      </c>
      <c r="P213" s="2">
        <v>29.8</v>
      </c>
      <c r="Q213" s="2">
        <v>29.9</v>
      </c>
      <c r="R213" s="2">
        <v>29.5</v>
      </c>
      <c r="S213" s="2">
        <v>28.5</v>
      </c>
      <c r="T213" s="2">
        <v>28.2</v>
      </c>
      <c r="U213" s="2">
        <v>28</v>
      </c>
      <c r="V213" s="2">
        <v>27.8</v>
      </c>
      <c r="W213" s="2">
        <v>27</v>
      </c>
      <c r="X213" s="2">
        <v>26.2</v>
      </c>
      <c r="Y213" s="2">
        <v>24.9</v>
      </c>
      <c r="Z213" s="2">
        <v>24.3</v>
      </c>
      <c r="AA213" s="2">
        <v>22.6</v>
      </c>
      <c r="AC213" s="5">
        <f t="shared" si="4"/>
        <v>24.912499999999998</v>
      </c>
    </row>
    <row r="214" spans="2:29" x14ac:dyDescent="0.25">
      <c r="B214" s="4">
        <v>42579</v>
      </c>
      <c r="C214" s="3">
        <v>210</v>
      </c>
      <c r="D214" s="2">
        <v>21.3</v>
      </c>
      <c r="E214" s="2">
        <v>21.4</v>
      </c>
      <c r="F214" s="2">
        <v>21.1</v>
      </c>
      <c r="G214" s="2">
        <v>20.5</v>
      </c>
      <c r="H214" s="2">
        <v>19.7</v>
      </c>
      <c r="I214" s="2">
        <v>20.100000000000001</v>
      </c>
      <c r="J214" s="2">
        <v>21</v>
      </c>
      <c r="K214" s="2">
        <v>21.6</v>
      </c>
      <c r="L214" s="2">
        <v>21.9</v>
      </c>
      <c r="M214" s="2">
        <v>25.3</v>
      </c>
      <c r="N214" s="2">
        <v>26.7</v>
      </c>
      <c r="O214" s="2">
        <v>27.8</v>
      </c>
      <c r="P214" s="2">
        <v>29.2</v>
      </c>
      <c r="Q214" s="2">
        <v>29.7</v>
      </c>
      <c r="R214" s="2">
        <v>29</v>
      </c>
      <c r="S214" s="2">
        <v>28.5</v>
      </c>
      <c r="T214" s="2">
        <v>28.4</v>
      </c>
      <c r="U214" s="2">
        <v>28.2</v>
      </c>
      <c r="V214" s="2">
        <v>27.9</v>
      </c>
      <c r="W214" s="2">
        <v>26.9</v>
      </c>
      <c r="X214" s="2">
        <v>25.8</v>
      </c>
      <c r="Y214" s="2">
        <v>24.4</v>
      </c>
      <c r="Z214" s="2">
        <v>23.7</v>
      </c>
      <c r="AA214" s="2">
        <v>22.2</v>
      </c>
      <c r="AC214" s="5">
        <f t="shared" si="4"/>
        <v>24.679166666666664</v>
      </c>
    </row>
    <row r="215" spans="2:29" x14ac:dyDescent="0.25">
      <c r="B215" s="4">
        <v>42580</v>
      </c>
      <c r="C215" s="3">
        <v>211</v>
      </c>
      <c r="D215" s="2">
        <v>21.5</v>
      </c>
      <c r="E215" s="2">
        <v>20.9</v>
      </c>
      <c r="F215" s="2">
        <v>20.5</v>
      </c>
      <c r="G215" s="2">
        <v>20.399999999999999</v>
      </c>
      <c r="H215" s="2">
        <v>20.2</v>
      </c>
      <c r="I215" s="2">
        <v>20.2</v>
      </c>
      <c r="J215" s="2">
        <v>19.8</v>
      </c>
      <c r="K215" s="2">
        <v>20.100000000000001</v>
      </c>
      <c r="L215" s="2">
        <v>23.8</v>
      </c>
      <c r="M215" s="2">
        <v>25.4</v>
      </c>
      <c r="N215" s="2">
        <v>26.5</v>
      </c>
      <c r="O215" s="2">
        <v>27.5</v>
      </c>
      <c r="P215" s="2">
        <v>28.5</v>
      </c>
      <c r="Q215" s="2">
        <v>28.8</v>
      </c>
      <c r="R215" s="2">
        <v>28.8</v>
      </c>
      <c r="S215" s="2">
        <v>29</v>
      </c>
      <c r="T215" s="2">
        <v>29</v>
      </c>
      <c r="U215" s="2">
        <v>28.2</v>
      </c>
      <c r="V215" s="2">
        <v>28.2</v>
      </c>
      <c r="W215" s="2">
        <v>26.8</v>
      </c>
      <c r="X215" s="2">
        <v>25.8</v>
      </c>
      <c r="Y215" s="2">
        <v>25</v>
      </c>
      <c r="Z215" s="2">
        <v>24.2</v>
      </c>
      <c r="AA215" s="2">
        <v>22.4</v>
      </c>
      <c r="AC215" s="5">
        <f t="shared" si="4"/>
        <v>24.645833333333332</v>
      </c>
    </row>
    <row r="216" spans="2:29" x14ac:dyDescent="0.25">
      <c r="B216" s="4">
        <v>42581</v>
      </c>
      <c r="C216" s="3">
        <v>212</v>
      </c>
      <c r="D216" s="2">
        <v>21.4</v>
      </c>
      <c r="E216" s="2">
        <v>20.9</v>
      </c>
      <c r="F216" s="2">
        <v>20.9</v>
      </c>
      <c r="G216" s="2">
        <v>20.5</v>
      </c>
      <c r="H216" s="2">
        <v>20.399999999999999</v>
      </c>
      <c r="I216" s="2">
        <v>20.399999999999999</v>
      </c>
      <c r="J216" s="2">
        <v>19.8</v>
      </c>
      <c r="K216" s="2">
        <v>19.5</v>
      </c>
      <c r="L216" s="2">
        <v>23.4</v>
      </c>
      <c r="M216" s="2">
        <v>25.5</v>
      </c>
      <c r="N216" s="2">
        <v>26.4</v>
      </c>
      <c r="O216" s="2">
        <v>27.6</v>
      </c>
      <c r="P216" s="2">
        <v>28.1</v>
      </c>
      <c r="Q216" s="2">
        <v>28.5</v>
      </c>
      <c r="R216" s="2">
        <v>28.6</v>
      </c>
      <c r="S216" s="2">
        <v>28.4</v>
      </c>
      <c r="T216" s="2">
        <v>28.9</v>
      </c>
      <c r="U216" s="2">
        <v>28.5</v>
      </c>
      <c r="V216" s="2">
        <v>28.2</v>
      </c>
      <c r="W216" s="2">
        <v>27.3</v>
      </c>
      <c r="X216" s="2">
        <v>26.6</v>
      </c>
      <c r="Y216" s="2">
        <v>25.3</v>
      </c>
      <c r="Z216" s="2">
        <v>24.8</v>
      </c>
      <c r="AA216" s="2">
        <v>22.8</v>
      </c>
      <c r="AC216" s="5">
        <f t="shared" si="4"/>
        <v>24.695833333333329</v>
      </c>
    </row>
    <row r="217" spans="2:29" x14ac:dyDescent="0.25">
      <c r="B217" s="4">
        <v>42582</v>
      </c>
      <c r="C217" s="3">
        <v>213</v>
      </c>
      <c r="D217" s="2">
        <v>22</v>
      </c>
      <c r="E217" s="2">
        <v>21.8</v>
      </c>
      <c r="F217" s="2">
        <v>21.2</v>
      </c>
      <c r="G217" s="2">
        <v>20.5</v>
      </c>
      <c r="H217" s="2">
        <v>21.1</v>
      </c>
      <c r="I217" s="2">
        <v>21.4</v>
      </c>
      <c r="J217" s="2">
        <v>21.5</v>
      </c>
      <c r="K217" s="2">
        <v>21.5</v>
      </c>
      <c r="L217" s="2">
        <v>23.2</v>
      </c>
      <c r="M217" s="2">
        <v>25.2</v>
      </c>
      <c r="N217" s="2">
        <v>26.9</v>
      </c>
      <c r="O217" s="2">
        <v>28.4</v>
      </c>
      <c r="P217" s="2">
        <v>28.3</v>
      </c>
      <c r="Q217" s="2">
        <v>28.7</v>
      </c>
      <c r="R217" s="2">
        <v>29.1</v>
      </c>
      <c r="S217" s="2">
        <v>28.9</v>
      </c>
      <c r="T217" s="2">
        <v>29.4</v>
      </c>
      <c r="U217" s="2">
        <v>29.5</v>
      </c>
      <c r="V217" s="2">
        <v>29.3</v>
      </c>
      <c r="W217" s="2">
        <v>28.3</v>
      </c>
      <c r="X217" s="2">
        <v>27.5</v>
      </c>
      <c r="Y217" s="2">
        <v>25.6</v>
      </c>
      <c r="Z217" s="2">
        <v>24.8</v>
      </c>
      <c r="AA217" s="2">
        <v>24.5</v>
      </c>
      <c r="AC217" s="5">
        <f t="shared" si="4"/>
        <v>25.358333333333334</v>
      </c>
    </row>
    <row r="218" spans="2:29" x14ac:dyDescent="0.25">
      <c r="B218" s="4">
        <v>42583</v>
      </c>
      <c r="C218" s="3">
        <v>214</v>
      </c>
      <c r="D218" s="2">
        <v>24.6</v>
      </c>
      <c r="E218" s="2">
        <v>24.6</v>
      </c>
      <c r="F218" s="2">
        <v>23.9</v>
      </c>
      <c r="G218" s="2">
        <v>22.7</v>
      </c>
      <c r="H218" s="2">
        <v>22.1</v>
      </c>
      <c r="I218" s="2">
        <v>21.3</v>
      </c>
      <c r="J218" s="2">
        <v>20.399999999999999</v>
      </c>
      <c r="K218" s="2">
        <v>20.2</v>
      </c>
      <c r="L218" s="2">
        <v>21.8</v>
      </c>
      <c r="M218" s="2">
        <v>23</v>
      </c>
      <c r="N218" s="2">
        <v>24.7</v>
      </c>
      <c r="O218" s="2">
        <v>26.2</v>
      </c>
      <c r="P218" s="2">
        <v>27.9</v>
      </c>
      <c r="Q218" s="2">
        <v>29.3</v>
      </c>
      <c r="R218" s="2">
        <v>30</v>
      </c>
      <c r="S218" s="2">
        <v>27.7</v>
      </c>
      <c r="T218" s="2">
        <v>27.6</v>
      </c>
      <c r="U218" s="2">
        <v>27.1</v>
      </c>
      <c r="V218" s="2">
        <v>26.2</v>
      </c>
      <c r="W218" s="2">
        <v>25.1</v>
      </c>
      <c r="X218" s="2">
        <v>24.7</v>
      </c>
      <c r="Y218" s="2">
        <v>24.4</v>
      </c>
      <c r="Z218" s="2">
        <v>24.5</v>
      </c>
      <c r="AA218" s="2">
        <v>24.3</v>
      </c>
      <c r="AC218" s="5">
        <f t="shared" si="4"/>
        <v>24.762499999999999</v>
      </c>
    </row>
    <row r="219" spans="2:29" x14ac:dyDescent="0.25">
      <c r="B219" s="4">
        <v>42584</v>
      </c>
      <c r="C219" s="3">
        <v>215</v>
      </c>
      <c r="D219" s="2">
        <v>23.7</v>
      </c>
      <c r="E219" s="2">
        <v>24.4</v>
      </c>
      <c r="F219" s="2">
        <v>24.4</v>
      </c>
      <c r="G219" s="2">
        <v>24</v>
      </c>
      <c r="H219" s="2">
        <v>23.8</v>
      </c>
      <c r="I219" s="2">
        <v>23.3</v>
      </c>
      <c r="J219" s="2">
        <v>22</v>
      </c>
      <c r="K219" s="2">
        <v>21.2</v>
      </c>
      <c r="L219" s="2">
        <v>23.4</v>
      </c>
      <c r="M219" s="2">
        <v>25.3</v>
      </c>
      <c r="N219" s="2">
        <v>26.5</v>
      </c>
      <c r="O219" s="2">
        <v>27.8</v>
      </c>
      <c r="P219" s="2">
        <v>28.5</v>
      </c>
      <c r="Q219" s="2">
        <v>28.6</v>
      </c>
      <c r="R219" s="2">
        <v>28.2</v>
      </c>
      <c r="S219" s="2">
        <v>28.3</v>
      </c>
      <c r="T219" s="2">
        <v>28.5</v>
      </c>
      <c r="U219" s="2">
        <v>28.2</v>
      </c>
      <c r="V219" s="2">
        <v>27.5</v>
      </c>
      <c r="W219" s="2">
        <v>26.7</v>
      </c>
      <c r="X219" s="2">
        <v>26</v>
      </c>
      <c r="Y219" s="2">
        <v>24.9</v>
      </c>
      <c r="Z219" s="2">
        <v>24.3</v>
      </c>
      <c r="AA219" s="2">
        <v>24.2</v>
      </c>
      <c r="AC219" s="5">
        <f t="shared" si="4"/>
        <v>25.570833333333336</v>
      </c>
    </row>
    <row r="220" spans="2:29" x14ac:dyDescent="0.25">
      <c r="B220" s="4">
        <v>42585</v>
      </c>
      <c r="C220" s="3">
        <v>216</v>
      </c>
      <c r="D220" s="2">
        <v>23.9</v>
      </c>
      <c r="E220" s="2">
        <v>22.5</v>
      </c>
      <c r="F220" s="2">
        <v>21.5</v>
      </c>
      <c r="G220" s="2">
        <v>20.7</v>
      </c>
      <c r="H220" s="2">
        <v>20.399999999999999</v>
      </c>
      <c r="I220" s="2">
        <v>20.6</v>
      </c>
      <c r="J220" s="2">
        <v>20.6</v>
      </c>
      <c r="K220" s="2">
        <v>20.3</v>
      </c>
      <c r="L220" s="2">
        <v>24</v>
      </c>
      <c r="M220" s="2">
        <v>25.5</v>
      </c>
      <c r="N220" s="2">
        <v>26.9</v>
      </c>
      <c r="O220" s="2">
        <v>27.6</v>
      </c>
      <c r="P220" s="2">
        <v>27.7</v>
      </c>
      <c r="Q220" s="2">
        <v>28</v>
      </c>
      <c r="R220" s="2">
        <v>28.3</v>
      </c>
      <c r="S220" s="2">
        <v>28.1</v>
      </c>
      <c r="T220" s="2">
        <v>28.1</v>
      </c>
      <c r="U220" s="2">
        <v>27.8</v>
      </c>
      <c r="V220" s="2">
        <v>27.6</v>
      </c>
      <c r="W220" s="2">
        <v>27.2</v>
      </c>
      <c r="X220" s="2">
        <v>25.5</v>
      </c>
      <c r="Y220" s="2">
        <v>24.8</v>
      </c>
      <c r="Z220" s="2">
        <v>24.5</v>
      </c>
      <c r="AA220" s="2">
        <v>24.3</v>
      </c>
      <c r="AC220" s="5">
        <f t="shared" si="4"/>
        <v>24.849999999999998</v>
      </c>
    </row>
    <row r="221" spans="2:29" x14ac:dyDescent="0.25">
      <c r="B221" s="4">
        <v>42586</v>
      </c>
      <c r="C221" s="3">
        <v>217</v>
      </c>
      <c r="D221" s="2">
        <v>22.9</v>
      </c>
      <c r="E221" s="2">
        <v>22.6</v>
      </c>
      <c r="F221" s="2">
        <v>23</v>
      </c>
      <c r="G221" s="2">
        <v>23.1</v>
      </c>
      <c r="H221" s="2">
        <v>23.2</v>
      </c>
      <c r="I221" s="2">
        <v>22.7</v>
      </c>
      <c r="J221" s="2">
        <v>22.3</v>
      </c>
      <c r="K221" s="2">
        <v>22.2</v>
      </c>
      <c r="L221" s="2">
        <v>23.7</v>
      </c>
      <c r="M221" s="2">
        <v>26</v>
      </c>
      <c r="N221" s="2">
        <v>27.5</v>
      </c>
      <c r="O221" s="2">
        <v>28.1</v>
      </c>
      <c r="P221" s="2">
        <v>28.5</v>
      </c>
      <c r="Q221" s="2">
        <v>29</v>
      </c>
      <c r="R221" s="2">
        <v>28.9</v>
      </c>
      <c r="S221" s="2">
        <v>28.6</v>
      </c>
      <c r="T221" s="2">
        <v>27.6</v>
      </c>
      <c r="U221" s="2">
        <v>28.3</v>
      </c>
      <c r="V221" s="2">
        <v>28.4</v>
      </c>
      <c r="W221" s="2">
        <v>28.5</v>
      </c>
      <c r="X221" s="2">
        <v>27.7</v>
      </c>
      <c r="Y221" s="2">
        <v>26.1</v>
      </c>
      <c r="Z221" s="2">
        <v>24.8</v>
      </c>
      <c r="AA221" s="2">
        <v>23.5</v>
      </c>
      <c r="AC221" s="5">
        <f t="shared" si="4"/>
        <v>25.716666666666669</v>
      </c>
    </row>
    <row r="222" spans="2:29" x14ac:dyDescent="0.25">
      <c r="B222" s="4">
        <v>42587</v>
      </c>
      <c r="C222" s="3">
        <v>218</v>
      </c>
      <c r="D222" s="2">
        <v>24.5</v>
      </c>
      <c r="E222" s="2">
        <v>24.4</v>
      </c>
      <c r="F222" s="2">
        <v>24</v>
      </c>
      <c r="G222" s="2">
        <v>24.6</v>
      </c>
      <c r="H222" s="2">
        <v>24.8</v>
      </c>
      <c r="I222" s="2">
        <v>24.5</v>
      </c>
      <c r="J222" s="2">
        <v>24</v>
      </c>
      <c r="K222" s="2">
        <v>23.4</v>
      </c>
      <c r="L222" s="2">
        <v>23.8</v>
      </c>
      <c r="M222" s="2">
        <v>24.5</v>
      </c>
      <c r="N222" s="2">
        <v>25.2</v>
      </c>
      <c r="O222" s="2">
        <v>25.2</v>
      </c>
      <c r="P222" s="2">
        <v>25.8</v>
      </c>
      <c r="Q222" s="2">
        <v>28.1</v>
      </c>
      <c r="R222" s="2">
        <v>29.5</v>
      </c>
      <c r="S222" s="2">
        <v>27.8</v>
      </c>
      <c r="T222" s="2">
        <v>27.3</v>
      </c>
      <c r="U222" s="2">
        <v>26.5</v>
      </c>
      <c r="V222" s="2">
        <v>25.5</v>
      </c>
      <c r="W222" s="2">
        <v>25.6</v>
      </c>
      <c r="X222" s="2">
        <v>25.1</v>
      </c>
      <c r="Y222" s="2">
        <v>24.4</v>
      </c>
      <c r="Z222" s="2">
        <v>24</v>
      </c>
      <c r="AA222" s="2">
        <v>23.4</v>
      </c>
      <c r="AC222" s="5">
        <f t="shared" si="4"/>
        <v>25.245833333333337</v>
      </c>
    </row>
    <row r="223" spans="2:29" x14ac:dyDescent="0.25">
      <c r="B223" s="4">
        <v>42588</v>
      </c>
      <c r="C223" s="3">
        <v>219</v>
      </c>
      <c r="D223" s="2">
        <v>22.6</v>
      </c>
      <c r="E223" s="2">
        <v>21.1</v>
      </c>
      <c r="F223" s="2">
        <v>20.100000000000001</v>
      </c>
      <c r="G223" s="2">
        <v>21.1</v>
      </c>
      <c r="H223" s="2">
        <v>19.600000000000001</v>
      </c>
      <c r="I223" s="2">
        <v>18.5</v>
      </c>
      <c r="J223" s="2">
        <v>18.899999999999999</v>
      </c>
      <c r="K223" s="2">
        <v>15.8</v>
      </c>
      <c r="L223" s="2">
        <v>19.2</v>
      </c>
      <c r="M223" s="2">
        <v>22.9</v>
      </c>
      <c r="N223" s="2">
        <v>24.4</v>
      </c>
      <c r="O223" s="2">
        <v>26.4</v>
      </c>
      <c r="P223" s="2">
        <v>27.2</v>
      </c>
      <c r="Q223" s="2">
        <v>28.4</v>
      </c>
      <c r="R223" s="2">
        <v>29</v>
      </c>
      <c r="S223" s="2">
        <v>29.6</v>
      </c>
      <c r="T223" s="2">
        <v>28.3</v>
      </c>
      <c r="U223" s="2">
        <v>27.4</v>
      </c>
      <c r="V223" s="2">
        <v>27.1</v>
      </c>
      <c r="W223" s="2">
        <v>26</v>
      </c>
      <c r="X223" s="2">
        <v>25</v>
      </c>
      <c r="Y223" s="2">
        <v>23.7</v>
      </c>
      <c r="Z223" s="2">
        <v>23.1</v>
      </c>
      <c r="AA223" s="2">
        <v>20.6</v>
      </c>
      <c r="AC223" s="5">
        <f t="shared" si="4"/>
        <v>23.583333333333339</v>
      </c>
    </row>
    <row r="224" spans="2:29" x14ac:dyDescent="0.25">
      <c r="B224" s="4">
        <v>42589</v>
      </c>
      <c r="C224" s="3">
        <v>220</v>
      </c>
      <c r="D224" s="2">
        <v>20.100000000000001</v>
      </c>
      <c r="E224" s="2">
        <v>19.8</v>
      </c>
      <c r="F224" s="2">
        <v>20</v>
      </c>
      <c r="G224" s="2">
        <v>19.600000000000001</v>
      </c>
      <c r="H224" s="2">
        <v>18.899999999999999</v>
      </c>
      <c r="I224" s="2">
        <v>18.100000000000001</v>
      </c>
      <c r="J224" s="2">
        <v>17.5</v>
      </c>
      <c r="K224" s="2">
        <v>17</v>
      </c>
      <c r="L224" s="2">
        <v>21.4</v>
      </c>
      <c r="M224" s="2">
        <v>23.9</v>
      </c>
      <c r="N224" s="2">
        <v>25.7</v>
      </c>
      <c r="O224" s="2">
        <v>27.8</v>
      </c>
      <c r="P224" s="2">
        <v>28.9</v>
      </c>
      <c r="Q224" s="2">
        <v>29.1</v>
      </c>
      <c r="R224" s="2">
        <v>28.1</v>
      </c>
      <c r="S224" s="2">
        <v>27.1</v>
      </c>
      <c r="T224" s="2">
        <v>27.1</v>
      </c>
      <c r="U224" s="2">
        <v>26.8</v>
      </c>
      <c r="V224" s="2">
        <v>26.5</v>
      </c>
      <c r="W224" s="2">
        <v>25.2</v>
      </c>
      <c r="X224" s="2">
        <v>24.5</v>
      </c>
      <c r="Y224" s="2">
        <v>24.4</v>
      </c>
      <c r="Z224" s="2">
        <v>23.6</v>
      </c>
      <c r="AA224" s="2">
        <v>21.3</v>
      </c>
      <c r="AC224" s="5">
        <f t="shared" si="4"/>
        <v>23.433333333333337</v>
      </c>
    </row>
    <row r="225" spans="2:29" x14ac:dyDescent="0.25">
      <c r="B225" s="4">
        <v>42590</v>
      </c>
      <c r="C225" s="3">
        <v>221</v>
      </c>
      <c r="D225" s="2">
        <v>20.100000000000001</v>
      </c>
      <c r="E225" s="2">
        <v>19.5</v>
      </c>
      <c r="F225" s="2">
        <v>19.399999999999999</v>
      </c>
      <c r="G225" s="2">
        <v>19.100000000000001</v>
      </c>
      <c r="H225" s="2">
        <v>18.2</v>
      </c>
      <c r="I225" s="2">
        <v>17.8</v>
      </c>
      <c r="J225" s="2">
        <v>17.5</v>
      </c>
      <c r="K225" s="2">
        <v>18.3</v>
      </c>
      <c r="L225" s="2">
        <v>21.2</v>
      </c>
      <c r="M225" s="2">
        <v>25.1</v>
      </c>
      <c r="N225" s="2">
        <v>28.9</v>
      </c>
      <c r="O225" s="2">
        <v>30.2</v>
      </c>
      <c r="P225" s="2">
        <v>30.8</v>
      </c>
      <c r="Q225" s="2">
        <v>30.9</v>
      </c>
      <c r="R225" s="2">
        <v>30.8</v>
      </c>
      <c r="S225" s="2">
        <v>30.1</v>
      </c>
      <c r="T225" s="2">
        <v>30.4</v>
      </c>
      <c r="U225" s="2">
        <v>30.2</v>
      </c>
      <c r="V225" s="2">
        <v>29.8</v>
      </c>
      <c r="W225" s="2">
        <v>28.9</v>
      </c>
      <c r="X225" s="2">
        <v>27.5</v>
      </c>
      <c r="Y225" s="2">
        <v>25.7</v>
      </c>
      <c r="Z225" s="2">
        <v>22.1</v>
      </c>
      <c r="AA225" s="2">
        <v>21.1</v>
      </c>
      <c r="AC225" s="5">
        <f t="shared" si="4"/>
        <v>24.733333333333334</v>
      </c>
    </row>
    <row r="226" spans="2:29" x14ac:dyDescent="0.25">
      <c r="B226" s="4">
        <v>42591</v>
      </c>
      <c r="C226" s="3">
        <v>222</v>
      </c>
      <c r="D226" s="2">
        <v>20.5</v>
      </c>
      <c r="E226" s="2">
        <v>20.100000000000001</v>
      </c>
      <c r="F226" s="2">
        <v>19.2</v>
      </c>
      <c r="G226" s="2">
        <v>19.3</v>
      </c>
      <c r="H226" s="2">
        <v>19.600000000000001</v>
      </c>
      <c r="I226" s="2">
        <v>19.100000000000001</v>
      </c>
      <c r="J226" s="2">
        <v>18.100000000000001</v>
      </c>
      <c r="K226" s="2">
        <v>17.5</v>
      </c>
      <c r="L226" s="2">
        <v>21.6</v>
      </c>
      <c r="M226" s="2">
        <v>24.8</v>
      </c>
      <c r="N226" s="2">
        <v>27.2</v>
      </c>
      <c r="O226" s="2">
        <v>29</v>
      </c>
      <c r="P226" s="2">
        <v>31.1</v>
      </c>
      <c r="Q226" s="2">
        <v>32.4</v>
      </c>
      <c r="R226" s="2">
        <v>32.4</v>
      </c>
      <c r="S226" s="2">
        <v>29.7</v>
      </c>
      <c r="T226" s="2">
        <v>29.7</v>
      </c>
      <c r="U226" s="2">
        <v>28.8</v>
      </c>
      <c r="V226" s="2">
        <v>28</v>
      </c>
      <c r="W226" s="2">
        <v>26.2</v>
      </c>
      <c r="X226" s="2">
        <v>25.4</v>
      </c>
      <c r="Y226" s="2">
        <v>24</v>
      </c>
      <c r="Z226" s="2">
        <v>23.4</v>
      </c>
      <c r="AA226" s="2">
        <v>21.7</v>
      </c>
      <c r="AC226" s="5">
        <f t="shared" si="4"/>
        <v>24.533333333333331</v>
      </c>
    </row>
    <row r="227" spans="2:29" x14ac:dyDescent="0.25">
      <c r="B227" s="4">
        <v>42592</v>
      </c>
      <c r="C227" s="3">
        <v>223</v>
      </c>
      <c r="D227" s="2">
        <v>20.9</v>
      </c>
      <c r="E227" s="2">
        <v>20.399999999999999</v>
      </c>
      <c r="F227" s="2">
        <v>20.3</v>
      </c>
      <c r="G227" s="2">
        <v>21</v>
      </c>
      <c r="H227" s="2">
        <v>20.9</v>
      </c>
      <c r="I227" s="2">
        <v>20</v>
      </c>
      <c r="J227" s="2">
        <v>19.399999999999999</v>
      </c>
      <c r="K227" s="2">
        <v>18.8</v>
      </c>
      <c r="L227" s="2">
        <v>19.7</v>
      </c>
      <c r="M227" s="2">
        <v>21.3</v>
      </c>
      <c r="N227" s="2">
        <v>22.1</v>
      </c>
      <c r="O227" s="2">
        <v>24.2</v>
      </c>
      <c r="P227" s="2">
        <v>25.3</v>
      </c>
      <c r="Q227" s="2">
        <v>26.1</v>
      </c>
      <c r="R227" s="2">
        <v>26.7</v>
      </c>
      <c r="S227" s="2">
        <v>26.7</v>
      </c>
      <c r="T227" s="2">
        <v>26.6</v>
      </c>
      <c r="U227" s="2">
        <v>25.3</v>
      </c>
      <c r="V227" s="2">
        <v>24.4</v>
      </c>
      <c r="W227" s="2">
        <v>24.6</v>
      </c>
      <c r="X227" s="2">
        <v>23.1</v>
      </c>
      <c r="Y227" s="2">
        <v>22.3</v>
      </c>
      <c r="Z227" s="2">
        <v>20</v>
      </c>
      <c r="AA227" s="2">
        <v>18.600000000000001</v>
      </c>
      <c r="AC227" s="5">
        <f t="shared" si="4"/>
        <v>22.44583333333334</v>
      </c>
    </row>
    <row r="228" spans="2:29" x14ac:dyDescent="0.25">
      <c r="B228" s="4">
        <v>42593</v>
      </c>
      <c r="C228" s="3">
        <v>224</v>
      </c>
      <c r="D228" s="2">
        <v>19.399999999999999</v>
      </c>
      <c r="E228" s="2">
        <v>18.899999999999999</v>
      </c>
      <c r="F228" s="2">
        <v>18.5</v>
      </c>
      <c r="G228" s="2">
        <v>19.3</v>
      </c>
      <c r="H228" s="2">
        <v>18.2</v>
      </c>
      <c r="I228" s="2">
        <v>16.8</v>
      </c>
      <c r="J228" s="2">
        <v>14.7</v>
      </c>
      <c r="K228" s="2">
        <v>13.6</v>
      </c>
      <c r="L228" s="2">
        <v>17</v>
      </c>
      <c r="M228" s="2">
        <v>20.399999999999999</v>
      </c>
      <c r="N228" s="2">
        <v>22.1</v>
      </c>
      <c r="O228" s="2">
        <v>24.2</v>
      </c>
      <c r="P228" s="2">
        <v>25.7</v>
      </c>
      <c r="Q228" s="2">
        <v>26.9</v>
      </c>
      <c r="R228" s="2">
        <v>27.6</v>
      </c>
      <c r="S228" s="2">
        <v>27</v>
      </c>
      <c r="T228" s="2">
        <v>26.4</v>
      </c>
      <c r="U228" s="2">
        <v>26</v>
      </c>
      <c r="V228" s="2">
        <v>25.4</v>
      </c>
      <c r="W228" s="2">
        <v>24.7</v>
      </c>
      <c r="X228" s="2">
        <v>23.8</v>
      </c>
      <c r="Y228" s="2">
        <v>20.3</v>
      </c>
      <c r="Z228" s="2">
        <v>17.600000000000001</v>
      </c>
      <c r="AA228" s="2">
        <v>17.7</v>
      </c>
      <c r="AC228" s="5">
        <f t="shared" si="4"/>
        <v>21.341666666666669</v>
      </c>
    </row>
    <row r="229" spans="2:29" x14ac:dyDescent="0.25">
      <c r="B229" s="4">
        <v>42594</v>
      </c>
      <c r="C229" s="3">
        <v>225</v>
      </c>
      <c r="D229" s="2">
        <v>17.3</v>
      </c>
      <c r="E229" s="2">
        <v>17.2</v>
      </c>
      <c r="F229" s="2">
        <v>16.600000000000001</v>
      </c>
      <c r="G229" s="2">
        <v>16.899999999999999</v>
      </c>
      <c r="H229" s="2">
        <v>16.100000000000001</v>
      </c>
      <c r="I229" s="2">
        <v>15.9</v>
      </c>
      <c r="J229" s="2">
        <v>15.4</v>
      </c>
      <c r="K229" s="2">
        <v>14.4</v>
      </c>
      <c r="L229" s="2">
        <v>19.8</v>
      </c>
      <c r="M229" s="2">
        <v>22.3</v>
      </c>
      <c r="N229" s="2">
        <v>24.5</v>
      </c>
      <c r="O229" s="2">
        <v>26.3</v>
      </c>
      <c r="P229" s="2">
        <v>28.1</v>
      </c>
      <c r="Q229" s="2">
        <v>27.5</v>
      </c>
      <c r="R229" s="2">
        <v>26.7</v>
      </c>
      <c r="S229" s="2">
        <v>26.5</v>
      </c>
      <c r="T229" s="2">
        <v>26.6</v>
      </c>
      <c r="U229" s="2">
        <v>26.3</v>
      </c>
      <c r="V229" s="2">
        <v>25.9</v>
      </c>
      <c r="W229" s="2">
        <v>25.3</v>
      </c>
      <c r="X229" s="2">
        <v>24.3</v>
      </c>
      <c r="Y229" s="2">
        <v>23.3</v>
      </c>
      <c r="Z229" s="2">
        <v>21.4</v>
      </c>
      <c r="AA229" s="2">
        <v>19.7</v>
      </c>
      <c r="AC229" s="5">
        <f t="shared" si="4"/>
        <v>21.845833333333335</v>
      </c>
    </row>
    <row r="230" spans="2:29" x14ac:dyDescent="0.25">
      <c r="B230" s="4">
        <v>42595</v>
      </c>
      <c r="C230" s="3">
        <v>226</v>
      </c>
      <c r="D230" s="2">
        <v>19</v>
      </c>
      <c r="E230" s="2">
        <v>19</v>
      </c>
      <c r="F230" s="2">
        <v>18.7</v>
      </c>
      <c r="G230" s="2">
        <v>18.600000000000001</v>
      </c>
      <c r="H230" s="2">
        <v>18.2</v>
      </c>
      <c r="I230" s="2">
        <v>17.3</v>
      </c>
      <c r="J230" s="2">
        <v>16.5</v>
      </c>
      <c r="K230" s="2">
        <v>16.399999999999999</v>
      </c>
      <c r="L230" s="2">
        <v>19.5</v>
      </c>
      <c r="M230" s="2">
        <v>23.5</v>
      </c>
      <c r="N230" s="2">
        <v>25.7</v>
      </c>
      <c r="O230" s="2">
        <v>26.3</v>
      </c>
      <c r="P230" s="2">
        <v>26.5</v>
      </c>
      <c r="Q230" s="2">
        <v>27</v>
      </c>
      <c r="R230" s="2">
        <v>27</v>
      </c>
      <c r="S230" s="2">
        <v>26.5</v>
      </c>
      <c r="T230" s="2">
        <v>26.8</v>
      </c>
      <c r="U230" s="2">
        <v>26.5</v>
      </c>
      <c r="V230" s="2">
        <v>25.6</v>
      </c>
      <c r="W230" s="2">
        <v>24.9</v>
      </c>
      <c r="X230" s="2">
        <v>23.5</v>
      </c>
      <c r="Y230" s="2">
        <v>22.1</v>
      </c>
      <c r="Z230" s="2">
        <v>20.7</v>
      </c>
      <c r="AA230" s="2">
        <v>19.399999999999999</v>
      </c>
      <c r="AC230" s="5">
        <f t="shared" si="4"/>
        <v>22.3</v>
      </c>
    </row>
    <row r="231" spans="2:29" x14ac:dyDescent="0.25">
      <c r="B231" s="4">
        <v>42596</v>
      </c>
      <c r="C231" s="3">
        <v>227</v>
      </c>
      <c r="D231" s="2">
        <v>18.899999999999999</v>
      </c>
      <c r="E231" s="2">
        <v>18.899999999999999</v>
      </c>
      <c r="F231" s="2">
        <v>18.3</v>
      </c>
      <c r="G231" s="2">
        <v>18.3</v>
      </c>
      <c r="H231" s="2">
        <v>17.399999999999999</v>
      </c>
      <c r="I231" s="2">
        <v>17.600000000000001</v>
      </c>
      <c r="J231" s="2">
        <v>17.600000000000001</v>
      </c>
      <c r="K231" s="2">
        <v>18.7</v>
      </c>
      <c r="L231" s="2">
        <v>20.5</v>
      </c>
      <c r="M231" s="2">
        <v>23.4</v>
      </c>
      <c r="N231" s="2">
        <v>23.8</v>
      </c>
      <c r="O231" s="2">
        <v>25.9</v>
      </c>
      <c r="P231" s="2">
        <v>26.9</v>
      </c>
      <c r="Q231" s="2">
        <v>27.2</v>
      </c>
      <c r="R231" s="2">
        <v>27</v>
      </c>
      <c r="S231" s="2">
        <v>27.1</v>
      </c>
      <c r="T231" s="2">
        <v>27.3</v>
      </c>
      <c r="U231" s="2">
        <v>27</v>
      </c>
      <c r="V231" s="2">
        <v>26.6</v>
      </c>
      <c r="W231" s="2">
        <v>26</v>
      </c>
      <c r="X231" s="2">
        <v>24.8</v>
      </c>
      <c r="Y231" s="2">
        <v>22.8</v>
      </c>
      <c r="Z231" s="2">
        <v>20.2</v>
      </c>
      <c r="AA231" s="2">
        <v>19.5</v>
      </c>
      <c r="AC231" s="5">
        <f t="shared" si="4"/>
        <v>22.570833333333336</v>
      </c>
    </row>
    <row r="232" spans="2:29" x14ac:dyDescent="0.25">
      <c r="B232" s="4">
        <v>42597</v>
      </c>
      <c r="C232" s="3">
        <v>228</v>
      </c>
      <c r="D232" s="2">
        <v>18.899999999999999</v>
      </c>
      <c r="E232" s="2">
        <v>18</v>
      </c>
      <c r="F232" s="2">
        <v>17.399999999999999</v>
      </c>
      <c r="G232" s="2">
        <v>17.5</v>
      </c>
      <c r="H232" s="2">
        <v>17.2</v>
      </c>
      <c r="I232" s="2">
        <v>17.7</v>
      </c>
      <c r="J232" s="2">
        <v>16.899999999999999</v>
      </c>
      <c r="K232" s="2">
        <v>16</v>
      </c>
      <c r="L232" s="2">
        <v>19.100000000000001</v>
      </c>
      <c r="M232" s="2">
        <v>24.4</v>
      </c>
      <c r="N232" s="2">
        <v>25</v>
      </c>
      <c r="O232" s="2">
        <v>26.3</v>
      </c>
      <c r="P232" s="2">
        <v>27.3</v>
      </c>
      <c r="Q232" s="2">
        <v>27.9</v>
      </c>
      <c r="R232" s="2">
        <v>28</v>
      </c>
      <c r="S232" s="2">
        <v>27.5</v>
      </c>
      <c r="T232" s="2">
        <v>27.5</v>
      </c>
      <c r="U232" s="2">
        <v>27.5</v>
      </c>
      <c r="V232" s="2">
        <v>27.1</v>
      </c>
      <c r="W232" s="2">
        <v>26.1</v>
      </c>
      <c r="X232" s="2">
        <v>24.3</v>
      </c>
      <c r="Y232" s="2">
        <v>23.9</v>
      </c>
      <c r="Z232" s="2">
        <v>23.7</v>
      </c>
      <c r="AA232" s="2">
        <v>23.4</v>
      </c>
      <c r="AC232" s="5">
        <f t="shared" si="4"/>
        <v>22.858333333333334</v>
      </c>
    </row>
    <row r="233" spans="2:29" x14ac:dyDescent="0.25">
      <c r="B233" s="4">
        <v>42598</v>
      </c>
      <c r="C233" s="3">
        <v>229</v>
      </c>
      <c r="D233" s="2">
        <v>22.9</v>
      </c>
      <c r="E233" s="2">
        <v>22.7</v>
      </c>
      <c r="F233" s="2">
        <v>22.6</v>
      </c>
      <c r="G233" s="2">
        <v>22.3</v>
      </c>
      <c r="H233" s="2">
        <v>21</v>
      </c>
      <c r="I233" s="2">
        <v>20.2</v>
      </c>
      <c r="J233" s="2">
        <v>20</v>
      </c>
      <c r="K233" s="2">
        <v>19.7</v>
      </c>
      <c r="L233" s="2">
        <v>21.3</v>
      </c>
      <c r="M233" s="2">
        <v>23</v>
      </c>
      <c r="N233" s="2">
        <v>24.8</v>
      </c>
      <c r="O233" s="2">
        <v>26.3</v>
      </c>
      <c r="P233" s="2">
        <v>26.8</v>
      </c>
      <c r="Q233" s="2">
        <v>27.2</v>
      </c>
      <c r="R233" s="2">
        <v>25.7</v>
      </c>
      <c r="S233" s="2">
        <v>26.8</v>
      </c>
      <c r="T233" s="2">
        <v>26.2</v>
      </c>
      <c r="U233" s="2">
        <v>26.8</v>
      </c>
      <c r="V233" s="2">
        <v>25.8</v>
      </c>
      <c r="W233" s="2">
        <v>25.9</v>
      </c>
      <c r="X233" s="2">
        <v>25.3</v>
      </c>
      <c r="Y233" s="2">
        <v>24.1</v>
      </c>
      <c r="Z233" s="2">
        <v>23.4</v>
      </c>
      <c r="AA233" s="2">
        <v>22.1</v>
      </c>
      <c r="AC233" s="5">
        <f t="shared" si="4"/>
        <v>23.870833333333334</v>
      </c>
    </row>
    <row r="234" spans="2:29" x14ac:dyDescent="0.25">
      <c r="B234" s="4">
        <v>42599</v>
      </c>
      <c r="C234" s="3">
        <v>230</v>
      </c>
      <c r="D234" s="2">
        <v>21.5</v>
      </c>
      <c r="E234" s="2">
        <v>21.7</v>
      </c>
      <c r="F234" s="2">
        <v>21.3</v>
      </c>
      <c r="G234" s="2">
        <v>20.7</v>
      </c>
      <c r="H234" s="2">
        <v>20.6</v>
      </c>
      <c r="I234" s="2">
        <v>20.399999999999999</v>
      </c>
      <c r="J234" s="2">
        <v>19.899999999999999</v>
      </c>
      <c r="K234" s="2">
        <v>19.100000000000001</v>
      </c>
      <c r="L234" s="2">
        <v>21.9</v>
      </c>
      <c r="M234" s="2">
        <v>24.7</v>
      </c>
      <c r="N234" s="2">
        <v>26.5</v>
      </c>
      <c r="O234" s="2">
        <v>28.3</v>
      </c>
      <c r="P234" s="2">
        <v>28.7</v>
      </c>
      <c r="Q234" s="2">
        <v>28.7</v>
      </c>
      <c r="R234" s="2">
        <v>28.5</v>
      </c>
      <c r="S234" s="2">
        <v>28.5</v>
      </c>
      <c r="T234" s="2">
        <v>28.1</v>
      </c>
      <c r="U234" s="2">
        <v>27.8</v>
      </c>
      <c r="V234" s="2">
        <v>27.8</v>
      </c>
      <c r="W234" s="2">
        <v>27.3</v>
      </c>
      <c r="X234" s="2">
        <v>26</v>
      </c>
      <c r="Y234" s="2">
        <v>24.9</v>
      </c>
      <c r="Z234" s="2">
        <v>24.2</v>
      </c>
      <c r="AA234" s="2">
        <v>24.1</v>
      </c>
      <c r="AC234" s="5">
        <f t="shared" si="4"/>
        <v>24.633333333333336</v>
      </c>
    </row>
    <row r="235" spans="2:29" x14ac:dyDescent="0.25">
      <c r="B235" s="4">
        <v>42600</v>
      </c>
      <c r="C235" s="3">
        <v>231</v>
      </c>
      <c r="D235" s="2">
        <v>23.6</v>
      </c>
      <c r="E235" s="2">
        <v>23.1</v>
      </c>
      <c r="F235" s="2">
        <v>22.9</v>
      </c>
      <c r="G235" s="2">
        <v>22.4</v>
      </c>
      <c r="H235" s="2">
        <v>21.5</v>
      </c>
      <c r="I235" s="2">
        <v>21.8</v>
      </c>
      <c r="J235" s="2">
        <v>21.8</v>
      </c>
      <c r="K235" s="2">
        <v>21.6</v>
      </c>
      <c r="L235" s="2">
        <v>22.6</v>
      </c>
      <c r="M235" s="2">
        <v>25.4</v>
      </c>
      <c r="N235" s="2">
        <v>26.6</v>
      </c>
      <c r="O235" s="2">
        <v>27.9</v>
      </c>
      <c r="P235" s="2">
        <v>28.2</v>
      </c>
      <c r="Q235" s="2">
        <v>28.4</v>
      </c>
      <c r="R235" s="2">
        <v>28.1</v>
      </c>
      <c r="S235" s="2">
        <v>27.7</v>
      </c>
      <c r="T235" s="2">
        <v>27.6</v>
      </c>
      <c r="U235" s="2">
        <v>27.5</v>
      </c>
      <c r="V235" s="2">
        <v>27</v>
      </c>
      <c r="W235" s="2">
        <v>26.6</v>
      </c>
      <c r="X235" s="2">
        <v>25.3</v>
      </c>
      <c r="Y235" s="2">
        <v>24.9</v>
      </c>
      <c r="Z235" s="2">
        <v>24.7</v>
      </c>
      <c r="AA235" s="2">
        <v>24.5</v>
      </c>
      <c r="AC235" s="5">
        <f t="shared" si="4"/>
        <v>25.070833333333336</v>
      </c>
    </row>
    <row r="236" spans="2:29" x14ac:dyDescent="0.25">
      <c r="B236" s="4">
        <v>42601</v>
      </c>
      <c r="C236" s="3">
        <v>232</v>
      </c>
      <c r="D236" s="2">
        <v>24.3</v>
      </c>
      <c r="E236" s="2">
        <v>23.8</v>
      </c>
      <c r="F236" s="2">
        <v>23.2</v>
      </c>
      <c r="G236" s="2">
        <v>21.9</v>
      </c>
      <c r="H236" s="2">
        <v>21.6</v>
      </c>
      <c r="I236" s="2">
        <v>22.7</v>
      </c>
      <c r="J236" s="2">
        <v>22.8</v>
      </c>
      <c r="K236" s="2">
        <v>22.9</v>
      </c>
      <c r="L236" s="2">
        <v>23.3</v>
      </c>
      <c r="M236" s="2">
        <v>23.8</v>
      </c>
      <c r="N236" s="2">
        <v>24.9</v>
      </c>
      <c r="O236" s="2">
        <v>26.2</v>
      </c>
      <c r="P236" s="2">
        <v>27.2</v>
      </c>
      <c r="Q236" s="2">
        <v>28.1</v>
      </c>
      <c r="R236" s="2">
        <v>28.1</v>
      </c>
      <c r="S236" s="2">
        <v>28.6</v>
      </c>
      <c r="T236" s="2">
        <v>28.6</v>
      </c>
      <c r="U236" s="2">
        <v>28.6</v>
      </c>
      <c r="V236" s="2">
        <v>28.4</v>
      </c>
      <c r="W236" s="2">
        <v>27.1</v>
      </c>
      <c r="X236" s="2">
        <v>26.1</v>
      </c>
      <c r="Y236" s="2">
        <v>25</v>
      </c>
      <c r="Z236" s="2">
        <v>23.9</v>
      </c>
      <c r="AA236" s="2">
        <v>24.7</v>
      </c>
      <c r="AC236" s="5">
        <f t="shared" si="4"/>
        <v>25.241666666666674</v>
      </c>
    </row>
    <row r="237" spans="2:29" x14ac:dyDescent="0.25">
      <c r="B237" s="4">
        <v>42602</v>
      </c>
      <c r="C237" s="3">
        <v>233</v>
      </c>
      <c r="D237" s="2">
        <v>24.7</v>
      </c>
      <c r="E237" s="2">
        <v>24.6</v>
      </c>
      <c r="F237" s="2">
        <v>24</v>
      </c>
      <c r="G237" s="2">
        <v>24.1</v>
      </c>
      <c r="H237" s="2">
        <v>23.7</v>
      </c>
      <c r="I237" s="2">
        <v>23.4</v>
      </c>
      <c r="J237" s="2">
        <v>22.9</v>
      </c>
      <c r="K237" s="2">
        <v>22.4</v>
      </c>
      <c r="L237" s="2">
        <v>23.7</v>
      </c>
      <c r="M237" s="2">
        <v>25.5</v>
      </c>
      <c r="N237" s="2">
        <v>27.3</v>
      </c>
      <c r="O237" s="2">
        <v>27.4</v>
      </c>
      <c r="P237" s="2">
        <v>27.7</v>
      </c>
      <c r="Q237" s="2">
        <v>28.7</v>
      </c>
      <c r="R237" s="2">
        <v>27.1</v>
      </c>
      <c r="S237" s="2">
        <v>26.3</v>
      </c>
      <c r="T237" s="2">
        <v>26.4</v>
      </c>
      <c r="U237" s="2">
        <v>26</v>
      </c>
      <c r="V237" s="2">
        <v>25.9</v>
      </c>
      <c r="W237" s="2">
        <v>25.5</v>
      </c>
      <c r="X237" s="2">
        <v>25</v>
      </c>
      <c r="Y237" s="2">
        <v>24.5</v>
      </c>
      <c r="Z237" s="2">
        <v>24.3</v>
      </c>
      <c r="AA237" s="2">
        <v>24.2</v>
      </c>
      <c r="AC237" s="5">
        <f t="shared" si="4"/>
        <v>25.220833333333331</v>
      </c>
    </row>
    <row r="238" spans="2:29" x14ac:dyDescent="0.25">
      <c r="B238" s="4">
        <v>42603</v>
      </c>
      <c r="C238" s="3">
        <v>234</v>
      </c>
      <c r="D238" s="2">
        <v>24.1</v>
      </c>
      <c r="E238" s="2">
        <v>24.2</v>
      </c>
      <c r="F238" s="2">
        <v>22.8</v>
      </c>
      <c r="G238" s="2">
        <v>22.3</v>
      </c>
      <c r="H238" s="2">
        <v>21.5</v>
      </c>
      <c r="I238" s="2">
        <v>20.5</v>
      </c>
      <c r="J238" s="2">
        <v>18.399999999999999</v>
      </c>
      <c r="K238" s="2">
        <v>18.8</v>
      </c>
      <c r="L238" s="2">
        <v>20.3</v>
      </c>
      <c r="M238" s="2">
        <v>22.2</v>
      </c>
      <c r="N238" s="2">
        <v>24.2</v>
      </c>
      <c r="O238" s="2">
        <v>25.2</v>
      </c>
      <c r="P238" s="2">
        <v>26.9</v>
      </c>
      <c r="Q238" s="2">
        <v>28.1</v>
      </c>
      <c r="R238" s="2">
        <v>28.6</v>
      </c>
      <c r="S238" s="2">
        <v>29.8</v>
      </c>
      <c r="T238" s="2">
        <v>28.3</v>
      </c>
      <c r="U238" s="2">
        <v>27.2</v>
      </c>
      <c r="V238" s="2">
        <v>26.1</v>
      </c>
      <c r="W238" s="2">
        <v>25.4</v>
      </c>
      <c r="X238" s="2">
        <v>24.2</v>
      </c>
      <c r="Y238" s="2">
        <v>23.7</v>
      </c>
      <c r="Z238" s="2">
        <v>24</v>
      </c>
      <c r="AA238" s="2">
        <v>23.9</v>
      </c>
      <c r="AC238" s="5">
        <f t="shared" si="4"/>
        <v>24.195833333333336</v>
      </c>
    </row>
    <row r="239" spans="2:29" x14ac:dyDescent="0.25">
      <c r="B239" s="4">
        <v>42604</v>
      </c>
      <c r="C239" s="3">
        <v>235</v>
      </c>
      <c r="D239" s="2">
        <v>23.8</v>
      </c>
      <c r="E239" s="2">
        <v>23</v>
      </c>
      <c r="F239" s="2">
        <v>21.3</v>
      </c>
      <c r="G239" s="2">
        <v>21</v>
      </c>
      <c r="H239" s="2">
        <v>19.899999999999999</v>
      </c>
      <c r="I239" s="2">
        <v>18.899999999999999</v>
      </c>
      <c r="J239" s="2">
        <v>17.600000000000001</v>
      </c>
      <c r="K239" s="2">
        <v>16.7</v>
      </c>
      <c r="L239" s="2">
        <v>20.2</v>
      </c>
      <c r="M239" s="2">
        <v>23.4</v>
      </c>
      <c r="N239" s="2">
        <v>26.2</v>
      </c>
      <c r="O239" s="2">
        <v>27.7</v>
      </c>
      <c r="P239" s="2">
        <v>28.6</v>
      </c>
      <c r="Q239" s="2">
        <v>28.9</v>
      </c>
      <c r="R239" s="2">
        <v>28.4</v>
      </c>
      <c r="S239" s="2">
        <v>27.5</v>
      </c>
      <c r="T239" s="2">
        <v>27.8</v>
      </c>
      <c r="U239" s="2">
        <v>27.6</v>
      </c>
      <c r="V239" s="2">
        <v>27.3</v>
      </c>
      <c r="W239" s="2">
        <v>26.5</v>
      </c>
      <c r="X239" s="2">
        <v>25</v>
      </c>
      <c r="Y239" s="2">
        <v>23.8</v>
      </c>
      <c r="Z239" s="2">
        <v>23.5</v>
      </c>
      <c r="AA239" s="2">
        <v>21.5</v>
      </c>
      <c r="AC239" s="5">
        <f t="shared" si="4"/>
        <v>24.004166666666666</v>
      </c>
    </row>
    <row r="240" spans="2:29" x14ac:dyDescent="0.25">
      <c r="B240" s="4">
        <v>42605</v>
      </c>
      <c r="C240" s="3">
        <v>236</v>
      </c>
      <c r="D240" s="2">
        <v>21.8</v>
      </c>
      <c r="E240" s="2">
        <v>20.9</v>
      </c>
      <c r="F240" s="2">
        <v>20</v>
      </c>
      <c r="G240" s="2">
        <v>19.7</v>
      </c>
      <c r="H240" s="2">
        <v>19.8</v>
      </c>
      <c r="I240" s="2">
        <v>19</v>
      </c>
      <c r="J240" s="2">
        <v>18.2</v>
      </c>
      <c r="K240" s="2">
        <v>17.3</v>
      </c>
      <c r="L240" s="2">
        <v>20.2</v>
      </c>
      <c r="M240" s="2">
        <v>24.6</v>
      </c>
      <c r="N240" s="2">
        <v>26.4</v>
      </c>
      <c r="O240" s="2">
        <v>27.7</v>
      </c>
      <c r="P240" s="2">
        <v>28.5</v>
      </c>
      <c r="Q240" s="2">
        <v>28.5</v>
      </c>
      <c r="R240" s="2">
        <v>27.9</v>
      </c>
      <c r="S240" s="2">
        <v>27.5</v>
      </c>
      <c r="T240" s="2">
        <v>27.6</v>
      </c>
      <c r="U240" s="2">
        <v>27.4</v>
      </c>
      <c r="V240" s="2">
        <v>26.8</v>
      </c>
      <c r="W240" s="2">
        <v>25.9</v>
      </c>
      <c r="X240" s="2">
        <v>24.9</v>
      </c>
      <c r="Y240" s="2">
        <v>23</v>
      </c>
      <c r="Z240" s="2">
        <v>20</v>
      </c>
      <c r="AA240" s="2">
        <v>19.5</v>
      </c>
      <c r="AC240" s="5">
        <f t="shared" si="4"/>
        <v>23.462499999999995</v>
      </c>
    </row>
    <row r="241" spans="2:29" x14ac:dyDescent="0.25">
      <c r="B241" s="4">
        <v>42606</v>
      </c>
      <c r="C241" s="3">
        <v>237</v>
      </c>
      <c r="D241" s="2">
        <v>18.5</v>
      </c>
      <c r="E241" s="2">
        <v>17.2</v>
      </c>
      <c r="F241" s="2">
        <v>17</v>
      </c>
      <c r="G241" s="2">
        <v>15.9</v>
      </c>
      <c r="H241" s="2">
        <v>16</v>
      </c>
      <c r="I241" s="2">
        <v>15.5</v>
      </c>
      <c r="J241" s="2">
        <v>14.9</v>
      </c>
      <c r="K241" s="2">
        <v>15.7</v>
      </c>
      <c r="L241" s="2">
        <v>19.100000000000001</v>
      </c>
      <c r="M241" s="2">
        <v>23.3</v>
      </c>
      <c r="N241" s="2">
        <v>26.3</v>
      </c>
      <c r="O241" s="2">
        <v>27.8</v>
      </c>
      <c r="P241" s="2">
        <v>28.8</v>
      </c>
      <c r="Q241" s="2">
        <v>29.5</v>
      </c>
      <c r="R241" s="2">
        <v>29.3</v>
      </c>
      <c r="S241" s="2">
        <v>29</v>
      </c>
      <c r="T241" s="2">
        <v>29.4</v>
      </c>
      <c r="U241" s="2">
        <v>29.6</v>
      </c>
      <c r="V241" s="2">
        <v>29.9</v>
      </c>
      <c r="W241" s="2">
        <v>28.9</v>
      </c>
      <c r="X241" s="2">
        <v>26.3</v>
      </c>
      <c r="Y241" s="2">
        <v>22.2</v>
      </c>
      <c r="Z241" s="2">
        <v>18.899999999999999</v>
      </c>
      <c r="AA241" s="2">
        <v>18.2</v>
      </c>
      <c r="AC241" s="5">
        <f t="shared" si="4"/>
        <v>22.8</v>
      </c>
    </row>
    <row r="242" spans="2:29" x14ac:dyDescent="0.25">
      <c r="B242" s="4">
        <v>42607</v>
      </c>
      <c r="C242" s="3">
        <v>238</v>
      </c>
      <c r="D242" s="2">
        <v>18.100000000000001</v>
      </c>
      <c r="E242" s="2">
        <v>17.7</v>
      </c>
      <c r="F242" s="2">
        <v>17.2</v>
      </c>
      <c r="G242" s="2">
        <v>17</v>
      </c>
      <c r="H242" s="2">
        <v>16.5</v>
      </c>
      <c r="I242" s="2">
        <v>17.100000000000001</v>
      </c>
      <c r="J242" s="2">
        <v>15.8</v>
      </c>
      <c r="K242" s="2">
        <v>15.6</v>
      </c>
      <c r="L242" s="2">
        <v>19.2</v>
      </c>
      <c r="M242" s="2">
        <v>24.5</v>
      </c>
      <c r="N242" s="2">
        <v>27.6</v>
      </c>
      <c r="O242" s="2">
        <v>29.1</v>
      </c>
      <c r="P242" s="2">
        <v>29.7</v>
      </c>
      <c r="Q242" s="2">
        <v>29.2</v>
      </c>
      <c r="R242" s="2">
        <v>28.6</v>
      </c>
      <c r="S242" s="2">
        <v>28.2</v>
      </c>
      <c r="T242" s="2">
        <v>28.5</v>
      </c>
      <c r="U242" s="2">
        <v>28.6</v>
      </c>
      <c r="V242" s="2">
        <v>27.7</v>
      </c>
      <c r="W242" s="2">
        <v>27.1</v>
      </c>
      <c r="X242" s="2">
        <v>25.6</v>
      </c>
      <c r="Y242" s="2">
        <v>23.3</v>
      </c>
      <c r="Z242" s="2">
        <v>20.8</v>
      </c>
      <c r="AA242" s="2">
        <v>19.7</v>
      </c>
      <c r="AC242" s="5">
        <f t="shared" si="4"/>
        <v>23.016666666666669</v>
      </c>
    </row>
    <row r="243" spans="2:29" x14ac:dyDescent="0.25">
      <c r="B243" s="4">
        <v>42608</v>
      </c>
      <c r="C243" s="3">
        <v>239</v>
      </c>
      <c r="D243" s="2">
        <v>18.899999999999999</v>
      </c>
      <c r="E243" s="2">
        <v>18.600000000000001</v>
      </c>
      <c r="F243" s="2">
        <v>18.5</v>
      </c>
      <c r="G243" s="2">
        <v>18.5</v>
      </c>
      <c r="H243" s="2">
        <v>17.899999999999999</v>
      </c>
      <c r="I243" s="2">
        <v>16.7</v>
      </c>
      <c r="J243" s="2">
        <v>16.100000000000001</v>
      </c>
      <c r="K243" s="2">
        <v>16</v>
      </c>
      <c r="L243" s="2">
        <v>18.8</v>
      </c>
      <c r="M243" s="2">
        <v>23.1</v>
      </c>
      <c r="N243" s="2">
        <v>25.1</v>
      </c>
      <c r="O243" s="2">
        <v>26.9</v>
      </c>
      <c r="P243" s="2">
        <v>27.1</v>
      </c>
      <c r="Q243" s="2">
        <v>27.4</v>
      </c>
      <c r="R243" s="2">
        <v>27.6</v>
      </c>
      <c r="S243" s="2">
        <v>27.4</v>
      </c>
      <c r="T243" s="2">
        <v>27.5</v>
      </c>
      <c r="U243" s="2">
        <v>27.2</v>
      </c>
      <c r="V243" s="2">
        <v>26.6</v>
      </c>
      <c r="W243" s="2">
        <v>26</v>
      </c>
      <c r="X243" s="2">
        <v>24.6</v>
      </c>
      <c r="Y243" s="2">
        <v>22.9</v>
      </c>
      <c r="Z243" s="2">
        <v>19.899999999999999</v>
      </c>
      <c r="AA243" s="2">
        <v>19.5</v>
      </c>
      <c r="AC243" s="5">
        <f t="shared" si="4"/>
        <v>22.450000000000003</v>
      </c>
    </row>
    <row r="244" spans="2:29" x14ac:dyDescent="0.25">
      <c r="B244" s="4">
        <v>42609</v>
      </c>
      <c r="C244" s="3">
        <v>240</v>
      </c>
      <c r="D244" s="2">
        <v>20.3</v>
      </c>
      <c r="E244" s="2">
        <v>19.2</v>
      </c>
      <c r="F244" s="2">
        <v>19.5</v>
      </c>
      <c r="G244" s="2">
        <v>18.7</v>
      </c>
      <c r="H244" s="2">
        <v>18.7</v>
      </c>
      <c r="I244" s="2">
        <v>18.899999999999999</v>
      </c>
      <c r="J244" s="2">
        <v>19.399999999999999</v>
      </c>
      <c r="K244" s="2">
        <v>19.8</v>
      </c>
      <c r="L244" s="2">
        <v>20.399999999999999</v>
      </c>
      <c r="M244" s="2">
        <v>23</v>
      </c>
      <c r="N244" s="2">
        <v>25.1</v>
      </c>
      <c r="O244" s="2">
        <v>25.7</v>
      </c>
      <c r="P244" s="2">
        <v>26.4</v>
      </c>
      <c r="Q244" s="2">
        <v>27.4</v>
      </c>
      <c r="R244" s="2">
        <v>27.6</v>
      </c>
      <c r="S244" s="2">
        <v>27.6</v>
      </c>
      <c r="T244" s="2">
        <v>27.6</v>
      </c>
      <c r="U244" s="2">
        <v>27</v>
      </c>
      <c r="V244" s="2">
        <v>27</v>
      </c>
      <c r="W244" s="2">
        <v>26.1</v>
      </c>
      <c r="X244" s="2">
        <v>25</v>
      </c>
      <c r="Y244" s="2">
        <v>24.1</v>
      </c>
      <c r="Z244" s="2">
        <v>22.6</v>
      </c>
      <c r="AA244" s="2">
        <v>21.3</v>
      </c>
      <c r="AC244" s="5">
        <f t="shared" si="4"/>
        <v>23.266666666666669</v>
      </c>
    </row>
    <row r="245" spans="2:29" x14ac:dyDescent="0.25">
      <c r="B245" s="4">
        <v>42610</v>
      </c>
      <c r="C245" s="3">
        <v>241</v>
      </c>
      <c r="D245" s="2">
        <v>21.8</v>
      </c>
      <c r="E245" s="2">
        <v>21.5</v>
      </c>
      <c r="F245" s="2">
        <v>20.9</v>
      </c>
      <c r="G245" s="2">
        <v>20.7</v>
      </c>
      <c r="H245" s="2">
        <v>20.8</v>
      </c>
      <c r="I245" s="2">
        <v>20.7</v>
      </c>
      <c r="J245" s="2">
        <v>20.5</v>
      </c>
      <c r="K245" s="2">
        <v>20.2</v>
      </c>
      <c r="L245" s="2">
        <v>20.9</v>
      </c>
      <c r="M245" s="2">
        <v>23.8</v>
      </c>
      <c r="N245" s="2">
        <v>25.5</v>
      </c>
      <c r="O245" s="2">
        <v>26.1</v>
      </c>
      <c r="P245" s="2">
        <v>26.3</v>
      </c>
      <c r="Q245" s="2">
        <v>26.6</v>
      </c>
      <c r="R245" s="2">
        <v>27.3</v>
      </c>
      <c r="S245" s="2">
        <v>27.6</v>
      </c>
      <c r="T245" s="2">
        <v>27</v>
      </c>
      <c r="U245" s="2">
        <v>26.5</v>
      </c>
      <c r="V245" s="2">
        <v>26.6</v>
      </c>
      <c r="W245" s="2">
        <v>25.7</v>
      </c>
      <c r="X245" s="2">
        <v>25.3</v>
      </c>
      <c r="Y245" s="2">
        <v>25</v>
      </c>
      <c r="Z245" s="2">
        <v>24.6</v>
      </c>
      <c r="AA245" s="2">
        <v>23.5</v>
      </c>
      <c r="AC245" s="5">
        <f t="shared" si="4"/>
        <v>23.975000000000005</v>
      </c>
    </row>
    <row r="246" spans="2:29" x14ac:dyDescent="0.25">
      <c r="B246" s="4">
        <v>42611</v>
      </c>
      <c r="C246" s="3">
        <v>242</v>
      </c>
      <c r="D246" s="2">
        <v>23.4</v>
      </c>
      <c r="E246" s="2">
        <v>24</v>
      </c>
      <c r="F246" s="2">
        <v>22.9</v>
      </c>
      <c r="G246" s="2">
        <v>22.6</v>
      </c>
      <c r="H246" s="2">
        <v>23.2</v>
      </c>
      <c r="I246" s="2">
        <v>23.5</v>
      </c>
      <c r="J246" s="2">
        <v>21.8</v>
      </c>
      <c r="K246" s="2">
        <v>21.3</v>
      </c>
      <c r="L246" s="2">
        <v>21.7</v>
      </c>
      <c r="M246" s="2">
        <v>22.3</v>
      </c>
      <c r="N246" s="2">
        <v>23.2</v>
      </c>
      <c r="O246" s="2">
        <v>23.6</v>
      </c>
      <c r="P246" s="2">
        <v>24.4</v>
      </c>
      <c r="Q246" s="2">
        <v>24.7</v>
      </c>
      <c r="R246" s="2">
        <v>23.2</v>
      </c>
      <c r="S246" s="2">
        <v>23.3</v>
      </c>
      <c r="T246" s="2">
        <v>23.7</v>
      </c>
      <c r="U246" s="2">
        <v>24.4</v>
      </c>
      <c r="V246" s="2">
        <v>25.6</v>
      </c>
      <c r="W246" s="2">
        <v>24.8</v>
      </c>
      <c r="X246" s="2">
        <v>24.3</v>
      </c>
      <c r="Y246" s="2">
        <v>23.9</v>
      </c>
      <c r="Z246" s="2">
        <v>22.8</v>
      </c>
      <c r="AA246" s="2">
        <v>22.5</v>
      </c>
      <c r="AC246" s="5">
        <f t="shared" si="4"/>
        <v>23.379166666666666</v>
      </c>
    </row>
    <row r="247" spans="2:29" x14ac:dyDescent="0.25">
      <c r="B247" s="4">
        <v>42612</v>
      </c>
      <c r="C247" s="3">
        <v>243</v>
      </c>
      <c r="D247" s="2">
        <v>22.6</v>
      </c>
      <c r="E247" s="2">
        <v>23.1</v>
      </c>
      <c r="F247" s="2">
        <v>22.4</v>
      </c>
      <c r="G247" s="2">
        <v>21.9</v>
      </c>
      <c r="H247" s="2">
        <v>21.1</v>
      </c>
      <c r="I247" s="2">
        <v>20.3</v>
      </c>
      <c r="J247" s="2">
        <v>20.5</v>
      </c>
      <c r="K247" s="2">
        <v>20</v>
      </c>
      <c r="L247" s="2">
        <v>20.3</v>
      </c>
      <c r="M247" s="2">
        <v>20.6</v>
      </c>
      <c r="N247" s="2">
        <v>21.6</v>
      </c>
      <c r="O247" s="2">
        <v>22</v>
      </c>
      <c r="P247" s="2">
        <v>23.4</v>
      </c>
      <c r="Q247" s="2">
        <v>24.3</v>
      </c>
      <c r="R247" s="2">
        <v>24.4</v>
      </c>
      <c r="S247" s="2">
        <v>24.8</v>
      </c>
      <c r="T247" s="2">
        <v>24.4</v>
      </c>
      <c r="U247" s="2">
        <v>24.1</v>
      </c>
      <c r="V247" s="2">
        <v>23.8</v>
      </c>
      <c r="W247" s="2">
        <v>23.2</v>
      </c>
      <c r="X247" s="2">
        <v>22.5</v>
      </c>
      <c r="Y247" s="2">
        <v>21.5</v>
      </c>
      <c r="Z247" s="2">
        <v>20.8</v>
      </c>
      <c r="AA247" s="2">
        <v>21.5</v>
      </c>
      <c r="AC247" s="5">
        <f t="shared" si="4"/>
        <v>22.295833333333331</v>
      </c>
    </row>
    <row r="248" spans="2:29" x14ac:dyDescent="0.25">
      <c r="B248" s="4">
        <v>42613</v>
      </c>
      <c r="C248" s="3">
        <v>244</v>
      </c>
      <c r="D248" s="2">
        <v>21.7</v>
      </c>
      <c r="E248" s="2">
        <v>21.1</v>
      </c>
      <c r="F248" s="2">
        <v>21.1</v>
      </c>
      <c r="G248" s="2">
        <v>20.9</v>
      </c>
      <c r="H248" s="2">
        <v>21.1</v>
      </c>
      <c r="I248" s="2">
        <v>20.9</v>
      </c>
      <c r="J248" s="2">
        <v>21.2</v>
      </c>
      <c r="K248" s="2">
        <v>21.7</v>
      </c>
      <c r="L248" s="2">
        <v>22.5</v>
      </c>
      <c r="M248" s="2">
        <v>25.1</v>
      </c>
      <c r="N248" s="2">
        <v>26.3</v>
      </c>
      <c r="O248" s="2">
        <v>25.5</v>
      </c>
      <c r="P248" s="2">
        <v>26</v>
      </c>
      <c r="Q248" s="2">
        <v>26.2</v>
      </c>
      <c r="R248" s="2">
        <v>25.9</v>
      </c>
      <c r="S248" s="2">
        <v>26.2</v>
      </c>
      <c r="T248" s="2">
        <v>26.2</v>
      </c>
      <c r="U248" s="2">
        <v>27</v>
      </c>
      <c r="V248" s="2">
        <v>26</v>
      </c>
      <c r="W248" s="2">
        <v>25.4</v>
      </c>
      <c r="X248" s="2">
        <v>24.5</v>
      </c>
      <c r="Y248" s="2">
        <v>23.8</v>
      </c>
      <c r="Z248" s="2">
        <v>22.2</v>
      </c>
      <c r="AA248" s="2">
        <v>21.1</v>
      </c>
      <c r="AC248" s="5">
        <f t="shared" si="4"/>
        <v>23.733333333333334</v>
      </c>
    </row>
    <row r="249" spans="2:29" x14ac:dyDescent="0.25">
      <c r="B249" s="4">
        <v>42614</v>
      </c>
      <c r="C249" s="3">
        <v>245</v>
      </c>
      <c r="D249" s="2">
        <v>20.3</v>
      </c>
      <c r="E249" s="2">
        <v>19.7</v>
      </c>
      <c r="F249" s="2">
        <v>19.5</v>
      </c>
      <c r="G249" s="2">
        <v>19.2</v>
      </c>
      <c r="H249" s="2">
        <v>18.8</v>
      </c>
      <c r="I249" s="2">
        <v>18.8</v>
      </c>
      <c r="J249" s="2">
        <v>18.7</v>
      </c>
      <c r="K249" s="2">
        <v>18.600000000000001</v>
      </c>
      <c r="L249" s="2">
        <v>19.8</v>
      </c>
      <c r="M249" s="2">
        <v>25</v>
      </c>
      <c r="N249" s="2">
        <v>26.8</v>
      </c>
      <c r="O249" s="2">
        <v>28.4</v>
      </c>
      <c r="P249" s="2">
        <v>29.5</v>
      </c>
      <c r="Q249" s="2">
        <v>30.2</v>
      </c>
      <c r="R249" s="2">
        <v>29.9</v>
      </c>
      <c r="S249" s="2">
        <v>29.7</v>
      </c>
      <c r="T249" s="2">
        <v>29.9</v>
      </c>
      <c r="U249" s="2">
        <v>28.9</v>
      </c>
      <c r="V249" s="2">
        <v>27.9</v>
      </c>
      <c r="W249" s="2">
        <v>26.8</v>
      </c>
      <c r="X249" s="2">
        <v>25</v>
      </c>
      <c r="Y249" s="2">
        <v>23.4</v>
      </c>
      <c r="Z249" s="2">
        <v>21</v>
      </c>
      <c r="AA249" s="2">
        <v>20.2</v>
      </c>
      <c r="AC249" s="5">
        <f t="shared" si="4"/>
        <v>24</v>
      </c>
    </row>
    <row r="250" spans="2:29" x14ac:dyDescent="0.25">
      <c r="B250" s="4">
        <v>42615</v>
      </c>
      <c r="C250" s="3">
        <v>246</v>
      </c>
      <c r="D250" s="2">
        <v>20.100000000000001</v>
      </c>
      <c r="E250" s="2">
        <v>20</v>
      </c>
      <c r="F250" s="2">
        <v>19.5</v>
      </c>
      <c r="G250" s="2">
        <v>19.3</v>
      </c>
      <c r="H250" s="2">
        <v>19.8</v>
      </c>
      <c r="I250" s="2">
        <v>18.899999999999999</v>
      </c>
      <c r="J250" s="2">
        <v>18.8</v>
      </c>
      <c r="K250" s="2">
        <v>19.399999999999999</v>
      </c>
      <c r="L250" s="2">
        <v>20.8</v>
      </c>
      <c r="M250" s="2">
        <v>24.2</v>
      </c>
      <c r="N250" s="2">
        <v>25.7</v>
      </c>
      <c r="O250" s="2">
        <v>27.3</v>
      </c>
      <c r="P250" s="2">
        <v>27.9</v>
      </c>
      <c r="Q250" s="2">
        <v>28.6</v>
      </c>
      <c r="R250" s="2">
        <v>27.9</v>
      </c>
      <c r="S250" s="2">
        <v>28.5</v>
      </c>
      <c r="T250" s="2">
        <v>28.8</v>
      </c>
      <c r="U250" s="2">
        <v>26.9</v>
      </c>
      <c r="V250" s="2">
        <v>26.6</v>
      </c>
      <c r="W250" s="2">
        <v>26.3</v>
      </c>
      <c r="X250" s="2">
        <v>25</v>
      </c>
      <c r="Y250" s="2">
        <v>24</v>
      </c>
      <c r="Z250" s="2">
        <v>21.9</v>
      </c>
      <c r="AA250" s="2">
        <v>20.9</v>
      </c>
      <c r="AC250" s="5">
        <f t="shared" si="4"/>
        <v>23.629166666666663</v>
      </c>
    </row>
    <row r="251" spans="2:29" x14ac:dyDescent="0.25">
      <c r="B251" s="4">
        <v>42616</v>
      </c>
      <c r="C251" s="3">
        <v>247</v>
      </c>
      <c r="D251" s="2">
        <v>20.8</v>
      </c>
      <c r="E251" s="2">
        <v>21.1</v>
      </c>
      <c r="F251" s="2">
        <v>20.7</v>
      </c>
      <c r="G251" s="2">
        <v>20</v>
      </c>
      <c r="H251" s="2">
        <v>20.2</v>
      </c>
      <c r="I251" s="2">
        <v>19.7</v>
      </c>
      <c r="J251" s="2">
        <v>18.899999999999999</v>
      </c>
      <c r="K251" s="2">
        <v>19</v>
      </c>
      <c r="L251" s="2">
        <v>20.399999999999999</v>
      </c>
      <c r="M251" s="2">
        <v>23.7</v>
      </c>
      <c r="N251" s="2">
        <v>26.2</v>
      </c>
      <c r="O251" s="2">
        <v>27.6</v>
      </c>
      <c r="P251" s="2">
        <v>28.5</v>
      </c>
      <c r="Q251" s="2">
        <v>29.2</v>
      </c>
      <c r="R251" s="2">
        <v>28.7</v>
      </c>
      <c r="S251" s="2">
        <v>29</v>
      </c>
      <c r="T251" s="2">
        <v>29.1</v>
      </c>
      <c r="U251" s="2">
        <v>28.7</v>
      </c>
      <c r="V251" s="2">
        <v>28.8</v>
      </c>
      <c r="W251" s="2">
        <v>27.5</v>
      </c>
      <c r="X251" s="2">
        <v>25.7</v>
      </c>
      <c r="Y251" s="2">
        <v>24.2</v>
      </c>
      <c r="Z251" s="2">
        <v>22.4</v>
      </c>
      <c r="AA251" s="2">
        <v>21.9</v>
      </c>
      <c r="AC251" s="5">
        <f t="shared" si="4"/>
        <v>24.25</v>
      </c>
    </row>
    <row r="252" spans="2:29" x14ac:dyDescent="0.25">
      <c r="B252" s="4">
        <v>42617</v>
      </c>
      <c r="C252" s="3">
        <v>248</v>
      </c>
      <c r="D252" s="2">
        <v>21.3</v>
      </c>
      <c r="E252" s="2">
        <v>21</v>
      </c>
      <c r="F252" s="2">
        <v>20.5</v>
      </c>
      <c r="G252" s="2">
        <v>20.100000000000001</v>
      </c>
      <c r="H252" s="2">
        <v>20.100000000000001</v>
      </c>
      <c r="I252" s="2">
        <v>20.399999999999999</v>
      </c>
      <c r="J252" s="2">
        <v>19.7</v>
      </c>
      <c r="K252" s="2">
        <v>19.899999999999999</v>
      </c>
      <c r="L252" s="2">
        <v>21.5</v>
      </c>
      <c r="M252" s="2">
        <v>24.6</v>
      </c>
      <c r="N252" s="2">
        <v>27.1</v>
      </c>
      <c r="O252" s="2">
        <v>28.9</v>
      </c>
      <c r="P252" s="2">
        <v>30.7</v>
      </c>
      <c r="Q252" s="2">
        <v>31.1</v>
      </c>
      <c r="R252" s="2">
        <v>30.8</v>
      </c>
      <c r="S252" s="2">
        <v>30.6</v>
      </c>
      <c r="T252" s="2">
        <v>30.6</v>
      </c>
      <c r="U252" s="2">
        <v>30.9</v>
      </c>
      <c r="V252" s="2">
        <v>29.6</v>
      </c>
      <c r="W252" s="2">
        <v>28.7</v>
      </c>
      <c r="X252" s="2">
        <v>27</v>
      </c>
      <c r="Y252" s="2">
        <v>24.2</v>
      </c>
      <c r="Z252" s="2">
        <v>23.6</v>
      </c>
      <c r="AA252" s="2">
        <v>22.8</v>
      </c>
      <c r="AC252" s="5">
        <f t="shared" si="4"/>
        <v>25.237500000000001</v>
      </c>
    </row>
    <row r="253" spans="2:29" x14ac:dyDescent="0.25">
      <c r="B253" s="4">
        <v>42618</v>
      </c>
      <c r="C253" s="3">
        <v>249</v>
      </c>
      <c r="D253" s="2">
        <v>22.7</v>
      </c>
      <c r="E253" s="2">
        <v>21.9</v>
      </c>
      <c r="F253" s="2">
        <v>23</v>
      </c>
      <c r="G253" s="2">
        <v>22.6</v>
      </c>
      <c r="H253" s="2">
        <v>22.5</v>
      </c>
      <c r="I253" s="2">
        <v>21.2</v>
      </c>
      <c r="J253" s="2">
        <v>21.6</v>
      </c>
      <c r="K253" s="2">
        <v>20.3</v>
      </c>
      <c r="L253" s="2">
        <v>21.6</v>
      </c>
      <c r="M253" s="2">
        <v>26.3</v>
      </c>
      <c r="N253" s="2">
        <v>30.3</v>
      </c>
      <c r="O253" s="2">
        <v>31.4</v>
      </c>
      <c r="P253" s="2">
        <v>33.299999999999997</v>
      </c>
      <c r="Q253" s="2">
        <v>32.6</v>
      </c>
      <c r="R253" s="2">
        <v>31.7</v>
      </c>
      <c r="S253" s="2">
        <v>31.3</v>
      </c>
      <c r="T253" s="2">
        <v>30</v>
      </c>
      <c r="U253" s="2">
        <v>29.4</v>
      </c>
      <c r="V253" s="2">
        <v>28.7</v>
      </c>
      <c r="W253" s="2">
        <v>27.8</v>
      </c>
      <c r="X253" s="2">
        <v>26.3</v>
      </c>
      <c r="Y253" s="2">
        <v>25</v>
      </c>
      <c r="Z253" s="2">
        <v>23</v>
      </c>
      <c r="AA253" s="2">
        <v>22.5</v>
      </c>
      <c r="AC253" s="5">
        <f t="shared" si="4"/>
        <v>26.124999999999996</v>
      </c>
    </row>
    <row r="254" spans="2:29" x14ac:dyDescent="0.25">
      <c r="B254" s="4">
        <v>42619</v>
      </c>
      <c r="C254" s="3">
        <v>250</v>
      </c>
      <c r="D254" s="2">
        <v>22.6</v>
      </c>
      <c r="E254" s="2">
        <v>22.9</v>
      </c>
      <c r="F254" s="2">
        <v>21.7</v>
      </c>
      <c r="G254" s="2">
        <v>21.1</v>
      </c>
      <c r="H254" s="2">
        <v>20.2</v>
      </c>
      <c r="I254" s="2">
        <v>18.899999999999999</v>
      </c>
      <c r="J254" s="2">
        <v>18.3</v>
      </c>
      <c r="K254" s="2">
        <v>17.600000000000001</v>
      </c>
      <c r="L254" s="2">
        <v>19.5</v>
      </c>
      <c r="M254" s="2">
        <v>24</v>
      </c>
      <c r="N254" s="2">
        <v>27.1</v>
      </c>
      <c r="O254" s="2">
        <v>29</v>
      </c>
      <c r="P254" s="2">
        <v>30.3</v>
      </c>
      <c r="Q254" s="2">
        <v>29.6</v>
      </c>
      <c r="R254" s="2">
        <v>29.1</v>
      </c>
      <c r="S254" s="2">
        <v>29.4</v>
      </c>
      <c r="T254" s="2">
        <v>30.2</v>
      </c>
      <c r="U254" s="2">
        <v>29.7</v>
      </c>
      <c r="V254" s="2">
        <v>28.8</v>
      </c>
      <c r="W254" s="2">
        <v>27.6</v>
      </c>
      <c r="X254" s="2">
        <v>25.9</v>
      </c>
      <c r="Y254" s="2">
        <v>23.6</v>
      </c>
      <c r="Z254" s="2">
        <v>21.3</v>
      </c>
      <c r="AA254" s="2">
        <v>21.3</v>
      </c>
      <c r="AC254" s="5">
        <f t="shared" si="4"/>
        <v>24.570833333333329</v>
      </c>
    </row>
    <row r="255" spans="2:29" x14ac:dyDescent="0.25">
      <c r="B255" s="4">
        <v>42620</v>
      </c>
      <c r="C255" s="3">
        <v>251</v>
      </c>
      <c r="D255" s="2">
        <v>21.3</v>
      </c>
      <c r="E255" s="2">
        <v>21.5</v>
      </c>
      <c r="F255" s="2">
        <v>20.7</v>
      </c>
      <c r="G255" s="2">
        <v>20.7</v>
      </c>
      <c r="H255" s="2">
        <v>21</v>
      </c>
      <c r="I255" s="2">
        <v>20.7</v>
      </c>
      <c r="J255" s="2">
        <v>20.5</v>
      </c>
      <c r="K255" s="2">
        <v>20.2</v>
      </c>
      <c r="L255" s="2">
        <v>21.4</v>
      </c>
      <c r="M255" s="2">
        <v>24.1</v>
      </c>
      <c r="N255" s="2">
        <v>26.4</v>
      </c>
      <c r="O255" s="2">
        <v>27.1</v>
      </c>
      <c r="P255" s="2">
        <v>28.1</v>
      </c>
      <c r="Q255" s="2">
        <v>27.8</v>
      </c>
      <c r="R255" s="2">
        <v>26.2</v>
      </c>
      <c r="S255" s="2">
        <v>27</v>
      </c>
      <c r="T255" s="2">
        <v>27.7</v>
      </c>
      <c r="U255" s="2">
        <v>27.2</v>
      </c>
      <c r="V255" s="2">
        <v>26.5</v>
      </c>
      <c r="W255" s="2">
        <v>25.3</v>
      </c>
      <c r="X255" s="2">
        <v>24.4</v>
      </c>
      <c r="Y255" s="2">
        <v>24.1</v>
      </c>
      <c r="Z255" s="2">
        <v>23.6</v>
      </c>
      <c r="AA255" s="2">
        <v>21.8</v>
      </c>
      <c r="AC255" s="5">
        <f t="shared" si="4"/>
        <v>23.970833333333331</v>
      </c>
    </row>
    <row r="256" spans="2:29" x14ac:dyDescent="0.25">
      <c r="B256" s="4">
        <v>42621</v>
      </c>
      <c r="C256" s="3">
        <v>252</v>
      </c>
      <c r="D256" s="2">
        <v>22.7</v>
      </c>
      <c r="E256" s="2">
        <v>21.5</v>
      </c>
      <c r="F256" s="2">
        <v>21.8</v>
      </c>
      <c r="G256" s="2">
        <v>21.7</v>
      </c>
      <c r="H256" s="2">
        <v>21.9</v>
      </c>
      <c r="I256" s="2">
        <v>22.3</v>
      </c>
      <c r="J256" s="2">
        <v>20.9</v>
      </c>
      <c r="K256" s="2">
        <v>20.6</v>
      </c>
      <c r="L256" s="2">
        <v>21.8</v>
      </c>
      <c r="M256" s="2">
        <v>23.2</v>
      </c>
      <c r="N256" s="2">
        <v>24.1</v>
      </c>
      <c r="O256" s="2">
        <v>24.8</v>
      </c>
      <c r="P256" s="2">
        <v>25.7</v>
      </c>
      <c r="Q256" s="2">
        <v>25.6</v>
      </c>
      <c r="R256" s="2">
        <v>25.1</v>
      </c>
      <c r="S256" s="2">
        <v>25.6</v>
      </c>
      <c r="T256" s="2">
        <v>25.7</v>
      </c>
      <c r="U256" s="2">
        <v>25.3</v>
      </c>
      <c r="V256" s="2">
        <v>25.5</v>
      </c>
      <c r="W256" s="2">
        <v>25.2</v>
      </c>
      <c r="X256" s="2">
        <v>24.1</v>
      </c>
      <c r="Y256" s="2">
        <v>22.2</v>
      </c>
      <c r="Z256" s="2">
        <v>20.9</v>
      </c>
      <c r="AA256" s="2">
        <v>20.5</v>
      </c>
      <c r="AC256" s="5">
        <f t="shared" si="4"/>
        <v>23.279166666666669</v>
      </c>
    </row>
    <row r="257" spans="2:29" x14ac:dyDescent="0.25">
      <c r="B257" s="4">
        <v>42622</v>
      </c>
      <c r="C257" s="3">
        <v>253</v>
      </c>
      <c r="D257" s="2">
        <v>20.5</v>
      </c>
      <c r="E257" s="2">
        <v>21.2</v>
      </c>
      <c r="F257" s="2">
        <v>21.7</v>
      </c>
      <c r="G257" s="2">
        <v>21.7</v>
      </c>
      <c r="H257" s="2">
        <v>22.3</v>
      </c>
      <c r="I257" s="2">
        <v>22.5</v>
      </c>
      <c r="J257" s="2">
        <v>22.2</v>
      </c>
      <c r="K257" s="2">
        <v>22.5</v>
      </c>
      <c r="L257" s="2">
        <v>22.5</v>
      </c>
      <c r="M257" s="2">
        <v>23.3</v>
      </c>
      <c r="N257" s="2">
        <v>24.5</v>
      </c>
      <c r="O257" s="2">
        <v>26.2</v>
      </c>
      <c r="P257" s="2">
        <v>27.5</v>
      </c>
      <c r="Q257" s="2">
        <v>28.3</v>
      </c>
      <c r="R257" s="2">
        <v>28.2</v>
      </c>
      <c r="S257" s="2">
        <v>28.3</v>
      </c>
      <c r="T257" s="2">
        <v>27.8</v>
      </c>
      <c r="U257" s="2">
        <v>27</v>
      </c>
      <c r="V257" s="2">
        <v>27.1</v>
      </c>
      <c r="W257" s="2">
        <v>25.7</v>
      </c>
      <c r="X257" s="2">
        <v>24.6</v>
      </c>
      <c r="Y257" s="2">
        <v>24.4</v>
      </c>
      <c r="Z257" s="2">
        <v>24</v>
      </c>
      <c r="AA257" s="2">
        <v>23.7</v>
      </c>
      <c r="AC257" s="5">
        <f t="shared" si="4"/>
        <v>24.487500000000001</v>
      </c>
    </row>
    <row r="258" spans="2:29" x14ac:dyDescent="0.25">
      <c r="B258" s="4">
        <v>42623</v>
      </c>
      <c r="C258" s="3">
        <v>254</v>
      </c>
      <c r="D258" s="2">
        <v>22.6</v>
      </c>
      <c r="E258" s="2">
        <v>22.7</v>
      </c>
      <c r="F258" s="2">
        <v>22.7</v>
      </c>
      <c r="G258" s="2">
        <v>23.1</v>
      </c>
      <c r="H258" s="2">
        <v>21.9</v>
      </c>
      <c r="I258" s="2">
        <v>21.3</v>
      </c>
      <c r="J258" s="2">
        <v>21.9</v>
      </c>
      <c r="K258" s="2">
        <v>21.7</v>
      </c>
      <c r="L258" s="2">
        <v>21.3</v>
      </c>
      <c r="M258" s="2">
        <v>22.6</v>
      </c>
      <c r="N258" s="2">
        <v>22.1</v>
      </c>
      <c r="O258" s="2">
        <v>24.7</v>
      </c>
      <c r="P258" s="2">
        <v>26.7</v>
      </c>
      <c r="Q258" s="2">
        <v>27.8</v>
      </c>
      <c r="R258" s="2">
        <v>27.7</v>
      </c>
      <c r="S258" s="2">
        <v>28.2</v>
      </c>
      <c r="T258" s="2">
        <v>27.6</v>
      </c>
      <c r="U258" s="2">
        <v>27</v>
      </c>
      <c r="V258" s="2">
        <v>27.1</v>
      </c>
      <c r="W258" s="2">
        <v>25.6</v>
      </c>
      <c r="X258" s="2">
        <v>24.3</v>
      </c>
      <c r="Y258" s="2">
        <v>22.8</v>
      </c>
      <c r="Z258" s="2">
        <v>21.4</v>
      </c>
      <c r="AA258" s="2">
        <v>20.5</v>
      </c>
      <c r="AC258" s="5">
        <f t="shared" si="4"/>
        <v>23.970833333333335</v>
      </c>
    </row>
    <row r="259" spans="2:29" x14ac:dyDescent="0.25">
      <c r="B259" s="4">
        <v>42624</v>
      </c>
      <c r="C259" s="3">
        <v>255</v>
      </c>
      <c r="D259" s="2">
        <v>20.5</v>
      </c>
      <c r="E259" s="2">
        <v>19.899999999999999</v>
      </c>
      <c r="F259" s="2">
        <v>19.8</v>
      </c>
      <c r="G259" s="2">
        <v>19.3</v>
      </c>
      <c r="H259" s="2">
        <v>18.5</v>
      </c>
      <c r="I259" s="2">
        <v>18.2</v>
      </c>
      <c r="J259" s="2">
        <v>17.8</v>
      </c>
      <c r="K259" s="2">
        <v>18</v>
      </c>
      <c r="L259" s="2">
        <v>19.2</v>
      </c>
      <c r="M259" s="2">
        <v>22.3</v>
      </c>
      <c r="N259" s="2">
        <v>25.7</v>
      </c>
      <c r="O259" s="2">
        <v>27.4</v>
      </c>
      <c r="P259" s="2">
        <v>28.5</v>
      </c>
      <c r="Q259" s="2">
        <v>28.8</v>
      </c>
      <c r="R259" s="2">
        <v>28.7</v>
      </c>
      <c r="S259" s="2">
        <v>28.9</v>
      </c>
      <c r="T259" s="2">
        <v>28.4</v>
      </c>
      <c r="U259" s="2">
        <v>27.7</v>
      </c>
      <c r="V259" s="2">
        <v>27.3</v>
      </c>
      <c r="W259" s="2">
        <v>26.1</v>
      </c>
      <c r="X259" s="2">
        <v>24.6</v>
      </c>
      <c r="Y259" s="2">
        <v>23.5</v>
      </c>
      <c r="Z259" s="2">
        <v>22.1</v>
      </c>
      <c r="AA259" s="2">
        <v>20.6</v>
      </c>
      <c r="AC259" s="5">
        <f t="shared" si="4"/>
        <v>23.408333333333335</v>
      </c>
    </row>
    <row r="260" spans="2:29" x14ac:dyDescent="0.25">
      <c r="B260" s="4">
        <v>42625</v>
      </c>
      <c r="C260" s="3">
        <v>256</v>
      </c>
      <c r="D260" s="2">
        <v>20.6</v>
      </c>
      <c r="E260" s="2">
        <v>20.2</v>
      </c>
      <c r="F260" s="2">
        <v>20.100000000000001</v>
      </c>
      <c r="G260" s="2">
        <v>20.3</v>
      </c>
      <c r="H260" s="2">
        <v>19.399999999999999</v>
      </c>
      <c r="I260" s="2">
        <v>19.5</v>
      </c>
      <c r="J260" s="2">
        <v>19.399999999999999</v>
      </c>
      <c r="K260" s="2">
        <v>19.5</v>
      </c>
      <c r="L260" s="2">
        <v>21.6</v>
      </c>
      <c r="M260" s="2">
        <v>25.3</v>
      </c>
      <c r="N260" s="2">
        <v>26.1</v>
      </c>
      <c r="O260" s="2">
        <v>25.6</v>
      </c>
      <c r="P260" s="2">
        <v>26.4</v>
      </c>
      <c r="Q260" s="2">
        <v>27.8</v>
      </c>
      <c r="R260" s="2">
        <v>27.7</v>
      </c>
      <c r="S260" s="2">
        <v>27.7</v>
      </c>
      <c r="T260" s="2">
        <v>28.1</v>
      </c>
      <c r="U260" s="2">
        <v>27.9</v>
      </c>
      <c r="V260" s="2">
        <v>26.7</v>
      </c>
      <c r="W260" s="2">
        <v>25.7</v>
      </c>
      <c r="X260" s="2">
        <v>24.7</v>
      </c>
      <c r="Y260" s="2">
        <v>23.3</v>
      </c>
      <c r="Z260" s="2">
        <v>21.9</v>
      </c>
      <c r="AA260" s="2">
        <v>20.6</v>
      </c>
      <c r="AC260" s="5">
        <f t="shared" si="4"/>
        <v>23.587499999999995</v>
      </c>
    </row>
    <row r="261" spans="2:29" x14ac:dyDescent="0.25">
      <c r="B261" s="4">
        <v>42626</v>
      </c>
      <c r="C261" s="3">
        <v>257</v>
      </c>
      <c r="D261" s="2">
        <v>20.8</v>
      </c>
      <c r="E261" s="2">
        <v>20.8</v>
      </c>
      <c r="F261" s="2">
        <v>20.5</v>
      </c>
      <c r="G261" s="2">
        <v>20.9</v>
      </c>
      <c r="H261" s="2">
        <v>20.9</v>
      </c>
      <c r="I261" s="2">
        <v>20.7</v>
      </c>
      <c r="J261" s="2">
        <v>20.7</v>
      </c>
      <c r="K261" s="2">
        <v>20.2</v>
      </c>
      <c r="L261" s="2">
        <v>21.2</v>
      </c>
      <c r="M261" s="2">
        <v>22.9</v>
      </c>
      <c r="N261" s="2">
        <v>24.8</v>
      </c>
      <c r="O261" s="2">
        <v>26.4</v>
      </c>
      <c r="P261" s="2">
        <v>26.8</v>
      </c>
      <c r="Q261" s="2">
        <v>27.1</v>
      </c>
      <c r="R261" s="2">
        <v>26.9</v>
      </c>
      <c r="S261" s="2">
        <v>26.4</v>
      </c>
      <c r="T261" s="2">
        <v>26.4</v>
      </c>
      <c r="U261" s="2">
        <v>26.1</v>
      </c>
      <c r="V261" s="2">
        <v>25.3</v>
      </c>
      <c r="W261" s="2">
        <v>25.2</v>
      </c>
      <c r="X261" s="2">
        <v>24.5</v>
      </c>
      <c r="Y261" s="2">
        <v>24.3</v>
      </c>
      <c r="Z261" s="2">
        <v>24.6</v>
      </c>
      <c r="AA261" s="2">
        <v>20.399999999999999</v>
      </c>
      <c r="AC261" s="5">
        <f t="shared" si="4"/>
        <v>23.533333333333331</v>
      </c>
    </row>
    <row r="262" spans="2:29" x14ac:dyDescent="0.25">
      <c r="B262" s="4">
        <v>42627</v>
      </c>
      <c r="C262" s="3">
        <v>258</v>
      </c>
      <c r="D262" s="2">
        <v>17.5</v>
      </c>
      <c r="E262" s="2">
        <v>18.2</v>
      </c>
      <c r="F262" s="2">
        <v>18.899999999999999</v>
      </c>
      <c r="G262" s="2">
        <v>19.5</v>
      </c>
      <c r="H262" s="2">
        <v>18.7</v>
      </c>
      <c r="I262" s="2">
        <v>16.899999999999999</v>
      </c>
      <c r="J262" s="2">
        <v>17</v>
      </c>
      <c r="K262" s="2">
        <v>15.7</v>
      </c>
      <c r="L262" s="2">
        <v>16.100000000000001</v>
      </c>
      <c r="M262" s="2">
        <v>19.100000000000001</v>
      </c>
      <c r="N262" s="2">
        <v>21.3</v>
      </c>
      <c r="O262" s="2">
        <v>23.9</v>
      </c>
      <c r="P262" s="2">
        <v>24.8</v>
      </c>
      <c r="Q262" s="2">
        <v>25.4</v>
      </c>
      <c r="R262" s="2">
        <v>25.5</v>
      </c>
      <c r="S262" s="2">
        <v>25.8</v>
      </c>
      <c r="T262" s="2">
        <v>26.1</v>
      </c>
      <c r="U262" s="2">
        <v>24</v>
      </c>
      <c r="V262" s="2">
        <v>20.8</v>
      </c>
      <c r="W262" s="2">
        <v>18.399999999999999</v>
      </c>
      <c r="X262" s="2">
        <v>15.2</v>
      </c>
      <c r="Y262" s="2">
        <v>13.8</v>
      </c>
      <c r="Z262" s="2">
        <v>12.7</v>
      </c>
      <c r="AA262" s="2">
        <v>12.6</v>
      </c>
      <c r="AC262" s="5">
        <f t="shared" ref="AC262:AC325" si="5">(SUM((D262:AA262))/24)</f>
        <v>19.495833333333334</v>
      </c>
    </row>
    <row r="263" spans="2:29" x14ac:dyDescent="0.25">
      <c r="B263" s="4">
        <v>42628</v>
      </c>
      <c r="C263" s="3">
        <v>259</v>
      </c>
      <c r="D263" s="2">
        <v>13.3</v>
      </c>
      <c r="E263" s="2">
        <v>14.1</v>
      </c>
      <c r="F263" s="2">
        <v>13.2</v>
      </c>
      <c r="G263" s="2">
        <v>14.3</v>
      </c>
      <c r="H263" s="2">
        <v>12.4</v>
      </c>
      <c r="I263" s="2">
        <v>12.4</v>
      </c>
      <c r="J263" s="2">
        <v>11.4</v>
      </c>
      <c r="K263" s="2">
        <v>14</v>
      </c>
      <c r="L263" s="2">
        <v>12.8</v>
      </c>
      <c r="M263" s="2">
        <v>17</v>
      </c>
      <c r="N263" s="2">
        <v>19.100000000000001</v>
      </c>
      <c r="O263" s="2">
        <v>20.7</v>
      </c>
      <c r="P263" s="2">
        <v>22.3</v>
      </c>
      <c r="Q263" s="2">
        <v>23</v>
      </c>
      <c r="R263" s="2">
        <v>22.4</v>
      </c>
      <c r="S263" s="2">
        <v>22</v>
      </c>
      <c r="T263" s="2">
        <v>21.5</v>
      </c>
      <c r="U263" s="2">
        <v>21.4</v>
      </c>
      <c r="V263" s="2">
        <v>20.7</v>
      </c>
      <c r="W263" s="2">
        <v>20.100000000000001</v>
      </c>
      <c r="X263" s="2">
        <v>19.2</v>
      </c>
      <c r="Y263" s="2">
        <v>17.2</v>
      </c>
      <c r="Z263" s="2">
        <v>15.9</v>
      </c>
      <c r="AA263" s="2">
        <v>15.6</v>
      </c>
      <c r="AC263" s="5">
        <f t="shared" si="5"/>
        <v>17.333333333333332</v>
      </c>
    </row>
    <row r="264" spans="2:29" x14ac:dyDescent="0.25">
      <c r="B264" s="4">
        <v>42629</v>
      </c>
      <c r="C264" s="3">
        <v>260</v>
      </c>
      <c r="D264" s="2">
        <v>14.6</v>
      </c>
      <c r="E264" s="2">
        <v>13.1</v>
      </c>
      <c r="F264" s="2">
        <v>12.4</v>
      </c>
      <c r="G264" s="2">
        <v>11.8</v>
      </c>
      <c r="H264" s="2">
        <v>11.3</v>
      </c>
      <c r="I264" s="2">
        <v>11.2</v>
      </c>
      <c r="J264" s="2">
        <v>11.6</v>
      </c>
      <c r="K264" s="2">
        <v>11.5</v>
      </c>
      <c r="L264" s="2">
        <v>14.7</v>
      </c>
      <c r="M264" s="2">
        <v>15.7</v>
      </c>
      <c r="N264" s="2">
        <v>20</v>
      </c>
      <c r="O264" s="2">
        <v>21.1</v>
      </c>
      <c r="P264" s="2">
        <v>22.5</v>
      </c>
      <c r="Q264" s="2">
        <v>23.7</v>
      </c>
      <c r="R264" s="2">
        <v>24.5</v>
      </c>
      <c r="S264" s="2">
        <v>25.4</v>
      </c>
      <c r="T264" s="2">
        <v>26.4</v>
      </c>
      <c r="U264" s="2">
        <v>26.3</v>
      </c>
      <c r="V264" s="2">
        <v>25.7</v>
      </c>
      <c r="W264" s="2">
        <v>23.7</v>
      </c>
      <c r="X264" s="2">
        <v>20.8</v>
      </c>
      <c r="Y264" s="2">
        <v>18.8</v>
      </c>
      <c r="Z264" s="2">
        <v>20.3</v>
      </c>
      <c r="AA264" s="2">
        <v>20.2</v>
      </c>
      <c r="AC264" s="5">
        <f t="shared" si="5"/>
        <v>18.637499999999999</v>
      </c>
    </row>
    <row r="265" spans="2:29" x14ac:dyDescent="0.25">
      <c r="B265" s="4">
        <v>42630</v>
      </c>
      <c r="C265" s="3">
        <v>261</v>
      </c>
      <c r="D265" s="2">
        <v>19.100000000000001</v>
      </c>
      <c r="E265" s="2">
        <v>18.5</v>
      </c>
      <c r="F265" s="2">
        <v>14.9</v>
      </c>
      <c r="G265" s="2">
        <v>14.7</v>
      </c>
      <c r="H265" s="2">
        <v>15.9</v>
      </c>
      <c r="I265" s="2">
        <v>16.899999999999999</v>
      </c>
      <c r="J265" s="2">
        <v>15.3</v>
      </c>
      <c r="K265" s="2">
        <v>14.8</v>
      </c>
      <c r="L265" s="2">
        <v>17.100000000000001</v>
      </c>
      <c r="M265" s="2">
        <v>18.2</v>
      </c>
      <c r="N265" s="2">
        <v>18.7</v>
      </c>
      <c r="O265" s="2">
        <v>18.899999999999999</v>
      </c>
      <c r="P265" s="2">
        <v>19.7</v>
      </c>
      <c r="Q265" s="2">
        <v>21.1</v>
      </c>
      <c r="R265" s="2">
        <v>21.3</v>
      </c>
      <c r="S265" s="2">
        <v>20.9</v>
      </c>
      <c r="T265" s="2">
        <v>23.6</v>
      </c>
      <c r="U265" s="2">
        <v>23.7</v>
      </c>
      <c r="V265" s="2">
        <v>23.1</v>
      </c>
      <c r="W265" s="2">
        <v>21.9</v>
      </c>
      <c r="X265" s="2">
        <v>19.899999999999999</v>
      </c>
      <c r="Y265" s="2">
        <v>19.2</v>
      </c>
      <c r="Z265" s="2">
        <v>18.5</v>
      </c>
      <c r="AA265" s="2">
        <v>17.7</v>
      </c>
      <c r="AC265" s="5">
        <f t="shared" si="5"/>
        <v>18.899999999999995</v>
      </c>
    </row>
    <row r="266" spans="2:29" x14ac:dyDescent="0.25">
      <c r="B266" s="4">
        <v>42631</v>
      </c>
      <c r="C266" s="3">
        <v>262</v>
      </c>
      <c r="D266" s="2">
        <v>16.7</v>
      </c>
      <c r="E266" s="2">
        <v>15.9</v>
      </c>
      <c r="F266" s="2">
        <v>13.9</v>
      </c>
      <c r="G266" s="2">
        <v>11.9</v>
      </c>
      <c r="H266" s="2">
        <v>13.4</v>
      </c>
      <c r="I266" s="2">
        <v>10.3</v>
      </c>
      <c r="J266" s="2">
        <v>9.4</v>
      </c>
      <c r="K266" s="2">
        <v>9.6999999999999993</v>
      </c>
      <c r="L266" s="2">
        <v>11.2</v>
      </c>
      <c r="M266" s="2">
        <v>16.2</v>
      </c>
      <c r="N266" s="2">
        <v>19.5</v>
      </c>
      <c r="O266" s="2">
        <v>20.5</v>
      </c>
      <c r="P266" s="2">
        <v>22.6</v>
      </c>
      <c r="Q266" s="2">
        <v>23.3</v>
      </c>
      <c r="R266" s="2">
        <v>24.3</v>
      </c>
      <c r="S266" s="2">
        <v>25.2</v>
      </c>
      <c r="T266" s="2">
        <v>26.8</v>
      </c>
      <c r="U266" s="2">
        <v>26.3</v>
      </c>
      <c r="V266" s="2">
        <v>25.6</v>
      </c>
      <c r="W266" s="2">
        <v>25</v>
      </c>
      <c r="X266" s="2">
        <v>20.399999999999999</v>
      </c>
      <c r="Y266" s="2">
        <v>21.8</v>
      </c>
      <c r="Z266" s="2">
        <v>20.9</v>
      </c>
      <c r="AA266" s="2">
        <v>20</v>
      </c>
      <c r="AC266" s="5">
        <f t="shared" si="5"/>
        <v>18.783333333333335</v>
      </c>
    </row>
    <row r="267" spans="2:29" x14ac:dyDescent="0.25">
      <c r="B267" s="4">
        <v>42632</v>
      </c>
      <c r="C267" s="3">
        <v>263</v>
      </c>
      <c r="D267" s="2">
        <v>18.899999999999999</v>
      </c>
      <c r="E267" s="2">
        <v>17.899999999999999</v>
      </c>
      <c r="F267" s="2">
        <v>17.7</v>
      </c>
      <c r="G267" s="2">
        <v>15.2</v>
      </c>
      <c r="H267" s="2">
        <v>13</v>
      </c>
      <c r="I267" s="2">
        <v>11.5</v>
      </c>
      <c r="J267" s="2">
        <v>10.7</v>
      </c>
      <c r="K267" s="2">
        <v>9.8000000000000007</v>
      </c>
      <c r="L267" s="2">
        <v>11.6</v>
      </c>
      <c r="M267" s="2">
        <v>18.2</v>
      </c>
      <c r="N267" s="2">
        <v>20.9</v>
      </c>
      <c r="O267" s="2">
        <v>22.7</v>
      </c>
      <c r="P267" s="2">
        <v>24.6</v>
      </c>
      <c r="Q267" s="2">
        <v>25.6</v>
      </c>
      <c r="R267" s="2">
        <v>25.7</v>
      </c>
      <c r="S267" s="2">
        <v>26.4</v>
      </c>
      <c r="T267" s="2">
        <v>26.8</v>
      </c>
      <c r="U267" s="2">
        <v>25.5</v>
      </c>
      <c r="V267" s="2">
        <v>23.8</v>
      </c>
      <c r="W267" s="2">
        <v>22.3</v>
      </c>
      <c r="X267" s="2">
        <v>20.8</v>
      </c>
      <c r="Y267" s="2">
        <v>17.399999999999999</v>
      </c>
      <c r="Z267" s="2">
        <v>17.2</v>
      </c>
      <c r="AA267" s="2">
        <v>17.3</v>
      </c>
      <c r="AC267" s="5">
        <f t="shared" si="5"/>
        <v>19.229166666666668</v>
      </c>
    </row>
    <row r="268" spans="2:29" x14ac:dyDescent="0.25">
      <c r="B268" s="4">
        <v>42633</v>
      </c>
      <c r="C268" s="3">
        <v>264</v>
      </c>
      <c r="D268" s="2">
        <v>16.100000000000001</v>
      </c>
      <c r="E268" s="2">
        <v>14.4</v>
      </c>
      <c r="F268" s="2">
        <v>13.4</v>
      </c>
      <c r="G268" s="2">
        <v>12.5</v>
      </c>
      <c r="H268" s="2">
        <v>13.7</v>
      </c>
      <c r="I268" s="2">
        <v>14</v>
      </c>
      <c r="J268" s="2">
        <v>13.3</v>
      </c>
      <c r="K268" s="2">
        <v>13.4</v>
      </c>
      <c r="L268" s="2">
        <v>13.2</v>
      </c>
      <c r="M268" s="2">
        <v>18</v>
      </c>
      <c r="N268" s="2">
        <v>19.899999999999999</v>
      </c>
      <c r="O268" s="2">
        <v>21.1</v>
      </c>
      <c r="P268" s="2">
        <v>22</v>
      </c>
      <c r="Q268" s="2">
        <v>23.1</v>
      </c>
      <c r="R268" s="2">
        <v>23.2</v>
      </c>
      <c r="S268" s="2">
        <v>24.8</v>
      </c>
      <c r="T268" s="2">
        <v>24.4</v>
      </c>
      <c r="U268" s="2">
        <v>23.5</v>
      </c>
      <c r="V268" s="2">
        <v>23.7</v>
      </c>
      <c r="W268" s="2">
        <v>23</v>
      </c>
      <c r="X268" s="2">
        <v>21.5</v>
      </c>
      <c r="Y268" s="2">
        <v>20.100000000000001</v>
      </c>
      <c r="Z268" s="2">
        <v>17.100000000000001</v>
      </c>
      <c r="AA268" s="2">
        <v>15.2</v>
      </c>
      <c r="AC268" s="5">
        <f t="shared" si="5"/>
        <v>18.524999999999999</v>
      </c>
    </row>
    <row r="269" spans="2:29" x14ac:dyDescent="0.25">
      <c r="B269" s="4">
        <v>42634</v>
      </c>
      <c r="C269" s="3">
        <v>265</v>
      </c>
      <c r="D269" s="2">
        <v>15.1</v>
      </c>
      <c r="E269" s="2">
        <v>14.8</v>
      </c>
      <c r="F269" s="2">
        <v>15</v>
      </c>
      <c r="G269" s="2">
        <v>14.5</v>
      </c>
      <c r="H269" s="2">
        <v>13.4</v>
      </c>
      <c r="I269" s="2">
        <v>13.1</v>
      </c>
      <c r="J269" s="2">
        <v>12</v>
      </c>
      <c r="K269" s="2">
        <v>12</v>
      </c>
      <c r="L269" s="2">
        <v>13.1</v>
      </c>
      <c r="M269" s="2">
        <v>19</v>
      </c>
      <c r="N269" s="2">
        <v>21.9</v>
      </c>
      <c r="O269" s="2">
        <v>23.7</v>
      </c>
      <c r="P269" s="2">
        <v>25.2</v>
      </c>
      <c r="Q269" s="2">
        <v>25.9</v>
      </c>
      <c r="R269" s="2">
        <v>25.2</v>
      </c>
      <c r="S269" s="2">
        <v>25.4</v>
      </c>
      <c r="T269" s="2">
        <v>25.3</v>
      </c>
      <c r="U269" s="2">
        <v>24.8</v>
      </c>
      <c r="V269" s="2">
        <v>23.8</v>
      </c>
      <c r="W269" s="2">
        <v>22.5</v>
      </c>
      <c r="X269" s="2">
        <v>19.2</v>
      </c>
      <c r="Y269" s="2">
        <v>17.3</v>
      </c>
      <c r="Z269" s="2">
        <v>16.7</v>
      </c>
      <c r="AA269" s="2">
        <v>17.2</v>
      </c>
      <c r="AC269" s="5">
        <f t="shared" si="5"/>
        <v>19.004166666666666</v>
      </c>
    </row>
    <row r="270" spans="2:29" x14ac:dyDescent="0.25">
      <c r="B270" s="4">
        <v>42635</v>
      </c>
      <c r="C270" s="3">
        <v>266</v>
      </c>
      <c r="D270" s="2">
        <v>17.100000000000001</v>
      </c>
      <c r="E270" s="2">
        <v>17.399999999999999</v>
      </c>
      <c r="F270" s="2">
        <v>17.399999999999999</v>
      </c>
      <c r="G270" s="2">
        <v>17.2</v>
      </c>
      <c r="H270" s="2">
        <v>16.899999999999999</v>
      </c>
      <c r="I270" s="2">
        <v>17.7</v>
      </c>
      <c r="J270" s="2">
        <v>17.7</v>
      </c>
      <c r="K270" s="2">
        <v>18.100000000000001</v>
      </c>
      <c r="L270" s="2">
        <v>17.3</v>
      </c>
      <c r="M270" s="2">
        <v>20.2</v>
      </c>
      <c r="N270" s="2">
        <v>23.1</v>
      </c>
      <c r="O270" s="2">
        <v>24.1</v>
      </c>
      <c r="P270" s="2">
        <v>24.6</v>
      </c>
      <c r="Q270" s="2">
        <v>25.5</v>
      </c>
      <c r="R270" s="2">
        <v>24.5</v>
      </c>
      <c r="S270" s="2">
        <v>25.2</v>
      </c>
      <c r="T270" s="2">
        <v>24.8</v>
      </c>
      <c r="U270" s="2">
        <v>24.7</v>
      </c>
      <c r="V270" s="2">
        <v>23.6</v>
      </c>
      <c r="W270" s="2">
        <v>22.9</v>
      </c>
      <c r="X270" s="2">
        <v>22.3</v>
      </c>
      <c r="Y270" s="2">
        <v>22</v>
      </c>
      <c r="Z270" s="2">
        <v>20.3</v>
      </c>
      <c r="AA270" s="2">
        <v>19.899999999999999</v>
      </c>
      <c r="AC270" s="5">
        <f t="shared" si="5"/>
        <v>21.020833333333332</v>
      </c>
    </row>
    <row r="271" spans="2:29" x14ac:dyDescent="0.25">
      <c r="B271" s="4">
        <v>42636</v>
      </c>
      <c r="C271" s="3">
        <v>267</v>
      </c>
      <c r="D271" s="2">
        <v>20.8</v>
      </c>
      <c r="E271" s="2">
        <v>20.7</v>
      </c>
      <c r="F271" s="2">
        <v>20.8</v>
      </c>
      <c r="G271" s="2">
        <v>20.8</v>
      </c>
      <c r="H271" s="2">
        <v>20.7</v>
      </c>
      <c r="I271" s="2">
        <v>20</v>
      </c>
      <c r="J271" s="2">
        <v>19.2</v>
      </c>
      <c r="K271" s="2">
        <v>19.399999999999999</v>
      </c>
      <c r="L271" s="2">
        <v>19.3</v>
      </c>
      <c r="M271" s="2">
        <v>20.5</v>
      </c>
      <c r="N271" s="2">
        <v>22.3</v>
      </c>
      <c r="O271" s="2">
        <v>23.3</v>
      </c>
      <c r="P271" s="2">
        <v>23.5</v>
      </c>
      <c r="Q271" s="2">
        <v>24.1</v>
      </c>
      <c r="R271" s="2">
        <v>24.2</v>
      </c>
      <c r="S271" s="2">
        <v>21.6</v>
      </c>
      <c r="T271" s="2">
        <v>21.8</v>
      </c>
      <c r="U271" s="2">
        <v>21.4</v>
      </c>
      <c r="V271" s="2">
        <v>21</v>
      </c>
      <c r="W271" s="2">
        <v>20.5</v>
      </c>
      <c r="X271" s="2">
        <v>18.399999999999999</v>
      </c>
      <c r="Y271" s="2">
        <v>18.3</v>
      </c>
      <c r="Z271" s="2">
        <v>17.899999999999999</v>
      </c>
      <c r="AA271" s="2">
        <v>18.2</v>
      </c>
      <c r="AC271" s="5">
        <f t="shared" si="5"/>
        <v>20.779166666666669</v>
      </c>
    </row>
    <row r="272" spans="2:29" x14ac:dyDescent="0.25">
      <c r="B272" s="4">
        <v>42637</v>
      </c>
      <c r="C272" s="3">
        <v>268</v>
      </c>
      <c r="D272" s="2">
        <v>17.600000000000001</v>
      </c>
      <c r="E272" s="2">
        <v>17.399999999999999</v>
      </c>
      <c r="F272" s="2">
        <v>16.2</v>
      </c>
      <c r="G272" s="2">
        <v>16</v>
      </c>
      <c r="H272" s="2">
        <v>16.600000000000001</v>
      </c>
      <c r="I272" s="2">
        <v>16.5</v>
      </c>
      <c r="J272" s="2">
        <v>16.600000000000001</v>
      </c>
      <c r="K272" s="2">
        <v>16.399999999999999</v>
      </c>
      <c r="L272" s="2">
        <v>15.9</v>
      </c>
      <c r="M272" s="2">
        <v>17.399999999999999</v>
      </c>
      <c r="N272" s="2">
        <v>20.7</v>
      </c>
      <c r="O272" s="2">
        <v>23.3</v>
      </c>
      <c r="P272" s="2">
        <v>24.9</v>
      </c>
      <c r="Q272" s="2">
        <v>24.8</v>
      </c>
      <c r="R272" s="2">
        <v>24.3</v>
      </c>
      <c r="S272" s="2">
        <v>23.5</v>
      </c>
      <c r="T272" s="2">
        <v>23.5</v>
      </c>
      <c r="U272" s="2">
        <v>22.5</v>
      </c>
      <c r="V272" s="2">
        <v>23</v>
      </c>
      <c r="W272" s="2">
        <v>21.8</v>
      </c>
      <c r="X272" s="2">
        <v>19.399999999999999</v>
      </c>
      <c r="Y272" s="2">
        <v>17.2</v>
      </c>
      <c r="Z272" s="2">
        <v>16.7</v>
      </c>
      <c r="AA272" s="2">
        <v>16.600000000000001</v>
      </c>
      <c r="AC272" s="5">
        <f t="shared" si="5"/>
        <v>19.533333333333335</v>
      </c>
    </row>
    <row r="273" spans="2:29" x14ac:dyDescent="0.25">
      <c r="B273" s="4">
        <v>42638</v>
      </c>
      <c r="C273" s="3">
        <v>269</v>
      </c>
      <c r="D273" s="2">
        <v>16.600000000000001</v>
      </c>
      <c r="E273" s="2">
        <v>16.5</v>
      </c>
      <c r="F273" s="2">
        <v>16.3</v>
      </c>
      <c r="G273" s="2">
        <v>16.2</v>
      </c>
      <c r="H273" s="2">
        <v>16.2</v>
      </c>
      <c r="I273" s="2">
        <v>16.5</v>
      </c>
      <c r="J273" s="2">
        <v>17</v>
      </c>
      <c r="K273" s="2">
        <v>16.899999999999999</v>
      </c>
      <c r="L273" s="2">
        <v>17.7</v>
      </c>
      <c r="M273" s="2">
        <v>20.7</v>
      </c>
      <c r="N273" s="2">
        <v>22.2</v>
      </c>
      <c r="O273" s="2">
        <v>23.4</v>
      </c>
      <c r="P273" s="2">
        <v>23.6</v>
      </c>
      <c r="Q273" s="2">
        <v>23</v>
      </c>
      <c r="R273" s="2">
        <v>23.1</v>
      </c>
      <c r="S273" s="2">
        <v>23.3</v>
      </c>
      <c r="T273" s="2">
        <v>23.8</v>
      </c>
      <c r="U273" s="2">
        <v>24</v>
      </c>
      <c r="V273" s="2">
        <v>23.7</v>
      </c>
      <c r="W273" s="2">
        <v>22.6</v>
      </c>
      <c r="X273" s="2">
        <v>22</v>
      </c>
      <c r="Y273" s="2">
        <v>21.8</v>
      </c>
      <c r="Z273" s="2">
        <v>16.899999999999999</v>
      </c>
      <c r="AA273" s="2">
        <v>16.5</v>
      </c>
      <c r="AC273" s="5">
        <f t="shared" si="5"/>
        <v>20.020833333333332</v>
      </c>
    </row>
    <row r="274" spans="2:29" x14ac:dyDescent="0.25">
      <c r="B274" s="4">
        <v>42639</v>
      </c>
      <c r="C274" s="3">
        <v>270</v>
      </c>
      <c r="D274" s="2">
        <v>16.2</v>
      </c>
      <c r="E274" s="2">
        <v>15.7</v>
      </c>
      <c r="F274" s="2">
        <v>14.5</v>
      </c>
      <c r="G274" s="2">
        <v>14.3</v>
      </c>
      <c r="H274" s="2">
        <v>14.6</v>
      </c>
      <c r="I274" s="2">
        <v>15</v>
      </c>
      <c r="J274" s="2">
        <v>15.5</v>
      </c>
      <c r="K274" s="2">
        <v>15</v>
      </c>
      <c r="L274" s="2">
        <v>15.9</v>
      </c>
      <c r="M274" s="2">
        <v>17.399999999999999</v>
      </c>
      <c r="N274" s="2">
        <v>20.100000000000001</v>
      </c>
      <c r="O274" s="2">
        <v>23.1</v>
      </c>
      <c r="P274" s="2">
        <v>23.2</v>
      </c>
      <c r="Q274" s="2">
        <v>23.5</v>
      </c>
      <c r="R274" s="2">
        <v>23.2</v>
      </c>
      <c r="S274" s="2">
        <v>24.4</v>
      </c>
      <c r="T274" s="2">
        <v>23.4</v>
      </c>
      <c r="U274" s="2">
        <v>24.1</v>
      </c>
      <c r="V274" s="2">
        <v>23.4</v>
      </c>
      <c r="W274" s="2">
        <v>22.4</v>
      </c>
      <c r="X274" s="2">
        <v>21.7</v>
      </c>
      <c r="Y274" s="2">
        <v>19.100000000000001</v>
      </c>
      <c r="Z274" s="2">
        <v>19</v>
      </c>
      <c r="AA274" s="2">
        <v>19</v>
      </c>
      <c r="AC274" s="5">
        <f t="shared" si="5"/>
        <v>19.320833333333329</v>
      </c>
    </row>
    <row r="275" spans="2:29" x14ac:dyDescent="0.25">
      <c r="B275" s="4">
        <v>42640</v>
      </c>
      <c r="C275" s="3">
        <v>271</v>
      </c>
      <c r="D275" s="2">
        <v>19</v>
      </c>
      <c r="E275" s="2">
        <v>18.3</v>
      </c>
      <c r="F275" s="2">
        <v>18.100000000000001</v>
      </c>
      <c r="G275" s="2">
        <v>17.3</v>
      </c>
      <c r="H275" s="2">
        <v>16.899999999999999</v>
      </c>
      <c r="I275" s="2">
        <v>17.399999999999999</v>
      </c>
      <c r="J275" s="2">
        <v>16.7</v>
      </c>
      <c r="K275" s="2">
        <v>16.899999999999999</v>
      </c>
      <c r="L275" s="2">
        <v>17.3</v>
      </c>
      <c r="M275" s="2">
        <v>19.399999999999999</v>
      </c>
      <c r="N275" s="2">
        <v>20.100000000000001</v>
      </c>
      <c r="O275" s="2">
        <v>23</v>
      </c>
      <c r="P275" s="2">
        <v>23.3</v>
      </c>
      <c r="Q275" s="2">
        <v>23.4</v>
      </c>
      <c r="R275" s="2">
        <v>22.2</v>
      </c>
      <c r="S275" s="2">
        <v>23.9</v>
      </c>
      <c r="T275" s="2">
        <v>23.3</v>
      </c>
      <c r="U275" s="2">
        <v>23.5</v>
      </c>
      <c r="V275" s="2">
        <v>22.7</v>
      </c>
      <c r="W275" s="2">
        <v>22</v>
      </c>
      <c r="X275" s="2">
        <v>21</v>
      </c>
      <c r="Y275" s="2">
        <v>20</v>
      </c>
      <c r="Z275" s="2">
        <v>19.5</v>
      </c>
      <c r="AA275" s="2">
        <v>20.100000000000001</v>
      </c>
      <c r="AC275" s="5">
        <f t="shared" si="5"/>
        <v>20.220833333333335</v>
      </c>
    </row>
    <row r="276" spans="2:29" x14ac:dyDescent="0.25">
      <c r="B276" s="4">
        <v>42641</v>
      </c>
      <c r="C276" s="3">
        <v>272</v>
      </c>
      <c r="D276" s="2">
        <v>20</v>
      </c>
      <c r="E276" s="2">
        <v>19.8</v>
      </c>
      <c r="F276" s="2">
        <v>18.899999999999999</v>
      </c>
      <c r="G276" s="2">
        <v>18.600000000000001</v>
      </c>
      <c r="H276" s="2">
        <v>17.8</v>
      </c>
      <c r="I276" s="2">
        <v>17</v>
      </c>
      <c r="J276" s="2">
        <v>16</v>
      </c>
      <c r="K276" s="2">
        <v>15.5</v>
      </c>
      <c r="L276" s="2">
        <v>15.5</v>
      </c>
      <c r="M276" s="2">
        <v>18.8</v>
      </c>
      <c r="N276" s="2">
        <v>22</v>
      </c>
      <c r="O276" s="2">
        <v>24.7</v>
      </c>
      <c r="P276" s="2">
        <v>25.3</v>
      </c>
      <c r="Q276" s="2">
        <v>25.3</v>
      </c>
      <c r="R276" s="2">
        <v>25.2</v>
      </c>
      <c r="S276" s="2">
        <v>24.9</v>
      </c>
      <c r="T276" s="2">
        <v>24.7</v>
      </c>
      <c r="U276" s="2">
        <v>25</v>
      </c>
      <c r="V276" s="2">
        <v>24.1</v>
      </c>
      <c r="W276" s="2">
        <v>22.3</v>
      </c>
      <c r="X276" s="2">
        <v>20.5</v>
      </c>
      <c r="Y276" s="2">
        <v>18.100000000000001</v>
      </c>
      <c r="Z276" s="2">
        <v>17.3</v>
      </c>
      <c r="AA276" s="2">
        <v>16.8</v>
      </c>
      <c r="AC276" s="5">
        <f t="shared" si="5"/>
        <v>20.587500000000002</v>
      </c>
    </row>
    <row r="277" spans="2:29" x14ac:dyDescent="0.25">
      <c r="B277" s="4">
        <v>42642</v>
      </c>
      <c r="C277" s="3">
        <v>273</v>
      </c>
      <c r="D277" s="2">
        <v>16.3</v>
      </c>
      <c r="E277" s="2">
        <v>15.9</v>
      </c>
      <c r="F277" s="2">
        <v>15.3</v>
      </c>
      <c r="G277" s="2">
        <v>14.8</v>
      </c>
      <c r="H277" s="2">
        <v>14.4</v>
      </c>
      <c r="I277" s="2">
        <v>14</v>
      </c>
      <c r="J277" s="2">
        <v>13.6</v>
      </c>
      <c r="K277" s="2">
        <v>13.1</v>
      </c>
      <c r="L277" s="2">
        <v>13.5</v>
      </c>
      <c r="M277" s="2">
        <v>17.600000000000001</v>
      </c>
      <c r="N277" s="2">
        <v>20.6</v>
      </c>
      <c r="O277" s="2">
        <v>23.3</v>
      </c>
      <c r="P277" s="2">
        <v>24</v>
      </c>
      <c r="Q277" s="2">
        <v>24.8</v>
      </c>
      <c r="R277" s="2">
        <v>24.8</v>
      </c>
      <c r="S277" s="2">
        <v>24.6</v>
      </c>
      <c r="T277" s="2">
        <v>24.4</v>
      </c>
      <c r="U277" s="2">
        <v>23.7</v>
      </c>
      <c r="V277" s="2">
        <v>23.1</v>
      </c>
      <c r="W277" s="2">
        <v>21.8</v>
      </c>
      <c r="X277" s="2">
        <v>19.5</v>
      </c>
      <c r="Y277" s="2">
        <v>17.3</v>
      </c>
      <c r="Z277" s="2">
        <v>17</v>
      </c>
      <c r="AA277" s="2">
        <v>17.100000000000001</v>
      </c>
      <c r="AC277" s="5">
        <f t="shared" si="5"/>
        <v>18.937500000000004</v>
      </c>
    </row>
    <row r="278" spans="2:29" x14ac:dyDescent="0.25">
      <c r="B278" s="4">
        <v>42643</v>
      </c>
      <c r="C278" s="3">
        <v>274</v>
      </c>
      <c r="D278" s="2">
        <v>16.7</v>
      </c>
      <c r="E278" s="2">
        <v>16.2</v>
      </c>
      <c r="F278" s="2">
        <v>16.3</v>
      </c>
      <c r="G278" s="2">
        <v>16.3</v>
      </c>
      <c r="H278" s="2">
        <v>16.7</v>
      </c>
      <c r="I278" s="2">
        <v>16.600000000000001</v>
      </c>
      <c r="J278" s="2">
        <v>16.7</v>
      </c>
      <c r="K278" s="2">
        <v>16.100000000000001</v>
      </c>
      <c r="L278" s="2">
        <v>16.2</v>
      </c>
      <c r="M278" s="2">
        <v>19.899999999999999</v>
      </c>
      <c r="N278" s="2">
        <v>22.2</v>
      </c>
      <c r="O278" s="2">
        <v>23.3</v>
      </c>
      <c r="P278" s="2">
        <v>23.2</v>
      </c>
      <c r="Q278" s="2">
        <v>24.4</v>
      </c>
      <c r="R278" s="2">
        <v>24</v>
      </c>
      <c r="S278" s="2">
        <v>24.4</v>
      </c>
      <c r="T278" s="2">
        <v>23.4</v>
      </c>
      <c r="U278" s="2">
        <v>24</v>
      </c>
      <c r="V278" s="2">
        <v>23.3</v>
      </c>
      <c r="W278" s="2">
        <v>21.9</v>
      </c>
      <c r="X278" s="2">
        <v>19.3</v>
      </c>
      <c r="Y278" s="2">
        <v>17.3</v>
      </c>
      <c r="Z278" s="2">
        <v>16.8</v>
      </c>
      <c r="AA278" s="2">
        <v>16.8</v>
      </c>
      <c r="AC278" s="5">
        <f t="shared" si="5"/>
        <v>19.666666666666668</v>
      </c>
    </row>
    <row r="279" spans="2:29" x14ac:dyDescent="0.25">
      <c r="B279" s="4">
        <v>42644</v>
      </c>
      <c r="C279" s="3">
        <v>275</v>
      </c>
      <c r="D279" s="2">
        <v>16.899999999999999</v>
      </c>
      <c r="E279" s="2">
        <v>16.2</v>
      </c>
      <c r="F279" s="2">
        <v>16.100000000000001</v>
      </c>
      <c r="G279" s="2">
        <v>16.100000000000001</v>
      </c>
      <c r="H279" s="2">
        <v>16.3</v>
      </c>
      <c r="I279" s="2">
        <v>16.899999999999999</v>
      </c>
      <c r="J279" s="2">
        <v>16.8</v>
      </c>
      <c r="K279" s="2">
        <v>16.600000000000001</v>
      </c>
      <c r="L279" s="2">
        <v>16.8</v>
      </c>
      <c r="M279" s="2">
        <v>18.8</v>
      </c>
      <c r="N279" s="2">
        <v>21.1</v>
      </c>
      <c r="O279" s="2">
        <v>21.6</v>
      </c>
      <c r="P279" s="2">
        <v>23.7</v>
      </c>
      <c r="Q279" s="2">
        <v>23.8</v>
      </c>
      <c r="R279" s="2">
        <v>24</v>
      </c>
      <c r="S279" s="2">
        <v>24.6</v>
      </c>
      <c r="T279" s="2">
        <v>24.8</v>
      </c>
      <c r="U279" s="2">
        <v>24.5</v>
      </c>
      <c r="V279" s="2">
        <v>23.4</v>
      </c>
      <c r="W279" s="2">
        <v>22</v>
      </c>
      <c r="X279" s="2">
        <v>20.7</v>
      </c>
      <c r="Y279" s="2">
        <v>18.600000000000001</v>
      </c>
      <c r="Z279" s="2">
        <v>18</v>
      </c>
      <c r="AA279" s="2">
        <v>17.5</v>
      </c>
      <c r="AC279" s="5">
        <f t="shared" si="5"/>
        <v>19.824999999999999</v>
      </c>
    </row>
    <row r="280" spans="2:29" x14ac:dyDescent="0.25">
      <c r="B280" s="4">
        <v>42645</v>
      </c>
      <c r="C280" s="3">
        <v>276</v>
      </c>
      <c r="D280" s="2">
        <v>17.899999999999999</v>
      </c>
      <c r="E280" s="2">
        <v>18</v>
      </c>
      <c r="F280" s="2">
        <v>18.399999999999999</v>
      </c>
      <c r="G280" s="2">
        <v>18.100000000000001</v>
      </c>
      <c r="H280" s="2">
        <v>18.100000000000001</v>
      </c>
      <c r="I280" s="2">
        <v>18.399999999999999</v>
      </c>
      <c r="J280" s="2">
        <v>18.5</v>
      </c>
      <c r="K280" s="2">
        <v>18.7</v>
      </c>
      <c r="L280" s="2">
        <v>19.100000000000001</v>
      </c>
      <c r="M280" s="2">
        <v>21</v>
      </c>
      <c r="N280" s="2">
        <v>22.1</v>
      </c>
      <c r="O280" s="2">
        <v>21.3</v>
      </c>
      <c r="P280" s="2">
        <v>22.6</v>
      </c>
      <c r="Q280" s="2">
        <v>23.1</v>
      </c>
      <c r="R280" s="2">
        <v>23.7</v>
      </c>
      <c r="S280" s="2">
        <v>24.2</v>
      </c>
      <c r="T280" s="2">
        <v>24.7</v>
      </c>
      <c r="U280" s="2">
        <v>24.1</v>
      </c>
      <c r="V280" s="2">
        <v>23.4</v>
      </c>
      <c r="W280" s="2">
        <v>22.4</v>
      </c>
      <c r="X280" s="2">
        <v>20.100000000000001</v>
      </c>
      <c r="Y280" s="2">
        <v>20</v>
      </c>
      <c r="Z280" s="2">
        <v>20.2</v>
      </c>
      <c r="AA280" s="2">
        <v>20.5</v>
      </c>
      <c r="AC280" s="5">
        <f t="shared" si="5"/>
        <v>20.774999999999999</v>
      </c>
    </row>
    <row r="281" spans="2:29" x14ac:dyDescent="0.25">
      <c r="B281" s="4">
        <v>42646</v>
      </c>
      <c r="C281" s="3">
        <v>277</v>
      </c>
      <c r="D281" s="2">
        <v>20.3</v>
      </c>
      <c r="E281" s="2">
        <v>20.3</v>
      </c>
      <c r="F281" s="2">
        <v>19.8</v>
      </c>
      <c r="G281" s="2">
        <v>20.9</v>
      </c>
      <c r="H281" s="2">
        <v>19.899999999999999</v>
      </c>
      <c r="I281" s="2">
        <v>19.600000000000001</v>
      </c>
      <c r="J281" s="2">
        <v>19.7</v>
      </c>
      <c r="K281" s="2">
        <v>19.399999999999999</v>
      </c>
      <c r="L281" s="2">
        <v>19.5</v>
      </c>
      <c r="M281" s="2">
        <v>20.2</v>
      </c>
      <c r="N281" s="2">
        <v>21.1</v>
      </c>
      <c r="O281" s="2">
        <v>21.9</v>
      </c>
      <c r="P281" s="2">
        <v>22.9</v>
      </c>
      <c r="Q281" s="2">
        <v>22.9</v>
      </c>
      <c r="R281" s="2">
        <v>23.2</v>
      </c>
      <c r="S281" s="2">
        <v>23.4</v>
      </c>
      <c r="T281" s="2">
        <v>23</v>
      </c>
      <c r="U281" s="2">
        <v>22.5</v>
      </c>
      <c r="V281" s="2">
        <v>22.5</v>
      </c>
      <c r="W281" s="2">
        <v>21.5</v>
      </c>
      <c r="X281" s="2">
        <v>20.100000000000001</v>
      </c>
      <c r="Y281" s="2">
        <v>19.899999999999999</v>
      </c>
      <c r="Z281" s="2">
        <v>20.3</v>
      </c>
      <c r="AA281" s="2">
        <v>19.8</v>
      </c>
      <c r="AC281" s="5">
        <f t="shared" si="5"/>
        <v>21.024999999999999</v>
      </c>
    </row>
    <row r="282" spans="2:29" x14ac:dyDescent="0.25">
      <c r="B282" s="4">
        <v>42647</v>
      </c>
      <c r="C282" s="3">
        <v>278</v>
      </c>
      <c r="D282" s="2">
        <v>18.899999999999999</v>
      </c>
      <c r="E282" s="2">
        <v>18.7</v>
      </c>
      <c r="F282" s="2">
        <v>18.899999999999999</v>
      </c>
      <c r="G282" s="2">
        <v>18.3</v>
      </c>
      <c r="H282" s="2">
        <v>17.899999999999999</v>
      </c>
      <c r="I282" s="2">
        <v>17.600000000000001</v>
      </c>
      <c r="J282" s="2">
        <v>17.899999999999999</v>
      </c>
      <c r="K282" s="2">
        <v>17.600000000000001</v>
      </c>
      <c r="L282" s="2">
        <v>17.399999999999999</v>
      </c>
      <c r="M282" s="2">
        <v>19.7</v>
      </c>
      <c r="N282" s="2">
        <v>22.6</v>
      </c>
      <c r="O282" s="2">
        <v>23.2</v>
      </c>
      <c r="P282" s="2">
        <v>24.6</v>
      </c>
      <c r="Q282" s="2">
        <v>25.3</v>
      </c>
      <c r="R282" s="2">
        <v>25.5</v>
      </c>
      <c r="S282" s="2">
        <v>25.4</v>
      </c>
      <c r="T282" s="2">
        <v>24.1</v>
      </c>
      <c r="U282" s="2">
        <v>23.4</v>
      </c>
      <c r="V282" s="2">
        <v>23.1</v>
      </c>
      <c r="W282" s="2">
        <v>22.1</v>
      </c>
      <c r="X282" s="2">
        <v>21.5</v>
      </c>
      <c r="Y282" s="2">
        <v>19.399999999999999</v>
      </c>
      <c r="Z282" s="2">
        <v>18.7</v>
      </c>
      <c r="AA282" s="2">
        <v>19</v>
      </c>
      <c r="AC282" s="5">
        <f t="shared" si="5"/>
        <v>20.866666666666664</v>
      </c>
    </row>
    <row r="283" spans="2:29" x14ac:dyDescent="0.25">
      <c r="B283" s="4">
        <v>42648</v>
      </c>
      <c r="C283" s="3">
        <v>279</v>
      </c>
      <c r="D283" s="2">
        <v>21</v>
      </c>
      <c r="E283" s="2">
        <v>20.9</v>
      </c>
      <c r="F283" s="2">
        <v>20.6</v>
      </c>
      <c r="G283" s="2">
        <v>20.5</v>
      </c>
      <c r="H283" s="2">
        <v>19.899999999999999</v>
      </c>
      <c r="I283" s="2">
        <v>19.5</v>
      </c>
      <c r="J283" s="2">
        <v>19.2</v>
      </c>
      <c r="K283" s="2">
        <v>18.899999999999999</v>
      </c>
      <c r="L283" s="2">
        <v>18.100000000000001</v>
      </c>
      <c r="M283" s="2">
        <v>19.8</v>
      </c>
      <c r="N283" s="2">
        <v>21.8</v>
      </c>
      <c r="O283" s="2">
        <v>22.7</v>
      </c>
      <c r="P283" s="2">
        <v>23.9</v>
      </c>
      <c r="Q283" s="2">
        <v>23.9</v>
      </c>
      <c r="R283" s="2">
        <v>23.4</v>
      </c>
      <c r="S283" s="2">
        <v>23.2</v>
      </c>
      <c r="T283" s="2">
        <v>23.1</v>
      </c>
      <c r="U283" s="2">
        <v>22.9</v>
      </c>
      <c r="V283" s="2">
        <v>22.4</v>
      </c>
      <c r="W283" s="2">
        <v>20.7</v>
      </c>
      <c r="X283" s="2">
        <v>19.3</v>
      </c>
      <c r="Y283" s="2">
        <v>16.899999999999999</v>
      </c>
      <c r="Z283" s="2">
        <v>16.3</v>
      </c>
      <c r="AA283" s="2">
        <v>16.7</v>
      </c>
      <c r="AC283" s="5">
        <f t="shared" si="5"/>
        <v>20.649999999999995</v>
      </c>
    </row>
    <row r="284" spans="2:29" x14ac:dyDescent="0.25">
      <c r="B284" s="4">
        <v>42649</v>
      </c>
      <c r="C284" s="3">
        <v>280</v>
      </c>
      <c r="D284" s="2">
        <v>18.100000000000001</v>
      </c>
      <c r="E284" s="2">
        <v>18.5</v>
      </c>
      <c r="F284" s="2">
        <v>18.600000000000001</v>
      </c>
      <c r="G284" s="2">
        <v>17.899999999999999</v>
      </c>
      <c r="H284" s="2">
        <v>18.2</v>
      </c>
      <c r="I284" s="2">
        <v>18.8</v>
      </c>
      <c r="J284" s="2">
        <v>18.7</v>
      </c>
      <c r="K284" s="2">
        <v>19.100000000000001</v>
      </c>
      <c r="L284" s="2">
        <v>17.7</v>
      </c>
      <c r="M284" s="2">
        <v>17.5</v>
      </c>
      <c r="N284" s="2">
        <v>18.3</v>
      </c>
      <c r="O284" s="2">
        <v>19.100000000000001</v>
      </c>
      <c r="P284" s="2">
        <v>20.3</v>
      </c>
      <c r="Q284" s="2">
        <v>20.2</v>
      </c>
      <c r="R284" s="2">
        <v>18.7</v>
      </c>
      <c r="S284" s="2">
        <v>19.899999999999999</v>
      </c>
      <c r="T284" s="2">
        <v>21.3</v>
      </c>
      <c r="U284" s="2">
        <v>21</v>
      </c>
      <c r="V284" s="2">
        <v>19.7</v>
      </c>
      <c r="W284" s="2">
        <v>19.7</v>
      </c>
      <c r="X284" s="2">
        <v>18.600000000000001</v>
      </c>
      <c r="Y284" s="2">
        <v>17</v>
      </c>
      <c r="Z284" s="2">
        <v>16.899999999999999</v>
      </c>
      <c r="AA284" s="2">
        <v>16.3</v>
      </c>
      <c r="AC284" s="5">
        <f t="shared" si="5"/>
        <v>18.754166666666666</v>
      </c>
    </row>
    <row r="285" spans="2:29" x14ac:dyDescent="0.25">
      <c r="B285" s="4">
        <v>42650</v>
      </c>
      <c r="C285" s="3">
        <v>281</v>
      </c>
      <c r="D285" s="2">
        <v>15.9</v>
      </c>
      <c r="E285" s="2">
        <v>15.7</v>
      </c>
      <c r="F285" s="2">
        <v>14.3</v>
      </c>
      <c r="G285" s="2">
        <v>14.3</v>
      </c>
      <c r="H285" s="2">
        <v>14.4</v>
      </c>
      <c r="I285" s="2">
        <v>14.2</v>
      </c>
      <c r="J285" s="2">
        <v>13.8</v>
      </c>
      <c r="K285" s="2">
        <v>14</v>
      </c>
      <c r="L285" s="2">
        <v>14.5</v>
      </c>
      <c r="M285" s="2">
        <v>16.3</v>
      </c>
      <c r="N285" s="2">
        <v>19.8</v>
      </c>
      <c r="O285" s="2">
        <v>20.399999999999999</v>
      </c>
      <c r="P285" s="2">
        <v>22.3</v>
      </c>
      <c r="Q285" s="2">
        <v>23</v>
      </c>
      <c r="R285" s="2">
        <v>23</v>
      </c>
      <c r="S285" s="2">
        <v>23.5</v>
      </c>
      <c r="T285" s="2">
        <v>23.4</v>
      </c>
      <c r="U285" s="2">
        <v>22.2</v>
      </c>
      <c r="V285" s="2">
        <v>21.3</v>
      </c>
      <c r="W285" s="2">
        <v>20.7</v>
      </c>
      <c r="X285" s="2">
        <v>18.7</v>
      </c>
      <c r="Y285" s="2">
        <v>17.2</v>
      </c>
      <c r="Z285" s="2">
        <v>16.8</v>
      </c>
      <c r="AA285" s="2">
        <v>16.600000000000001</v>
      </c>
      <c r="AC285" s="5">
        <f t="shared" si="5"/>
        <v>18.179166666666671</v>
      </c>
    </row>
    <row r="286" spans="2:29" x14ac:dyDescent="0.25">
      <c r="B286" s="4">
        <v>42651</v>
      </c>
      <c r="C286" s="3">
        <v>282</v>
      </c>
      <c r="D286" s="2">
        <v>17.399999999999999</v>
      </c>
      <c r="E286" s="2">
        <v>17.899999999999999</v>
      </c>
      <c r="F286" s="2">
        <v>18.600000000000001</v>
      </c>
      <c r="G286" s="2">
        <v>17.5</v>
      </c>
      <c r="H286" s="2">
        <v>16.3</v>
      </c>
      <c r="I286" s="2">
        <v>14.8</v>
      </c>
      <c r="J286" s="2">
        <v>13.8</v>
      </c>
      <c r="K286" s="2">
        <v>13.4</v>
      </c>
      <c r="L286" s="2">
        <v>13.2</v>
      </c>
      <c r="M286" s="2">
        <v>15.6</v>
      </c>
      <c r="N286" s="2">
        <v>18.600000000000001</v>
      </c>
      <c r="O286" s="2">
        <v>21</v>
      </c>
      <c r="P286" s="2">
        <v>23.4</v>
      </c>
      <c r="Q286" s="2">
        <v>24.2</v>
      </c>
      <c r="R286" s="2">
        <v>24.4</v>
      </c>
      <c r="S286" s="2">
        <v>23.8</v>
      </c>
      <c r="T286" s="2">
        <v>22.4</v>
      </c>
      <c r="U286" s="2">
        <v>22.4</v>
      </c>
      <c r="V286" s="2">
        <v>21.8</v>
      </c>
      <c r="W286" s="2">
        <v>21</v>
      </c>
      <c r="X286" s="2">
        <v>20.7</v>
      </c>
      <c r="Y286" s="2">
        <v>20.6</v>
      </c>
      <c r="Z286" s="2">
        <v>20.100000000000001</v>
      </c>
      <c r="AA286" s="2">
        <v>20</v>
      </c>
      <c r="AC286" s="5">
        <f t="shared" si="5"/>
        <v>19.287499999999998</v>
      </c>
    </row>
    <row r="287" spans="2:29" x14ac:dyDescent="0.25">
      <c r="B287" s="4">
        <v>42652</v>
      </c>
      <c r="C287" s="3">
        <v>283</v>
      </c>
      <c r="D287" s="2">
        <v>19.7</v>
      </c>
      <c r="E287" s="2">
        <v>19.3</v>
      </c>
      <c r="F287" s="2">
        <v>18.399999999999999</v>
      </c>
      <c r="G287" s="2">
        <v>18.100000000000001</v>
      </c>
      <c r="H287" s="2">
        <v>18.2</v>
      </c>
      <c r="I287" s="2">
        <v>17.399999999999999</v>
      </c>
      <c r="J287" s="2">
        <v>17.3</v>
      </c>
      <c r="K287" s="2">
        <v>17.2</v>
      </c>
      <c r="L287" s="2">
        <v>17.2</v>
      </c>
      <c r="M287" s="2">
        <v>17.600000000000001</v>
      </c>
      <c r="N287" s="2">
        <v>16.899999999999999</v>
      </c>
      <c r="O287" s="2">
        <v>16.2</v>
      </c>
      <c r="P287" s="2">
        <v>16.5</v>
      </c>
      <c r="Q287" s="2">
        <v>15.2</v>
      </c>
      <c r="R287" s="2">
        <v>15.8</v>
      </c>
      <c r="S287" s="2">
        <v>15.9</v>
      </c>
      <c r="T287" s="2">
        <v>16</v>
      </c>
      <c r="U287" s="2">
        <v>16.100000000000001</v>
      </c>
      <c r="V287" s="2">
        <v>16.5</v>
      </c>
      <c r="W287" s="2">
        <v>16.5</v>
      </c>
      <c r="X287" s="2">
        <v>16.100000000000001</v>
      </c>
      <c r="Y287" s="2">
        <v>15.1</v>
      </c>
      <c r="Z287" s="2">
        <v>14.7</v>
      </c>
      <c r="AA287" s="2">
        <v>15.5</v>
      </c>
      <c r="AC287" s="5">
        <f t="shared" si="5"/>
        <v>16.808333333333334</v>
      </c>
    </row>
    <row r="288" spans="2:29" x14ac:dyDescent="0.25">
      <c r="B288" s="4">
        <v>42653</v>
      </c>
      <c r="C288" s="3">
        <v>284</v>
      </c>
      <c r="D288" s="2">
        <v>15.8</v>
      </c>
      <c r="E288" s="2">
        <v>16.2</v>
      </c>
      <c r="F288" s="2">
        <v>15.4</v>
      </c>
      <c r="G288" s="2">
        <v>15.2</v>
      </c>
      <c r="H288" s="2">
        <v>14.6</v>
      </c>
      <c r="I288" s="2">
        <v>14.6</v>
      </c>
      <c r="J288" s="2">
        <v>14.5</v>
      </c>
      <c r="K288" s="2">
        <v>14.5</v>
      </c>
      <c r="L288" s="2">
        <v>14</v>
      </c>
      <c r="M288" s="2">
        <v>14.9</v>
      </c>
      <c r="N288" s="2">
        <v>14.9</v>
      </c>
      <c r="O288" s="2">
        <v>15.6</v>
      </c>
      <c r="P288" s="2">
        <v>16.899999999999999</v>
      </c>
      <c r="Q288" s="2">
        <v>18.7</v>
      </c>
      <c r="R288" s="2">
        <v>20</v>
      </c>
      <c r="S288" s="2">
        <v>19.5</v>
      </c>
      <c r="T288" s="2">
        <v>19.7</v>
      </c>
      <c r="U288" s="2">
        <v>19.5</v>
      </c>
      <c r="V288" s="2">
        <v>18.5</v>
      </c>
      <c r="W288" s="2">
        <v>17.899999999999999</v>
      </c>
      <c r="X288" s="2">
        <v>14.8</v>
      </c>
      <c r="Y288" s="2">
        <v>14.1</v>
      </c>
      <c r="Z288" s="2">
        <v>13</v>
      </c>
      <c r="AA288" s="2">
        <v>12.7</v>
      </c>
      <c r="AC288" s="5">
        <f t="shared" si="5"/>
        <v>16.0625</v>
      </c>
    </row>
    <row r="289" spans="2:29" x14ac:dyDescent="0.25">
      <c r="B289" s="4">
        <v>42654</v>
      </c>
      <c r="C289" s="3">
        <v>285</v>
      </c>
      <c r="D289" s="2">
        <v>14.1</v>
      </c>
      <c r="E289" s="2">
        <v>14</v>
      </c>
      <c r="F289" s="2">
        <v>13.5</v>
      </c>
      <c r="G289" s="2">
        <v>12.4</v>
      </c>
      <c r="H289" s="2">
        <v>11.2</v>
      </c>
      <c r="I289" s="2">
        <v>11.6</v>
      </c>
      <c r="J289" s="2">
        <v>9.1</v>
      </c>
      <c r="K289" s="2">
        <v>7.7</v>
      </c>
      <c r="L289" s="2">
        <v>7</v>
      </c>
      <c r="M289" s="2">
        <v>11.8</v>
      </c>
      <c r="N289" s="2">
        <v>15</v>
      </c>
      <c r="O289" s="2">
        <v>16.899999999999999</v>
      </c>
      <c r="P289" s="2">
        <v>18.7</v>
      </c>
      <c r="Q289" s="2">
        <v>20.100000000000001</v>
      </c>
      <c r="R289" s="2">
        <v>20.5</v>
      </c>
      <c r="S289" s="2">
        <v>21.8</v>
      </c>
      <c r="T289" s="2">
        <v>22.1</v>
      </c>
      <c r="U289" s="2">
        <v>19.899999999999999</v>
      </c>
      <c r="V289" s="2">
        <v>18.899999999999999</v>
      </c>
      <c r="W289" s="2">
        <v>18</v>
      </c>
      <c r="X289" s="2">
        <v>17.2</v>
      </c>
      <c r="Y289" s="2">
        <v>17</v>
      </c>
      <c r="Z289" s="2">
        <v>17.100000000000001</v>
      </c>
      <c r="AA289" s="2">
        <v>17.100000000000001</v>
      </c>
      <c r="AC289" s="5">
        <f t="shared" si="5"/>
        <v>15.529166666666667</v>
      </c>
    </row>
    <row r="290" spans="2:29" x14ac:dyDescent="0.25">
      <c r="B290" s="4">
        <v>42655</v>
      </c>
      <c r="C290" s="3">
        <v>286</v>
      </c>
      <c r="D290" s="2">
        <v>17.100000000000001</v>
      </c>
      <c r="E290" s="2">
        <v>16.399999999999999</v>
      </c>
      <c r="F290" s="2">
        <v>15.9</v>
      </c>
      <c r="G290" s="2">
        <v>15.7</v>
      </c>
      <c r="H290" s="2">
        <v>15.6</v>
      </c>
      <c r="I290" s="2">
        <v>15.5</v>
      </c>
      <c r="J290" s="2">
        <v>15.3</v>
      </c>
      <c r="K290" s="2">
        <v>14.9</v>
      </c>
      <c r="L290" s="2">
        <v>15.2</v>
      </c>
      <c r="M290" s="2">
        <v>15.9</v>
      </c>
      <c r="N290" s="2">
        <v>17.2</v>
      </c>
      <c r="O290" s="2">
        <v>15.5</v>
      </c>
      <c r="P290" s="2">
        <v>15.1</v>
      </c>
      <c r="Q290" s="2">
        <v>14.7</v>
      </c>
      <c r="R290" s="2">
        <v>14.6</v>
      </c>
      <c r="S290" s="2">
        <v>15.1</v>
      </c>
      <c r="T290" s="2">
        <v>16.2</v>
      </c>
      <c r="U290" s="2">
        <v>16.3</v>
      </c>
      <c r="V290" s="2">
        <v>16.3</v>
      </c>
      <c r="W290" s="2">
        <v>16.3</v>
      </c>
      <c r="X290" s="2">
        <v>16.399999999999999</v>
      </c>
      <c r="Y290" s="2">
        <v>16.100000000000001</v>
      </c>
      <c r="Z290" s="2">
        <v>16</v>
      </c>
      <c r="AA290" s="2">
        <v>16.3</v>
      </c>
      <c r="AC290" s="5">
        <f t="shared" si="5"/>
        <v>15.816666666666668</v>
      </c>
    </row>
    <row r="291" spans="2:29" x14ac:dyDescent="0.25">
      <c r="B291" s="4">
        <v>42656</v>
      </c>
      <c r="C291" s="3">
        <v>287</v>
      </c>
      <c r="D291" s="2">
        <v>16.8</v>
      </c>
      <c r="E291" s="2">
        <v>16.399999999999999</v>
      </c>
      <c r="F291" s="2">
        <v>16.5</v>
      </c>
      <c r="G291" s="2">
        <v>16.2</v>
      </c>
      <c r="H291" s="2">
        <v>16.100000000000001</v>
      </c>
      <c r="I291" s="2">
        <v>15.9</v>
      </c>
      <c r="J291" s="2">
        <v>15.5</v>
      </c>
      <c r="K291" s="2">
        <v>14.7</v>
      </c>
      <c r="L291" s="2">
        <v>14.3</v>
      </c>
      <c r="M291" s="2">
        <v>15.6</v>
      </c>
      <c r="N291" s="2">
        <v>16.899999999999999</v>
      </c>
      <c r="O291" s="2">
        <v>17.5</v>
      </c>
      <c r="P291" s="2">
        <v>17.899999999999999</v>
      </c>
      <c r="Q291" s="2">
        <v>19.5</v>
      </c>
      <c r="R291" s="2">
        <v>19.8</v>
      </c>
      <c r="S291" s="2">
        <v>19.8</v>
      </c>
      <c r="T291" s="2">
        <v>17.7</v>
      </c>
      <c r="U291" s="2">
        <v>19.7</v>
      </c>
      <c r="V291" s="2">
        <v>17.7</v>
      </c>
      <c r="W291" s="2">
        <v>16.600000000000001</v>
      </c>
      <c r="X291" s="2">
        <v>16.399999999999999</v>
      </c>
      <c r="Y291" s="2">
        <v>16</v>
      </c>
      <c r="Z291" s="2">
        <v>15.6</v>
      </c>
      <c r="AA291" s="2">
        <v>14.7</v>
      </c>
      <c r="AC291" s="5">
        <f t="shared" si="5"/>
        <v>16.824999999999999</v>
      </c>
    </row>
    <row r="292" spans="2:29" x14ac:dyDescent="0.25">
      <c r="B292" s="4">
        <v>42657</v>
      </c>
      <c r="C292" s="3">
        <v>288</v>
      </c>
      <c r="D292" s="2">
        <v>14.9</v>
      </c>
      <c r="E292" s="2">
        <v>14.8</v>
      </c>
      <c r="F292" s="2">
        <v>14.4</v>
      </c>
      <c r="G292" s="2">
        <v>13.2</v>
      </c>
      <c r="H292" s="2">
        <v>13.2</v>
      </c>
      <c r="I292" s="2">
        <v>12.6</v>
      </c>
      <c r="J292" s="2">
        <v>12.2</v>
      </c>
      <c r="K292" s="2">
        <v>12.2</v>
      </c>
      <c r="L292" s="2">
        <v>12.6</v>
      </c>
      <c r="M292" s="2">
        <v>13.8</v>
      </c>
      <c r="N292" s="2">
        <v>15.1</v>
      </c>
      <c r="O292" s="2">
        <v>14.8</v>
      </c>
      <c r="P292" s="2">
        <v>17.100000000000001</v>
      </c>
      <c r="Q292" s="2">
        <v>17.5</v>
      </c>
      <c r="R292" s="2">
        <v>17.899999999999999</v>
      </c>
      <c r="S292" s="2">
        <v>18.399999999999999</v>
      </c>
      <c r="T292" s="2">
        <v>19.7</v>
      </c>
      <c r="U292" s="2">
        <v>19.2</v>
      </c>
      <c r="V292" s="2">
        <v>19.100000000000001</v>
      </c>
      <c r="W292" s="2">
        <v>17.600000000000001</v>
      </c>
      <c r="X292" s="2">
        <v>14.7</v>
      </c>
      <c r="Y292" s="2">
        <v>13.5</v>
      </c>
      <c r="Z292" s="2">
        <v>14.2</v>
      </c>
      <c r="AA292" s="2">
        <v>14.2</v>
      </c>
      <c r="AC292" s="5">
        <f t="shared" si="5"/>
        <v>15.287500000000001</v>
      </c>
    </row>
    <row r="293" spans="2:29" x14ac:dyDescent="0.25">
      <c r="B293" s="4">
        <v>42658</v>
      </c>
      <c r="C293" s="3">
        <v>289</v>
      </c>
      <c r="D293" s="2">
        <v>14.8</v>
      </c>
      <c r="E293" s="2">
        <v>13.3</v>
      </c>
      <c r="F293" s="2">
        <v>11.5</v>
      </c>
      <c r="G293" s="2">
        <v>11.4</v>
      </c>
      <c r="H293" s="2">
        <v>11.8</v>
      </c>
      <c r="I293" s="2">
        <v>11.5</v>
      </c>
      <c r="J293" s="2">
        <v>11.7</v>
      </c>
      <c r="K293" s="2">
        <v>11.4</v>
      </c>
      <c r="L293" s="2">
        <v>10.1</v>
      </c>
      <c r="M293" s="2">
        <v>13.1</v>
      </c>
      <c r="N293" s="2">
        <v>17.399999999999999</v>
      </c>
      <c r="O293" s="2">
        <v>19.899999999999999</v>
      </c>
      <c r="P293" s="2">
        <v>21.3</v>
      </c>
      <c r="Q293" s="2">
        <v>22.2</v>
      </c>
      <c r="R293" s="2">
        <v>23</v>
      </c>
      <c r="S293" s="2">
        <v>22.7</v>
      </c>
      <c r="T293" s="2">
        <v>22.5</v>
      </c>
      <c r="U293" s="2">
        <v>22.1</v>
      </c>
      <c r="V293" s="2">
        <v>21.1</v>
      </c>
      <c r="W293" s="2">
        <v>18.8</v>
      </c>
      <c r="X293" s="2">
        <v>15.4</v>
      </c>
      <c r="Y293" s="2">
        <v>15</v>
      </c>
      <c r="Z293" s="2">
        <v>14.3</v>
      </c>
      <c r="AA293" s="2">
        <v>13.8</v>
      </c>
      <c r="AC293" s="5">
        <f t="shared" si="5"/>
        <v>16.25416666666667</v>
      </c>
    </row>
    <row r="294" spans="2:29" x14ac:dyDescent="0.25">
      <c r="B294" s="4">
        <v>42659</v>
      </c>
      <c r="C294" s="3">
        <v>290</v>
      </c>
      <c r="D294" s="2">
        <v>13.6</v>
      </c>
      <c r="E294" s="2">
        <v>13.7</v>
      </c>
      <c r="F294" s="2">
        <v>13.5</v>
      </c>
      <c r="G294" s="2">
        <v>14.1</v>
      </c>
      <c r="H294" s="2">
        <v>13.7</v>
      </c>
      <c r="I294" s="2">
        <v>13.8</v>
      </c>
      <c r="J294" s="2">
        <v>13</v>
      </c>
      <c r="K294" s="2">
        <v>12.1</v>
      </c>
      <c r="L294" s="2">
        <v>11.8</v>
      </c>
      <c r="M294" s="2">
        <v>13.3</v>
      </c>
      <c r="N294" s="2">
        <v>17.899999999999999</v>
      </c>
      <c r="O294" s="2">
        <v>20.7</v>
      </c>
      <c r="P294" s="2">
        <v>21.4</v>
      </c>
      <c r="Q294" s="2">
        <v>22.2</v>
      </c>
      <c r="R294" s="2">
        <v>22.4</v>
      </c>
      <c r="S294" s="2">
        <v>22.6</v>
      </c>
      <c r="T294" s="2">
        <v>22.5</v>
      </c>
      <c r="U294" s="2">
        <v>21.8</v>
      </c>
      <c r="V294" s="2">
        <v>21.2</v>
      </c>
      <c r="W294" s="2">
        <v>20</v>
      </c>
      <c r="X294" s="2">
        <v>17.2</v>
      </c>
      <c r="Y294" s="2">
        <v>16.3</v>
      </c>
      <c r="Z294" s="2">
        <v>15.5</v>
      </c>
      <c r="AA294" s="2">
        <v>15.3</v>
      </c>
      <c r="AC294" s="5">
        <f t="shared" si="5"/>
        <v>17.066666666666666</v>
      </c>
    </row>
    <row r="295" spans="2:29" x14ac:dyDescent="0.25">
      <c r="B295" s="4">
        <v>42660</v>
      </c>
      <c r="C295" s="3">
        <v>291</v>
      </c>
      <c r="D295" s="2">
        <v>15.6</v>
      </c>
      <c r="E295" s="2">
        <v>15.6</v>
      </c>
      <c r="F295" s="2">
        <v>16.3</v>
      </c>
      <c r="G295" s="2">
        <v>15.8</v>
      </c>
      <c r="H295" s="2">
        <v>15.8</v>
      </c>
      <c r="I295" s="2">
        <v>15.9</v>
      </c>
      <c r="J295" s="2">
        <v>16</v>
      </c>
      <c r="K295" s="2">
        <v>15.7</v>
      </c>
      <c r="L295" s="2">
        <v>15.6</v>
      </c>
      <c r="M295" s="2">
        <v>16</v>
      </c>
      <c r="N295" s="2">
        <v>18.7</v>
      </c>
      <c r="O295" s="2">
        <v>19.600000000000001</v>
      </c>
      <c r="P295" s="2">
        <v>20.5</v>
      </c>
      <c r="Q295" s="2">
        <v>22.1</v>
      </c>
      <c r="R295" s="2">
        <v>22.5</v>
      </c>
      <c r="S295" s="2">
        <v>21.5</v>
      </c>
      <c r="T295" s="2">
        <v>20.7</v>
      </c>
      <c r="U295" s="2">
        <v>20.8</v>
      </c>
      <c r="V295" s="2">
        <v>20.399999999999999</v>
      </c>
      <c r="W295" s="2">
        <v>19.3</v>
      </c>
      <c r="X295" s="2">
        <v>18.3</v>
      </c>
      <c r="Y295" s="2">
        <v>17.5</v>
      </c>
      <c r="Z295" s="2">
        <v>16.3</v>
      </c>
      <c r="AA295" s="2">
        <v>16.2</v>
      </c>
      <c r="AC295" s="5">
        <f t="shared" si="5"/>
        <v>18.029166666666665</v>
      </c>
    </row>
    <row r="296" spans="2:29" x14ac:dyDescent="0.25">
      <c r="B296" s="4">
        <v>42661</v>
      </c>
      <c r="C296" s="3">
        <v>292</v>
      </c>
      <c r="D296" s="2">
        <v>16</v>
      </c>
      <c r="E296" s="2">
        <v>16</v>
      </c>
      <c r="F296" s="2">
        <v>16.100000000000001</v>
      </c>
      <c r="G296" s="2">
        <v>15.5</v>
      </c>
      <c r="H296" s="2">
        <v>16.100000000000001</v>
      </c>
      <c r="I296" s="2">
        <v>16.399999999999999</v>
      </c>
      <c r="J296" s="2">
        <v>15.5</v>
      </c>
      <c r="K296" s="2">
        <v>15.4</v>
      </c>
      <c r="L296" s="2">
        <v>15.3</v>
      </c>
      <c r="M296" s="2">
        <v>16</v>
      </c>
      <c r="N296" s="2">
        <v>18.7</v>
      </c>
      <c r="O296" s="2">
        <v>20.100000000000001</v>
      </c>
      <c r="P296" s="2">
        <v>21</v>
      </c>
      <c r="Q296" s="2">
        <v>21.3</v>
      </c>
      <c r="R296" s="2">
        <v>21.5</v>
      </c>
      <c r="S296" s="2">
        <v>21.8</v>
      </c>
      <c r="T296" s="2">
        <v>22</v>
      </c>
      <c r="U296" s="2">
        <v>21</v>
      </c>
      <c r="V296" s="2">
        <v>20.100000000000001</v>
      </c>
      <c r="W296" s="2">
        <v>18.8</v>
      </c>
      <c r="X296" s="2">
        <v>16.7</v>
      </c>
      <c r="Y296" s="2">
        <v>15.4</v>
      </c>
      <c r="Z296" s="2">
        <v>14.8</v>
      </c>
      <c r="AA296" s="2">
        <v>15.2</v>
      </c>
      <c r="AC296" s="5">
        <f t="shared" si="5"/>
        <v>17.779166666666665</v>
      </c>
    </row>
    <row r="297" spans="2:29" x14ac:dyDescent="0.25">
      <c r="B297" s="4">
        <v>42662</v>
      </c>
      <c r="C297" s="3">
        <v>293</v>
      </c>
      <c r="D297" s="2">
        <v>14.2</v>
      </c>
      <c r="E297" s="2">
        <v>13.7</v>
      </c>
      <c r="F297" s="2">
        <v>13.8</v>
      </c>
      <c r="G297" s="2">
        <v>13.5</v>
      </c>
      <c r="H297" s="2">
        <v>13</v>
      </c>
      <c r="I297" s="2">
        <v>12.1</v>
      </c>
      <c r="J297" s="2">
        <v>12.1</v>
      </c>
      <c r="K297" s="2">
        <v>11.5</v>
      </c>
      <c r="L297" s="2">
        <v>11</v>
      </c>
      <c r="M297" s="2">
        <v>13.1</v>
      </c>
      <c r="N297" s="2">
        <v>17</v>
      </c>
      <c r="O297" s="2">
        <v>20.5</v>
      </c>
      <c r="P297" s="2">
        <v>20.8</v>
      </c>
      <c r="Q297" s="2">
        <v>21.7</v>
      </c>
      <c r="R297" s="2">
        <v>22</v>
      </c>
      <c r="S297" s="2">
        <v>23</v>
      </c>
      <c r="T297" s="2">
        <v>23.2</v>
      </c>
      <c r="U297" s="2">
        <v>21.2</v>
      </c>
      <c r="V297" s="2">
        <v>20.3</v>
      </c>
      <c r="W297" s="2">
        <v>18.399999999999999</v>
      </c>
      <c r="X297" s="2">
        <v>16.2</v>
      </c>
      <c r="Y297" s="2">
        <v>15.4</v>
      </c>
      <c r="Z297" s="2">
        <v>16.100000000000001</v>
      </c>
      <c r="AA297" s="2">
        <v>15.9</v>
      </c>
      <c r="AC297" s="5">
        <f t="shared" si="5"/>
        <v>16.654166666666665</v>
      </c>
    </row>
    <row r="298" spans="2:29" x14ac:dyDescent="0.25">
      <c r="B298" s="4">
        <v>42663</v>
      </c>
      <c r="C298" s="3">
        <v>294</v>
      </c>
      <c r="D298" s="2">
        <v>15.3</v>
      </c>
      <c r="E298" s="2">
        <v>13.7</v>
      </c>
      <c r="F298" s="2">
        <v>12.8</v>
      </c>
      <c r="G298" s="2">
        <v>12</v>
      </c>
      <c r="H298" s="2">
        <v>12.5</v>
      </c>
      <c r="I298" s="2">
        <v>12</v>
      </c>
      <c r="J298" s="2">
        <v>11.8</v>
      </c>
      <c r="K298" s="2">
        <v>11.8</v>
      </c>
      <c r="L298" s="2">
        <v>11.5</v>
      </c>
      <c r="M298" s="2">
        <v>12.4</v>
      </c>
      <c r="N298" s="2">
        <v>14.7</v>
      </c>
      <c r="O298" s="2">
        <v>16.5</v>
      </c>
      <c r="P298" s="2">
        <v>18.5</v>
      </c>
      <c r="Q298" s="2">
        <v>19.7</v>
      </c>
      <c r="R298" s="2">
        <v>20.6</v>
      </c>
      <c r="S298" s="2">
        <v>19.600000000000001</v>
      </c>
      <c r="T298" s="2">
        <v>19.3</v>
      </c>
      <c r="U298" s="2">
        <v>18.2</v>
      </c>
      <c r="V298" s="2">
        <v>17.399999999999999</v>
      </c>
      <c r="W298" s="2">
        <v>16.100000000000001</v>
      </c>
      <c r="X298" s="2">
        <v>14.2</v>
      </c>
      <c r="Y298" s="2">
        <v>13.7</v>
      </c>
      <c r="Z298" s="2">
        <v>12.7</v>
      </c>
      <c r="AA298" s="2">
        <v>11.6</v>
      </c>
      <c r="AC298" s="5">
        <f t="shared" si="5"/>
        <v>14.941666666666665</v>
      </c>
    </row>
    <row r="299" spans="2:29" x14ac:dyDescent="0.25">
      <c r="B299" s="4">
        <v>42664</v>
      </c>
      <c r="C299" s="3">
        <v>295</v>
      </c>
      <c r="D299" s="2">
        <v>11.5</v>
      </c>
      <c r="E299" s="2">
        <v>10.199999999999999</v>
      </c>
      <c r="F299" s="2">
        <v>8.6</v>
      </c>
      <c r="G299" s="2">
        <v>7.6</v>
      </c>
      <c r="H299" s="2">
        <v>8.1</v>
      </c>
      <c r="I299" s="2">
        <v>9.4</v>
      </c>
      <c r="J299" s="2">
        <v>10.3</v>
      </c>
      <c r="K299" s="2">
        <v>10.1</v>
      </c>
      <c r="L299" s="2">
        <v>10.4</v>
      </c>
      <c r="M299" s="2">
        <v>10.9</v>
      </c>
      <c r="N299" s="2">
        <v>11.8</v>
      </c>
      <c r="O299" s="2">
        <v>13.8</v>
      </c>
      <c r="P299" s="2">
        <v>15.1</v>
      </c>
      <c r="Q299" s="2">
        <v>15.7</v>
      </c>
      <c r="R299" s="2">
        <v>15.3</v>
      </c>
      <c r="S299" s="2">
        <v>15</v>
      </c>
      <c r="T299" s="2">
        <v>14.8</v>
      </c>
      <c r="U299" s="2">
        <v>13.9</v>
      </c>
      <c r="V299" s="2">
        <v>12.3</v>
      </c>
      <c r="W299" s="2">
        <v>12.1</v>
      </c>
      <c r="X299" s="2">
        <v>12.1</v>
      </c>
      <c r="Y299" s="2">
        <v>12.6</v>
      </c>
      <c r="Z299" s="2">
        <v>12.8</v>
      </c>
      <c r="AA299" s="2">
        <v>13.1</v>
      </c>
      <c r="AC299" s="5">
        <f t="shared" si="5"/>
        <v>11.97916666666667</v>
      </c>
    </row>
    <row r="300" spans="2:29" x14ac:dyDescent="0.25">
      <c r="B300" s="4">
        <v>42665</v>
      </c>
      <c r="C300" s="3">
        <v>296</v>
      </c>
      <c r="D300" s="2">
        <v>13.4</v>
      </c>
      <c r="E300" s="2">
        <v>13.3</v>
      </c>
      <c r="F300" s="2">
        <v>13.5</v>
      </c>
      <c r="G300" s="2">
        <v>13.9</v>
      </c>
      <c r="H300" s="2">
        <v>14.1</v>
      </c>
      <c r="I300" s="2">
        <v>14.6</v>
      </c>
      <c r="J300" s="2">
        <v>14.5</v>
      </c>
      <c r="K300" s="2">
        <v>14.7</v>
      </c>
      <c r="L300" s="2">
        <v>14.8</v>
      </c>
      <c r="M300" s="2">
        <v>15.2</v>
      </c>
      <c r="N300" s="2">
        <v>16.399999999999999</v>
      </c>
      <c r="O300" s="2">
        <v>17</v>
      </c>
      <c r="P300" s="2">
        <v>17.899999999999999</v>
      </c>
      <c r="Q300" s="2">
        <v>18.8</v>
      </c>
      <c r="R300" s="2">
        <v>18.7</v>
      </c>
      <c r="S300" s="2">
        <v>19.2</v>
      </c>
      <c r="T300" s="2">
        <v>18</v>
      </c>
      <c r="U300" s="2">
        <v>17.7</v>
      </c>
      <c r="V300" s="2">
        <v>17.600000000000001</v>
      </c>
      <c r="W300" s="2">
        <v>16.7</v>
      </c>
      <c r="X300" s="2">
        <v>15.8</v>
      </c>
      <c r="Y300" s="2">
        <v>15.9</v>
      </c>
      <c r="Z300" s="2">
        <v>15.6</v>
      </c>
      <c r="AA300" s="2">
        <v>15.8</v>
      </c>
      <c r="AC300" s="5">
        <f t="shared" si="5"/>
        <v>15.9625</v>
      </c>
    </row>
    <row r="301" spans="2:29" x14ac:dyDescent="0.25">
      <c r="B301" s="4">
        <v>42666</v>
      </c>
      <c r="C301" s="3">
        <v>297</v>
      </c>
      <c r="D301" s="2">
        <v>15.8</v>
      </c>
      <c r="E301" s="2">
        <v>15.9</v>
      </c>
      <c r="F301" s="2">
        <v>16</v>
      </c>
      <c r="G301" s="2">
        <v>15.9</v>
      </c>
      <c r="H301" s="2">
        <v>15.1</v>
      </c>
      <c r="I301" s="2">
        <v>15.7</v>
      </c>
      <c r="J301" s="2">
        <v>15.9</v>
      </c>
      <c r="K301" s="2">
        <v>15.5</v>
      </c>
      <c r="L301" s="2">
        <v>15.9</v>
      </c>
      <c r="M301" s="2">
        <v>17.5</v>
      </c>
      <c r="N301" s="2">
        <v>17.899999999999999</v>
      </c>
      <c r="O301" s="2">
        <v>19.600000000000001</v>
      </c>
      <c r="P301" s="2">
        <v>21.1</v>
      </c>
      <c r="Q301" s="2">
        <v>22.1</v>
      </c>
      <c r="R301" s="2">
        <v>22</v>
      </c>
      <c r="S301" s="2">
        <v>22.6</v>
      </c>
      <c r="T301" s="2">
        <v>23.1</v>
      </c>
      <c r="U301" s="2">
        <v>21.7</v>
      </c>
      <c r="V301" s="2">
        <v>20.7</v>
      </c>
      <c r="W301" s="2">
        <v>19.600000000000001</v>
      </c>
      <c r="X301" s="2">
        <v>16.899999999999999</v>
      </c>
      <c r="Y301" s="2">
        <v>16.8</v>
      </c>
      <c r="Z301" s="2">
        <v>17.2</v>
      </c>
      <c r="AA301" s="2">
        <v>18.100000000000001</v>
      </c>
      <c r="AC301" s="5">
        <f t="shared" si="5"/>
        <v>18.275000000000002</v>
      </c>
    </row>
    <row r="302" spans="2:29" x14ac:dyDescent="0.25">
      <c r="B302" s="4">
        <v>42667</v>
      </c>
      <c r="C302" s="3">
        <v>298</v>
      </c>
      <c r="D302" s="2">
        <v>18.5</v>
      </c>
      <c r="E302" s="2">
        <v>19.5</v>
      </c>
      <c r="F302" s="2">
        <v>20.100000000000001</v>
      </c>
      <c r="G302" s="2">
        <v>19.8</v>
      </c>
      <c r="H302" s="2">
        <v>18.7</v>
      </c>
      <c r="I302" s="2">
        <v>18.3</v>
      </c>
      <c r="J302" s="2">
        <v>18.100000000000001</v>
      </c>
      <c r="K302" s="2">
        <v>18.600000000000001</v>
      </c>
      <c r="L302" s="2">
        <v>18.399999999999999</v>
      </c>
      <c r="M302" s="2">
        <v>18.899999999999999</v>
      </c>
      <c r="N302" s="2">
        <v>21.2</v>
      </c>
      <c r="O302" s="2">
        <v>22.8</v>
      </c>
      <c r="P302" s="2">
        <v>23.9</v>
      </c>
      <c r="Q302" s="2">
        <v>24</v>
      </c>
      <c r="R302" s="2">
        <v>23.5</v>
      </c>
      <c r="S302" s="2">
        <v>22.3</v>
      </c>
      <c r="T302" s="2">
        <v>21.1</v>
      </c>
      <c r="U302" s="2">
        <v>21.8</v>
      </c>
      <c r="V302" s="2">
        <v>21.1</v>
      </c>
      <c r="W302" s="2">
        <v>19.899999999999999</v>
      </c>
      <c r="X302" s="2">
        <v>18.899999999999999</v>
      </c>
      <c r="Y302" s="2">
        <v>18.100000000000001</v>
      </c>
      <c r="Z302" s="2">
        <v>17.100000000000001</v>
      </c>
      <c r="AA302" s="2">
        <v>16.7</v>
      </c>
      <c r="AC302" s="5">
        <f t="shared" si="5"/>
        <v>20.054166666666671</v>
      </c>
    </row>
    <row r="303" spans="2:29" x14ac:dyDescent="0.25">
      <c r="B303" s="4">
        <v>42668</v>
      </c>
      <c r="C303" s="3">
        <v>299</v>
      </c>
      <c r="D303" s="2">
        <v>16.5</v>
      </c>
      <c r="E303" s="2">
        <v>17.899999999999999</v>
      </c>
      <c r="F303" s="2">
        <v>17.5</v>
      </c>
      <c r="G303" s="2">
        <v>17.3</v>
      </c>
      <c r="H303" s="2">
        <v>17.100000000000001</v>
      </c>
      <c r="I303" s="2">
        <v>17.2</v>
      </c>
      <c r="J303" s="2">
        <v>17.100000000000001</v>
      </c>
      <c r="K303" s="2">
        <v>17.3</v>
      </c>
      <c r="L303" s="2">
        <v>17.2</v>
      </c>
      <c r="M303" s="2">
        <v>17.399999999999999</v>
      </c>
      <c r="N303" s="2">
        <v>17.7</v>
      </c>
      <c r="O303" s="2">
        <v>18.3</v>
      </c>
      <c r="P303" s="2">
        <v>18.8</v>
      </c>
      <c r="Q303" s="2">
        <v>19.899999999999999</v>
      </c>
      <c r="R303" s="2">
        <v>20.5</v>
      </c>
      <c r="S303" s="2">
        <v>21.9</v>
      </c>
      <c r="T303" s="2">
        <v>21.8</v>
      </c>
      <c r="U303" s="2">
        <v>22</v>
      </c>
      <c r="V303" s="2">
        <v>20.9</v>
      </c>
      <c r="W303" s="2">
        <v>19</v>
      </c>
      <c r="X303" s="2">
        <v>18.7</v>
      </c>
      <c r="Y303" s="2">
        <v>18.8</v>
      </c>
      <c r="Z303" s="2">
        <v>17.7</v>
      </c>
      <c r="AA303" s="2">
        <v>17.399999999999999</v>
      </c>
      <c r="AC303" s="5">
        <f t="shared" si="5"/>
        <v>18.579166666666666</v>
      </c>
    </row>
    <row r="304" spans="2:29" x14ac:dyDescent="0.25">
      <c r="B304" s="4">
        <v>42669</v>
      </c>
      <c r="C304" s="3">
        <v>300</v>
      </c>
      <c r="D304" s="2">
        <v>17</v>
      </c>
      <c r="E304" s="2">
        <v>18.399999999999999</v>
      </c>
      <c r="F304" s="2">
        <v>17.399999999999999</v>
      </c>
      <c r="G304" s="2">
        <v>17</v>
      </c>
      <c r="H304" s="2">
        <v>16.2</v>
      </c>
      <c r="I304" s="2">
        <v>16.399999999999999</v>
      </c>
      <c r="J304" s="2">
        <v>16</v>
      </c>
      <c r="K304" s="2">
        <v>16.2</v>
      </c>
      <c r="L304" s="2">
        <v>16.399999999999999</v>
      </c>
      <c r="M304" s="2">
        <v>17.399999999999999</v>
      </c>
      <c r="N304" s="2">
        <v>18.7</v>
      </c>
      <c r="O304" s="2">
        <v>19.8</v>
      </c>
      <c r="P304" s="2">
        <v>20.399999999999999</v>
      </c>
      <c r="Q304" s="2">
        <v>21.1</v>
      </c>
      <c r="R304" s="2">
        <v>21.4</v>
      </c>
      <c r="S304" s="2">
        <v>22.1</v>
      </c>
      <c r="T304" s="2">
        <v>22.2</v>
      </c>
      <c r="U304" s="2">
        <v>22.6</v>
      </c>
      <c r="V304" s="2">
        <v>21.3</v>
      </c>
      <c r="W304" s="2">
        <v>19.2</v>
      </c>
      <c r="X304" s="2">
        <v>17.8</v>
      </c>
      <c r="Y304" s="2">
        <v>18.600000000000001</v>
      </c>
      <c r="Z304" s="2">
        <v>18.3</v>
      </c>
      <c r="AA304" s="2">
        <v>17</v>
      </c>
      <c r="AC304" s="5">
        <f t="shared" si="5"/>
        <v>18.704166666666669</v>
      </c>
    </row>
    <row r="305" spans="2:29" x14ac:dyDescent="0.25">
      <c r="B305" s="4">
        <v>42670</v>
      </c>
      <c r="C305" s="3">
        <v>301</v>
      </c>
      <c r="D305" s="2">
        <v>16.899999999999999</v>
      </c>
      <c r="E305" s="2">
        <v>15.8</v>
      </c>
      <c r="F305" s="2">
        <v>15.5</v>
      </c>
      <c r="G305" s="2">
        <v>14.6</v>
      </c>
      <c r="H305" s="2">
        <v>14.4</v>
      </c>
      <c r="I305" s="2">
        <v>13.4</v>
      </c>
      <c r="J305" s="2">
        <v>13.4</v>
      </c>
      <c r="K305" s="2">
        <v>13.5</v>
      </c>
      <c r="L305" s="2">
        <v>12.5</v>
      </c>
      <c r="M305" s="2">
        <v>14.4</v>
      </c>
      <c r="N305" s="2">
        <v>18</v>
      </c>
      <c r="O305" s="2">
        <v>19.100000000000001</v>
      </c>
      <c r="P305" s="2">
        <v>22.1</v>
      </c>
      <c r="Q305" s="2">
        <v>21.9</v>
      </c>
      <c r="R305" s="2">
        <v>20.8</v>
      </c>
      <c r="S305" s="2">
        <v>20.7</v>
      </c>
      <c r="T305" s="2">
        <v>21</v>
      </c>
      <c r="U305" s="2">
        <v>21</v>
      </c>
      <c r="V305" s="2">
        <v>20.5</v>
      </c>
      <c r="W305" s="2">
        <v>19</v>
      </c>
      <c r="X305" s="2">
        <v>18.100000000000001</v>
      </c>
      <c r="Y305" s="2">
        <v>16</v>
      </c>
      <c r="Z305" s="2">
        <v>16.8</v>
      </c>
      <c r="AA305" s="2">
        <v>16.8</v>
      </c>
      <c r="AC305" s="5">
        <f t="shared" si="5"/>
        <v>17.341666666666669</v>
      </c>
    </row>
    <row r="306" spans="2:29" x14ac:dyDescent="0.25">
      <c r="B306" s="4">
        <v>42671</v>
      </c>
      <c r="C306" s="3">
        <v>302</v>
      </c>
      <c r="D306" s="2">
        <v>16.600000000000001</v>
      </c>
      <c r="E306" s="2">
        <v>15.1</v>
      </c>
      <c r="F306" s="2">
        <v>16</v>
      </c>
      <c r="G306" s="2">
        <v>14.9</v>
      </c>
      <c r="H306" s="2">
        <v>13.9</v>
      </c>
      <c r="I306" s="2">
        <v>13.2</v>
      </c>
      <c r="J306" s="2">
        <v>12.7</v>
      </c>
      <c r="K306" s="2">
        <v>12</v>
      </c>
      <c r="L306" s="2">
        <v>12.5</v>
      </c>
      <c r="M306" s="2">
        <v>13.4</v>
      </c>
      <c r="N306" s="2">
        <v>16.5</v>
      </c>
      <c r="O306" s="2">
        <v>19</v>
      </c>
      <c r="P306" s="2">
        <v>21</v>
      </c>
      <c r="Q306" s="2">
        <v>21.9</v>
      </c>
      <c r="R306" s="2">
        <v>21.7</v>
      </c>
      <c r="S306" s="2">
        <v>21.3</v>
      </c>
      <c r="T306" s="2">
        <v>20.7</v>
      </c>
      <c r="U306" s="2">
        <v>20.3</v>
      </c>
      <c r="V306" s="2">
        <v>19.7</v>
      </c>
      <c r="W306" s="2">
        <v>18.3</v>
      </c>
      <c r="X306" s="2">
        <v>17.7</v>
      </c>
      <c r="Y306" s="2">
        <v>15.5</v>
      </c>
      <c r="Z306" s="2">
        <v>15</v>
      </c>
      <c r="AA306" s="2">
        <v>14.4</v>
      </c>
      <c r="AC306" s="5">
        <f t="shared" si="5"/>
        <v>16.804166666666664</v>
      </c>
    </row>
    <row r="307" spans="2:29" x14ac:dyDescent="0.25">
      <c r="B307" s="4">
        <v>42672</v>
      </c>
      <c r="C307" s="3">
        <v>303</v>
      </c>
      <c r="D307" s="2">
        <v>13.7</v>
      </c>
      <c r="E307" s="2">
        <v>13.2</v>
      </c>
      <c r="F307" s="2">
        <v>12.4</v>
      </c>
      <c r="G307" s="2">
        <v>11.5</v>
      </c>
      <c r="H307" s="2">
        <v>11</v>
      </c>
      <c r="I307" s="2">
        <v>11.4</v>
      </c>
      <c r="J307" s="2">
        <v>10.5</v>
      </c>
      <c r="K307" s="2">
        <v>9.8000000000000007</v>
      </c>
      <c r="L307" s="2">
        <v>10.7</v>
      </c>
      <c r="M307" s="2">
        <v>12.6</v>
      </c>
      <c r="N307" s="2">
        <v>17.2</v>
      </c>
      <c r="O307" s="2">
        <v>19.3</v>
      </c>
      <c r="P307" s="2">
        <v>20.7</v>
      </c>
      <c r="Q307" s="2">
        <v>22.5</v>
      </c>
      <c r="R307" s="2">
        <v>23.6</v>
      </c>
      <c r="S307" s="2">
        <v>24.2</v>
      </c>
      <c r="T307" s="2">
        <v>23.6</v>
      </c>
      <c r="U307" s="2">
        <v>22</v>
      </c>
      <c r="V307" s="2">
        <v>20.5</v>
      </c>
      <c r="W307" s="2">
        <v>16.100000000000001</v>
      </c>
      <c r="X307" s="2">
        <v>14.2</v>
      </c>
      <c r="Y307" s="2">
        <v>14.3</v>
      </c>
      <c r="Z307" s="2">
        <v>14.2</v>
      </c>
      <c r="AA307" s="2">
        <v>13.7</v>
      </c>
      <c r="AC307" s="5">
        <f t="shared" si="5"/>
        <v>15.954166666666666</v>
      </c>
    </row>
    <row r="308" spans="2:29" x14ac:dyDescent="0.25">
      <c r="B308" s="4">
        <v>42673</v>
      </c>
      <c r="C308" s="3">
        <v>304</v>
      </c>
      <c r="D308" s="2">
        <v>12.5</v>
      </c>
      <c r="E308" s="2">
        <v>11.2</v>
      </c>
      <c r="F308" s="2">
        <v>10.7</v>
      </c>
      <c r="G308" s="2">
        <v>9.6999999999999993</v>
      </c>
      <c r="H308" s="2">
        <v>10</v>
      </c>
      <c r="I308" s="2">
        <v>9.1999999999999993</v>
      </c>
      <c r="J308" s="2">
        <v>9.1999999999999993</v>
      </c>
      <c r="K308" s="2">
        <v>9.9</v>
      </c>
      <c r="L308" s="2">
        <v>11.6</v>
      </c>
      <c r="M308" s="2">
        <v>14.1</v>
      </c>
      <c r="N308" s="2">
        <v>19.3</v>
      </c>
      <c r="O308" s="2">
        <v>20</v>
      </c>
      <c r="P308" s="2">
        <v>21</v>
      </c>
      <c r="Q308" s="2">
        <v>21</v>
      </c>
      <c r="R308" s="2">
        <v>20.8</v>
      </c>
      <c r="S308" s="2">
        <v>20.3</v>
      </c>
      <c r="T308" s="2">
        <v>19.8</v>
      </c>
      <c r="U308" s="2">
        <v>18.600000000000001</v>
      </c>
      <c r="V308" s="2">
        <v>17.899999999999999</v>
      </c>
      <c r="W308" s="2">
        <v>17.7</v>
      </c>
      <c r="X308" s="2">
        <v>17.2</v>
      </c>
      <c r="Y308" s="2">
        <v>16.2</v>
      </c>
      <c r="Z308" s="2">
        <v>16</v>
      </c>
      <c r="AA308" s="2">
        <v>16</v>
      </c>
      <c r="AC308" s="5">
        <f t="shared" si="5"/>
        <v>15.4125</v>
      </c>
    </row>
    <row r="309" spans="2:29" x14ac:dyDescent="0.25">
      <c r="B309" s="4">
        <v>42674</v>
      </c>
      <c r="C309" s="3">
        <v>305</v>
      </c>
      <c r="D309" s="2">
        <v>15.8</v>
      </c>
      <c r="E309" s="2">
        <v>15.9</v>
      </c>
      <c r="F309" s="2">
        <v>15.2</v>
      </c>
      <c r="G309" s="2">
        <v>15.4</v>
      </c>
      <c r="H309" s="2">
        <v>14.6</v>
      </c>
      <c r="I309" s="2">
        <v>14.5</v>
      </c>
      <c r="J309" s="2">
        <v>15</v>
      </c>
      <c r="K309" s="2">
        <v>14.2</v>
      </c>
      <c r="L309" s="2">
        <v>15.1</v>
      </c>
      <c r="M309" s="2">
        <v>17.100000000000001</v>
      </c>
      <c r="N309" s="2">
        <v>18.600000000000001</v>
      </c>
      <c r="O309" s="2">
        <v>19.600000000000001</v>
      </c>
      <c r="P309" s="2">
        <v>19.399999999999999</v>
      </c>
      <c r="Q309" s="2">
        <v>20</v>
      </c>
      <c r="R309" s="2">
        <v>20.6</v>
      </c>
      <c r="S309" s="2">
        <v>19.100000000000001</v>
      </c>
      <c r="T309" s="2">
        <v>19.3</v>
      </c>
      <c r="U309" s="2">
        <v>18.899999999999999</v>
      </c>
      <c r="V309" s="2">
        <v>16.2</v>
      </c>
      <c r="W309" s="2">
        <v>13.5</v>
      </c>
      <c r="X309" s="2">
        <v>12.9</v>
      </c>
      <c r="Y309" s="2">
        <v>14.2</v>
      </c>
      <c r="Z309" s="2">
        <v>15</v>
      </c>
      <c r="AA309" s="2">
        <v>15.5</v>
      </c>
      <c r="AC309" s="5">
        <f t="shared" si="5"/>
        <v>16.483333333333331</v>
      </c>
    </row>
    <row r="310" spans="2:29" x14ac:dyDescent="0.25">
      <c r="B310" s="4">
        <v>42675</v>
      </c>
      <c r="C310" s="3">
        <v>306</v>
      </c>
      <c r="D310" s="2">
        <v>15.2</v>
      </c>
      <c r="E310" s="2">
        <v>15</v>
      </c>
      <c r="F310" s="2">
        <v>15.2</v>
      </c>
      <c r="G310" s="2">
        <v>15.1</v>
      </c>
      <c r="H310" s="2">
        <v>14.8</v>
      </c>
      <c r="I310" s="2">
        <v>15</v>
      </c>
      <c r="J310" s="2">
        <v>14.8</v>
      </c>
      <c r="K310" s="2">
        <v>14</v>
      </c>
      <c r="L310" s="2">
        <v>15.7</v>
      </c>
      <c r="M310" s="2">
        <v>18.2</v>
      </c>
      <c r="N310" s="2">
        <v>19.8</v>
      </c>
      <c r="O310" s="2">
        <v>20.5</v>
      </c>
      <c r="P310" s="2">
        <v>21.2</v>
      </c>
      <c r="Q310" s="2">
        <v>21.1</v>
      </c>
      <c r="R310" s="2">
        <v>21.1</v>
      </c>
      <c r="S310" s="2">
        <v>20.5</v>
      </c>
      <c r="T310" s="2">
        <v>19.899999999999999</v>
      </c>
      <c r="U310" s="2">
        <v>18.7</v>
      </c>
      <c r="V310" s="2">
        <v>15.9</v>
      </c>
      <c r="W310" s="2">
        <v>14.1</v>
      </c>
      <c r="X310" s="2">
        <v>14.4</v>
      </c>
      <c r="Y310" s="2">
        <v>15</v>
      </c>
      <c r="Z310" s="2">
        <v>14.1</v>
      </c>
      <c r="AA310" s="2">
        <v>15.4</v>
      </c>
      <c r="AC310" s="5">
        <f t="shared" si="5"/>
        <v>16.862499999999997</v>
      </c>
    </row>
    <row r="311" spans="2:29" x14ac:dyDescent="0.25">
      <c r="B311" s="4">
        <v>42676</v>
      </c>
      <c r="C311" s="3">
        <v>307</v>
      </c>
      <c r="D311" s="2">
        <v>14.5</v>
      </c>
      <c r="E311" s="2">
        <v>12.4</v>
      </c>
      <c r="F311" s="2">
        <v>11.3</v>
      </c>
      <c r="G311" s="2">
        <v>11.1</v>
      </c>
      <c r="H311" s="2">
        <v>10.199999999999999</v>
      </c>
      <c r="I311" s="2">
        <v>8.5</v>
      </c>
      <c r="J311" s="2">
        <v>9.1999999999999993</v>
      </c>
      <c r="K311" s="2">
        <v>8.1</v>
      </c>
      <c r="L311" s="2">
        <v>10.199999999999999</v>
      </c>
      <c r="M311" s="2">
        <v>14.9</v>
      </c>
      <c r="N311" s="2">
        <v>17.399999999999999</v>
      </c>
      <c r="O311" s="2">
        <v>18.399999999999999</v>
      </c>
      <c r="P311" s="2">
        <v>19.899999999999999</v>
      </c>
      <c r="Q311" s="2">
        <v>20.5</v>
      </c>
      <c r="R311" s="2">
        <v>21.2</v>
      </c>
      <c r="S311" s="2">
        <v>21.3</v>
      </c>
      <c r="T311" s="2">
        <v>20.9</v>
      </c>
      <c r="U311" s="2">
        <v>19.600000000000001</v>
      </c>
      <c r="V311" s="2">
        <v>15.3</v>
      </c>
      <c r="W311" s="2">
        <v>12.3</v>
      </c>
      <c r="X311" s="2">
        <v>11.5</v>
      </c>
      <c r="Y311" s="2">
        <v>10.6</v>
      </c>
      <c r="Z311" s="2">
        <v>10.1</v>
      </c>
      <c r="AA311" s="2">
        <v>9.6999999999999993</v>
      </c>
      <c r="AC311" s="5">
        <f t="shared" si="5"/>
        <v>14.12916666666667</v>
      </c>
    </row>
    <row r="312" spans="2:29" x14ac:dyDescent="0.25">
      <c r="B312" s="4">
        <v>42677</v>
      </c>
      <c r="C312" s="3">
        <v>308</v>
      </c>
      <c r="D312" s="2">
        <v>9.1999999999999993</v>
      </c>
      <c r="E312" s="2">
        <v>9.4</v>
      </c>
      <c r="F312" s="2">
        <v>8.6999999999999993</v>
      </c>
      <c r="G312" s="2">
        <v>9.1</v>
      </c>
      <c r="H312" s="2">
        <v>8.1</v>
      </c>
      <c r="I312" s="2">
        <v>8.1999999999999993</v>
      </c>
      <c r="J312" s="2">
        <v>8.1999999999999993</v>
      </c>
      <c r="K312" s="2">
        <v>7.8</v>
      </c>
      <c r="L312" s="2">
        <v>9.1999999999999993</v>
      </c>
      <c r="M312" s="2">
        <v>13.1</v>
      </c>
      <c r="N312" s="2">
        <v>17</v>
      </c>
      <c r="O312" s="2">
        <v>18.899999999999999</v>
      </c>
      <c r="P312" s="2">
        <v>20.2</v>
      </c>
      <c r="Q312" s="2">
        <v>20.9</v>
      </c>
      <c r="R312" s="2">
        <v>20.5</v>
      </c>
      <c r="S312" s="2">
        <v>19.899999999999999</v>
      </c>
      <c r="T312" s="2">
        <v>19.5</v>
      </c>
      <c r="U312" s="2">
        <v>17.899999999999999</v>
      </c>
      <c r="V312" s="2">
        <v>14</v>
      </c>
      <c r="W312" s="2">
        <v>12.9</v>
      </c>
      <c r="X312" s="2">
        <v>12.6</v>
      </c>
      <c r="Y312" s="2">
        <v>12</v>
      </c>
      <c r="Z312" s="2">
        <v>12.4</v>
      </c>
      <c r="AA312" s="2">
        <v>11.8</v>
      </c>
      <c r="AC312" s="5">
        <f t="shared" si="5"/>
        <v>13.395833333333334</v>
      </c>
    </row>
    <row r="313" spans="2:29" x14ac:dyDescent="0.25">
      <c r="B313" s="4">
        <v>42678</v>
      </c>
      <c r="C313" s="3">
        <v>309</v>
      </c>
      <c r="D313" s="2">
        <v>11.9</v>
      </c>
      <c r="E313" s="2">
        <v>11.8</v>
      </c>
      <c r="F313" s="2">
        <v>14</v>
      </c>
      <c r="G313" s="2">
        <v>13.3</v>
      </c>
      <c r="H313" s="2">
        <v>12</v>
      </c>
      <c r="I313" s="2">
        <v>13.2</v>
      </c>
      <c r="J313" s="2">
        <v>13.9</v>
      </c>
      <c r="K313" s="2">
        <v>12.8</v>
      </c>
      <c r="L313" s="2">
        <v>14.2</v>
      </c>
      <c r="M313" s="2">
        <v>14.9</v>
      </c>
      <c r="N313" s="2">
        <v>16.5</v>
      </c>
      <c r="O313" s="2">
        <v>19.2</v>
      </c>
      <c r="P313" s="2">
        <v>19.3</v>
      </c>
      <c r="Q313" s="2">
        <v>19.899999999999999</v>
      </c>
      <c r="R313" s="2">
        <v>19.899999999999999</v>
      </c>
      <c r="S313" s="2">
        <v>19.8</v>
      </c>
      <c r="T313" s="2">
        <v>19.5</v>
      </c>
      <c r="U313" s="2">
        <v>18.600000000000001</v>
      </c>
      <c r="V313" s="2">
        <v>17.600000000000001</v>
      </c>
      <c r="W313" s="2">
        <v>17.100000000000001</v>
      </c>
      <c r="X313" s="2">
        <v>16.600000000000001</v>
      </c>
      <c r="Y313" s="2">
        <v>15</v>
      </c>
      <c r="Z313" s="2">
        <v>14.7</v>
      </c>
      <c r="AA313" s="2">
        <v>14.5</v>
      </c>
      <c r="AC313" s="5">
        <f t="shared" si="5"/>
        <v>15.84166666666667</v>
      </c>
    </row>
    <row r="314" spans="2:29" x14ac:dyDescent="0.25">
      <c r="B314" s="4">
        <v>42679</v>
      </c>
      <c r="C314" s="3">
        <v>310</v>
      </c>
      <c r="D314" s="2">
        <v>14.2</v>
      </c>
      <c r="E314" s="2">
        <v>14.2</v>
      </c>
      <c r="F314" s="2">
        <v>14.4</v>
      </c>
      <c r="G314" s="2">
        <v>14.4</v>
      </c>
      <c r="H314" s="2">
        <v>14.6</v>
      </c>
      <c r="I314" s="2">
        <v>14.4</v>
      </c>
      <c r="J314" s="2">
        <v>14.3</v>
      </c>
      <c r="K314" s="2">
        <v>14.6</v>
      </c>
      <c r="L314" s="2">
        <v>14.8</v>
      </c>
      <c r="M314" s="2">
        <v>15.9</v>
      </c>
      <c r="N314" s="2">
        <v>17.399999999999999</v>
      </c>
      <c r="O314" s="2">
        <v>18.100000000000001</v>
      </c>
      <c r="P314" s="2">
        <v>19.2</v>
      </c>
      <c r="Q314" s="2">
        <v>18.899999999999999</v>
      </c>
      <c r="R314" s="2">
        <v>20</v>
      </c>
      <c r="S314" s="2">
        <v>21.5</v>
      </c>
      <c r="T314" s="2">
        <v>21.6</v>
      </c>
      <c r="U314" s="2">
        <v>20.3</v>
      </c>
      <c r="V314" s="2">
        <v>18</v>
      </c>
      <c r="W314" s="2">
        <v>16.399999999999999</v>
      </c>
      <c r="X314" s="2">
        <v>15.5</v>
      </c>
      <c r="Y314" s="2">
        <v>15.8</v>
      </c>
      <c r="Z314" s="2">
        <v>14.8</v>
      </c>
      <c r="AA314" s="2">
        <v>15.6</v>
      </c>
      <c r="AC314" s="5">
        <f t="shared" si="5"/>
        <v>16.620833333333334</v>
      </c>
    </row>
    <row r="315" spans="2:29" x14ac:dyDescent="0.25">
      <c r="B315" s="4">
        <v>42680</v>
      </c>
      <c r="C315" s="3">
        <v>311</v>
      </c>
      <c r="D315" s="2">
        <v>13.9</v>
      </c>
      <c r="E315" s="2">
        <v>13.6</v>
      </c>
      <c r="F315" s="2">
        <v>13</v>
      </c>
      <c r="G315" s="2">
        <v>12.1</v>
      </c>
      <c r="H315" s="2">
        <v>12</v>
      </c>
      <c r="I315" s="2">
        <v>10.6</v>
      </c>
      <c r="J315" s="2">
        <v>11</v>
      </c>
      <c r="K315" s="2">
        <v>10.6</v>
      </c>
      <c r="L315" s="2">
        <v>11.1</v>
      </c>
      <c r="M315" s="2">
        <v>11.3</v>
      </c>
      <c r="N315" s="2">
        <v>12.6</v>
      </c>
      <c r="O315" s="2">
        <v>13.2</v>
      </c>
      <c r="P315" s="2">
        <v>15.3</v>
      </c>
      <c r="Q315" s="2">
        <v>16.2</v>
      </c>
      <c r="R315" s="2">
        <v>15.9</v>
      </c>
      <c r="S315" s="2">
        <v>15.9</v>
      </c>
      <c r="T315" s="2">
        <v>15.7</v>
      </c>
      <c r="U315" s="2">
        <v>14.3</v>
      </c>
      <c r="V315" s="2">
        <v>13.4</v>
      </c>
      <c r="W315" s="2">
        <v>12.3</v>
      </c>
      <c r="X315" s="2">
        <v>11.9</v>
      </c>
      <c r="Y315" s="2">
        <v>11.1</v>
      </c>
      <c r="Z315" s="2">
        <v>11.1</v>
      </c>
      <c r="AA315" s="2">
        <v>10.5</v>
      </c>
      <c r="AC315" s="5">
        <f t="shared" si="5"/>
        <v>12.858333333333334</v>
      </c>
    </row>
    <row r="316" spans="2:29" x14ac:dyDescent="0.25">
      <c r="B316" s="4">
        <v>42681</v>
      </c>
      <c r="C316" s="3">
        <v>312</v>
      </c>
      <c r="D316" s="2">
        <v>10.5</v>
      </c>
      <c r="E316" s="2">
        <v>9.8000000000000007</v>
      </c>
      <c r="F316" s="2">
        <v>9.8000000000000007</v>
      </c>
      <c r="G316" s="2">
        <v>9.4</v>
      </c>
      <c r="H316" s="2">
        <v>8.1999999999999993</v>
      </c>
      <c r="I316" s="2">
        <v>6.7</v>
      </c>
      <c r="J316" s="2">
        <v>5.8</v>
      </c>
      <c r="K316" s="2">
        <v>6.5</v>
      </c>
      <c r="L316" s="2">
        <v>8.9</v>
      </c>
      <c r="M316" s="2">
        <v>10.5</v>
      </c>
      <c r="N316" s="2">
        <v>12</v>
      </c>
      <c r="O316" s="2">
        <v>13.1</v>
      </c>
      <c r="P316" s="2">
        <v>13.4</v>
      </c>
      <c r="Q316" s="2">
        <v>13.9</v>
      </c>
      <c r="R316" s="2">
        <v>14.4</v>
      </c>
      <c r="S316" s="2">
        <v>14.5</v>
      </c>
      <c r="T316" s="2">
        <v>13.8</v>
      </c>
      <c r="U316" s="2">
        <v>12.7</v>
      </c>
      <c r="V316" s="2">
        <v>8.6999999999999993</v>
      </c>
      <c r="W316" s="2">
        <v>6.9</v>
      </c>
      <c r="X316" s="2">
        <v>6.6</v>
      </c>
      <c r="Y316" s="2">
        <v>5.6</v>
      </c>
      <c r="Z316" s="2">
        <v>4.8</v>
      </c>
      <c r="AA316" s="2">
        <v>7.4</v>
      </c>
      <c r="AC316" s="5">
        <f t="shared" si="5"/>
        <v>9.7458333333333336</v>
      </c>
    </row>
    <row r="317" spans="2:29" x14ac:dyDescent="0.25">
      <c r="B317" s="4">
        <v>42682</v>
      </c>
      <c r="C317" s="3">
        <v>313</v>
      </c>
      <c r="D317" s="2">
        <v>6.9</v>
      </c>
      <c r="E317" s="2">
        <v>5.4</v>
      </c>
      <c r="F317" s="2">
        <v>2.6</v>
      </c>
      <c r="G317" s="2">
        <v>1.7</v>
      </c>
      <c r="H317" s="2">
        <v>1</v>
      </c>
      <c r="I317" s="2">
        <v>0.7</v>
      </c>
      <c r="J317" s="2">
        <v>0.6</v>
      </c>
      <c r="K317" s="2">
        <v>0.3</v>
      </c>
      <c r="L317" s="2">
        <v>2.8</v>
      </c>
      <c r="M317" s="2">
        <v>8</v>
      </c>
      <c r="N317" s="2">
        <v>10.9</v>
      </c>
      <c r="O317" s="2">
        <v>13.8</v>
      </c>
      <c r="P317" s="2">
        <v>13.2</v>
      </c>
      <c r="Q317" s="2">
        <v>14.3</v>
      </c>
      <c r="R317" s="2">
        <v>15</v>
      </c>
      <c r="S317" s="2">
        <v>15.1</v>
      </c>
      <c r="T317" s="2">
        <v>14.6</v>
      </c>
      <c r="U317" s="2">
        <v>12.5</v>
      </c>
      <c r="V317" s="2">
        <v>11.7</v>
      </c>
      <c r="W317" s="2">
        <v>11.1</v>
      </c>
      <c r="X317" s="2">
        <v>11.6</v>
      </c>
      <c r="Y317" s="2">
        <v>12.2</v>
      </c>
      <c r="Z317" s="2">
        <v>12.2</v>
      </c>
      <c r="AA317" s="2">
        <v>11.7</v>
      </c>
      <c r="AC317" s="5">
        <f t="shared" si="5"/>
        <v>8.74583333333333</v>
      </c>
    </row>
    <row r="318" spans="2:29" x14ac:dyDescent="0.25">
      <c r="B318" s="4">
        <v>42683</v>
      </c>
      <c r="C318" s="3">
        <v>314</v>
      </c>
      <c r="D318" s="2">
        <v>11.6</v>
      </c>
      <c r="E318" s="2">
        <v>12.1</v>
      </c>
      <c r="F318" s="2">
        <v>12.4</v>
      </c>
      <c r="G318" s="2">
        <v>11.9</v>
      </c>
      <c r="H318" s="2">
        <v>11.7</v>
      </c>
      <c r="I318" s="2">
        <v>11.9</v>
      </c>
      <c r="J318" s="2">
        <v>11.2</v>
      </c>
      <c r="K318" s="2">
        <v>10.8</v>
      </c>
      <c r="L318" s="2">
        <v>11.5</v>
      </c>
      <c r="M318" s="2">
        <v>13.4</v>
      </c>
      <c r="N318" s="2">
        <v>14.8</v>
      </c>
      <c r="O318" s="2">
        <v>16.600000000000001</v>
      </c>
      <c r="P318" s="2">
        <v>17.7</v>
      </c>
      <c r="Q318" s="2">
        <v>18.3</v>
      </c>
      <c r="R318" s="2">
        <v>18.600000000000001</v>
      </c>
      <c r="S318" s="2">
        <v>18.2</v>
      </c>
      <c r="T318" s="2">
        <v>17.2</v>
      </c>
      <c r="U318" s="2">
        <v>15.7</v>
      </c>
      <c r="V318" s="2">
        <v>14.3</v>
      </c>
      <c r="W318" s="2">
        <v>13.8</v>
      </c>
      <c r="X318" s="2">
        <v>13.8</v>
      </c>
      <c r="Y318" s="2">
        <v>13.8</v>
      </c>
      <c r="Z318" s="2">
        <v>13.5</v>
      </c>
      <c r="AA318" s="2">
        <v>13.4</v>
      </c>
      <c r="AC318" s="5">
        <f t="shared" si="5"/>
        <v>14.091666666666667</v>
      </c>
    </row>
    <row r="319" spans="2:29" x14ac:dyDescent="0.25">
      <c r="B319" s="4">
        <v>42684</v>
      </c>
      <c r="C319" s="3">
        <v>315</v>
      </c>
      <c r="D319" s="2">
        <v>13.2</v>
      </c>
      <c r="E319" s="2">
        <v>13.3</v>
      </c>
      <c r="F319" s="2">
        <v>11.7</v>
      </c>
      <c r="G319" s="2">
        <v>7.9</v>
      </c>
      <c r="H319" s="2">
        <v>6.2</v>
      </c>
      <c r="I319" s="2">
        <v>6.9</v>
      </c>
      <c r="J319" s="2">
        <v>8.5</v>
      </c>
      <c r="K319" s="2">
        <v>8.1</v>
      </c>
      <c r="L319" s="2">
        <v>9.3000000000000007</v>
      </c>
      <c r="M319" s="2">
        <v>13.3</v>
      </c>
      <c r="N319" s="2">
        <v>14.9</v>
      </c>
      <c r="O319" s="2">
        <v>16</v>
      </c>
      <c r="P319" s="2">
        <v>17.2</v>
      </c>
      <c r="Q319" s="2">
        <v>18</v>
      </c>
      <c r="R319" s="2">
        <v>18.399999999999999</v>
      </c>
      <c r="S319" s="2">
        <v>18.3</v>
      </c>
      <c r="T319" s="2">
        <v>18.2</v>
      </c>
      <c r="U319" s="2">
        <v>16.8</v>
      </c>
      <c r="V319" s="2">
        <v>15.5</v>
      </c>
      <c r="W319" s="2">
        <v>15.1</v>
      </c>
      <c r="X319" s="2">
        <v>14.6</v>
      </c>
      <c r="Y319" s="2">
        <v>14.4</v>
      </c>
      <c r="Z319" s="2">
        <v>14.5</v>
      </c>
      <c r="AA319" s="2">
        <v>15.5</v>
      </c>
      <c r="AC319" s="5">
        <f t="shared" si="5"/>
        <v>13.575000000000001</v>
      </c>
    </row>
    <row r="320" spans="2:29" x14ac:dyDescent="0.25">
      <c r="B320" s="4">
        <v>42685</v>
      </c>
      <c r="C320" s="3">
        <v>316</v>
      </c>
      <c r="D320" s="2">
        <v>14.5</v>
      </c>
      <c r="E320" s="2">
        <v>14.7</v>
      </c>
      <c r="F320" s="2">
        <v>14.4</v>
      </c>
      <c r="G320" s="2">
        <v>13</v>
      </c>
      <c r="H320" s="2">
        <v>13.2</v>
      </c>
      <c r="I320" s="2">
        <v>12.1</v>
      </c>
      <c r="J320" s="2">
        <v>11</v>
      </c>
      <c r="K320" s="2">
        <v>9.9</v>
      </c>
      <c r="L320" s="2">
        <v>12.6</v>
      </c>
      <c r="M320" s="2">
        <v>14.7</v>
      </c>
      <c r="N320" s="2">
        <v>15.7</v>
      </c>
      <c r="O320" s="2">
        <v>16.899999999999999</v>
      </c>
      <c r="P320" s="2">
        <v>18.2</v>
      </c>
      <c r="Q320" s="2">
        <v>18.5</v>
      </c>
      <c r="R320" s="2">
        <v>19.3</v>
      </c>
      <c r="S320" s="2">
        <v>19.2</v>
      </c>
      <c r="T320" s="2">
        <v>18.7</v>
      </c>
      <c r="U320" s="2">
        <v>17.5</v>
      </c>
      <c r="V320" s="2">
        <v>16.399999999999999</v>
      </c>
      <c r="W320" s="2">
        <v>15</v>
      </c>
      <c r="X320" s="2">
        <v>12</v>
      </c>
      <c r="Y320" s="2">
        <v>12.6</v>
      </c>
      <c r="Z320" s="2">
        <v>11</v>
      </c>
      <c r="AA320" s="2">
        <v>10.199999999999999</v>
      </c>
      <c r="AC320" s="5">
        <f t="shared" si="5"/>
        <v>14.637499999999998</v>
      </c>
    </row>
    <row r="321" spans="2:29" x14ac:dyDescent="0.25">
      <c r="B321" s="4">
        <v>42686</v>
      </c>
      <c r="C321" s="3">
        <v>317</v>
      </c>
      <c r="D321" s="2">
        <v>10</v>
      </c>
      <c r="E321" s="2">
        <v>10.1</v>
      </c>
      <c r="F321" s="2">
        <v>10.199999999999999</v>
      </c>
      <c r="G321" s="2">
        <v>8.9</v>
      </c>
      <c r="H321" s="2">
        <v>8.3000000000000007</v>
      </c>
      <c r="I321" s="2">
        <v>8.1</v>
      </c>
      <c r="J321" s="2">
        <v>7.6</v>
      </c>
      <c r="K321" s="2">
        <v>6.4</v>
      </c>
      <c r="L321" s="2">
        <v>6.8</v>
      </c>
      <c r="M321" s="2">
        <v>11</v>
      </c>
      <c r="N321" s="2">
        <v>12.6</v>
      </c>
      <c r="O321" s="2">
        <v>13.8</v>
      </c>
      <c r="P321" s="2">
        <v>16.899999999999999</v>
      </c>
      <c r="Q321" s="2">
        <v>17.7</v>
      </c>
      <c r="R321" s="2">
        <v>17.7</v>
      </c>
      <c r="S321" s="2">
        <v>17.600000000000001</v>
      </c>
      <c r="T321" s="2">
        <v>16.899999999999999</v>
      </c>
      <c r="U321" s="2">
        <v>15.4</v>
      </c>
      <c r="V321" s="2">
        <v>10.8</v>
      </c>
      <c r="W321" s="2">
        <v>9.6999999999999993</v>
      </c>
      <c r="X321" s="2">
        <v>8.3000000000000007</v>
      </c>
      <c r="Y321" s="2">
        <v>8.4</v>
      </c>
      <c r="Z321" s="2">
        <v>7.9</v>
      </c>
      <c r="AA321" s="2">
        <v>9.1</v>
      </c>
      <c r="AC321" s="5">
        <f t="shared" si="5"/>
        <v>11.258333333333333</v>
      </c>
    </row>
    <row r="322" spans="2:29" x14ac:dyDescent="0.25">
      <c r="B322" s="4">
        <v>42687</v>
      </c>
      <c r="C322" s="3">
        <v>318</v>
      </c>
      <c r="D322" s="2">
        <v>8.8000000000000007</v>
      </c>
      <c r="E322" s="2">
        <v>8.6999999999999993</v>
      </c>
      <c r="F322" s="2">
        <v>8.1</v>
      </c>
      <c r="G322" s="2">
        <v>8.1999999999999993</v>
      </c>
      <c r="H322" s="2">
        <v>9.1999999999999993</v>
      </c>
      <c r="I322" s="2">
        <v>10.5</v>
      </c>
      <c r="J322" s="2">
        <v>10</v>
      </c>
      <c r="K322" s="2">
        <v>10.3</v>
      </c>
      <c r="L322" s="2">
        <v>10.4</v>
      </c>
      <c r="M322" s="2">
        <v>11.4</v>
      </c>
      <c r="N322" s="2">
        <v>14.6</v>
      </c>
      <c r="O322" s="2">
        <v>15.2</v>
      </c>
      <c r="P322" s="2">
        <v>16.8</v>
      </c>
      <c r="Q322" s="2">
        <v>17.7</v>
      </c>
      <c r="R322" s="2">
        <v>18.399999999999999</v>
      </c>
      <c r="S322" s="2">
        <v>18.399999999999999</v>
      </c>
      <c r="T322" s="2">
        <v>17.5</v>
      </c>
      <c r="U322" s="2">
        <v>16</v>
      </c>
      <c r="V322" s="2">
        <v>13.2</v>
      </c>
      <c r="W322" s="2">
        <v>12.5</v>
      </c>
      <c r="X322" s="2">
        <v>13.1</v>
      </c>
      <c r="Y322" s="2">
        <v>12.1</v>
      </c>
      <c r="Z322" s="2">
        <v>12.1</v>
      </c>
      <c r="AA322" s="2">
        <v>11.1</v>
      </c>
      <c r="AC322" s="5">
        <f t="shared" si="5"/>
        <v>12.679166666666669</v>
      </c>
    </row>
    <row r="323" spans="2:29" x14ac:dyDescent="0.25">
      <c r="B323" s="4">
        <v>42688</v>
      </c>
      <c r="C323" s="3">
        <v>319</v>
      </c>
      <c r="D323" s="2">
        <v>10.1</v>
      </c>
      <c r="E323" s="2">
        <v>7.4</v>
      </c>
      <c r="F323" s="2">
        <v>7.7</v>
      </c>
      <c r="G323" s="2">
        <v>6.3</v>
      </c>
      <c r="H323" s="2">
        <v>5.7</v>
      </c>
      <c r="I323" s="2">
        <v>5.4</v>
      </c>
      <c r="J323" s="2">
        <v>7.3</v>
      </c>
      <c r="K323" s="2">
        <v>8.6999999999999993</v>
      </c>
      <c r="L323" s="2">
        <v>10</v>
      </c>
      <c r="M323" s="2">
        <v>10.9</v>
      </c>
      <c r="N323" s="2">
        <v>12.7</v>
      </c>
      <c r="O323" s="2">
        <v>15.1</v>
      </c>
      <c r="P323" s="2">
        <v>16.2</v>
      </c>
      <c r="Q323" s="2">
        <v>16.600000000000001</v>
      </c>
      <c r="R323" s="2">
        <v>16.8</v>
      </c>
      <c r="S323" s="2">
        <v>16.399999999999999</v>
      </c>
      <c r="T323" s="2">
        <v>15.9</v>
      </c>
      <c r="U323" s="2">
        <v>14.4</v>
      </c>
      <c r="V323" s="2">
        <v>9.8000000000000007</v>
      </c>
      <c r="W323" s="2">
        <v>8.8000000000000007</v>
      </c>
      <c r="X323" s="2">
        <v>7.8</v>
      </c>
      <c r="Y323" s="2">
        <v>8</v>
      </c>
      <c r="Z323" s="2">
        <v>7.9</v>
      </c>
      <c r="AA323" s="2">
        <v>6.1</v>
      </c>
      <c r="AC323" s="5">
        <f t="shared" si="5"/>
        <v>10.500000000000002</v>
      </c>
    </row>
    <row r="324" spans="2:29" x14ac:dyDescent="0.25">
      <c r="B324" s="4">
        <v>42689</v>
      </c>
      <c r="C324" s="3">
        <v>320</v>
      </c>
      <c r="D324" s="2">
        <v>5.0999999999999996</v>
      </c>
      <c r="E324" s="2">
        <v>4.2</v>
      </c>
      <c r="F324" s="2">
        <v>3.1</v>
      </c>
      <c r="G324" s="2">
        <v>2.7</v>
      </c>
      <c r="H324" s="2">
        <v>4.0999999999999996</v>
      </c>
      <c r="I324" s="2">
        <v>2.8</v>
      </c>
      <c r="J324" s="2">
        <v>2.4</v>
      </c>
      <c r="K324" s="2">
        <v>1.7</v>
      </c>
      <c r="L324" s="2">
        <v>3.1</v>
      </c>
      <c r="M324" s="2">
        <v>9.6</v>
      </c>
      <c r="N324" s="2">
        <v>11.6</v>
      </c>
      <c r="O324" s="2">
        <v>14.6</v>
      </c>
      <c r="P324" s="2">
        <v>15.2</v>
      </c>
      <c r="Q324" s="2">
        <v>16.2</v>
      </c>
      <c r="R324" s="2">
        <v>17.3</v>
      </c>
      <c r="S324" s="2">
        <v>15.3</v>
      </c>
      <c r="T324" s="2">
        <v>14.6</v>
      </c>
      <c r="U324" s="2">
        <v>13.3</v>
      </c>
      <c r="V324" s="2">
        <v>8.3000000000000007</v>
      </c>
      <c r="W324" s="2">
        <v>7.9</v>
      </c>
      <c r="X324" s="2">
        <v>7</v>
      </c>
      <c r="Y324" s="2">
        <v>6.3</v>
      </c>
      <c r="Z324" s="2">
        <v>5.3</v>
      </c>
      <c r="AA324" s="2">
        <v>5.5</v>
      </c>
      <c r="AC324" s="5">
        <f t="shared" si="5"/>
        <v>8.2166666666666686</v>
      </c>
    </row>
    <row r="325" spans="2:29" x14ac:dyDescent="0.25">
      <c r="B325" s="4">
        <v>42690</v>
      </c>
      <c r="C325" s="3">
        <v>321</v>
      </c>
      <c r="D325" s="2">
        <v>5.7</v>
      </c>
      <c r="E325" s="2">
        <v>6.5</v>
      </c>
      <c r="F325" s="2">
        <v>4.9000000000000004</v>
      </c>
      <c r="G325" s="2">
        <v>5.0999999999999996</v>
      </c>
      <c r="H325" s="2">
        <v>4.4000000000000004</v>
      </c>
      <c r="I325" s="2">
        <v>4.5</v>
      </c>
      <c r="J325" s="2">
        <v>3.8</v>
      </c>
      <c r="K325" s="2">
        <v>3.4</v>
      </c>
      <c r="L325" s="2">
        <v>4.5999999999999996</v>
      </c>
      <c r="M325" s="2">
        <v>10.4</v>
      </c>
      <c r="N325" s="2">
        <v>13.5</v>
      </c>
      <c r="O325" s="2">
        <v>15.3</v>
      </c>
      <c r="P325" s="2">
        <v>16.100000000000001</v>
      </c>
      <c r="Q325" s="2">
        <v>16.399999999999999</v>
      </c>
      <c r="R325" s="2">
        <v>16</v>
      </c>
      <c r="S325" s="2">
        <v>15.7</v>
      </c>
      <c r="T325" s="2">
        <v>15.3</v>
      </c>
      <c r="U325" s="2">
        <v>13.8</v>
      </c>
      <c r="V325" s="2">
        <v>8.4</v>
      </c>
      <c r="W325" s="2">
        <v>7.4</v>
      </c>
      <c r="X325" s="2">
        <v>6.6</v>
      </c>
      <c r="Y325" s="2">
        <v>6.6</v>
      </c>
      <c r="Z325" s="2">
        <v>6.4</v>
      </c>
      <c r="AA325" s="2">
        <v>5.6</v>
      </c>
      <c r="AC325" s="5">
        <f t="shared" si="5"/>
        <v>9.0166666666666675</v>
      </c>
    </row>
    <row r="326" spans="2:29" x14ac:dyDescent="0.25">
      <c r="B326" s="4">
        <v>42691</v>
      </c>
      <c r="C326" s="3">
        <v>322</v>
      </c>
      <c r="D326" s="2">
        <v>5.5</v>
      </c>
      <c r="E326" s="2">
        <v>5.4</v>
      </c>
      <c r="F326" s="2">
        <v>5.7</v>
      </c>
      <c r="G326" s="2">
        <v>5.4</v>
      </c>
      <c r="H326" s="2">
        <v>5.3</v>
      </c>
      <c r="I326" s="2">
        <v>5.3</v>
      </c>
      <c r="J326" s="2">
        <v>6</v>
      </c>
      <c r="K326" s="2">
        <v>5.4</v>
      </c>
      <c r="L326" s="2">
        <v>4.8</v>
      </c>
      <c r="M326" s="2">
        <v>11.2</v>
      </c>
      <c r="N326" s="2">
        <v>14.6</v>
      </c>
      <c r="O326" s="2">
        <v>15.9</v>
      </c>
      <c r="P326" s="2">
        <v>17.3</v>
      </c>
      <c r="Q326" s="2">
        <v>17.600000000000001</v>
      </c>
      <c r="R326" s="2">
        <v>17.600000000000001</v>
      </c>
      <c r="S326" s="2">
        <v>17.2</v>
      </c>
      <c r="T326" s="2">
        <v>16.399999999999999</v>
      </c>
      <c r="U326" s="2">
        <v>14.7</v>
      </c>
      <c r="V326" s="2">
        <v>11.8</v>
      </c>
      <c r="W326" s="2">
        <v>10</v>
      </c>
      <c r="X326" s="2">
        <v>9.8000000000000007</v>
      </c>
      <c r="Y326" s="2">
        <v>10</v>
      </c>
      <c r="Z326" s="2">
        <v>8.5</v>
      </c>
      <c r="AA326" s="2">
        <v>8.9</v>
      </c>
      <c r="AC326" s="5">
        <f t="shared" ref="AC326:AC370" si="6">(SUM((D326:AA326))/24)</f>
        <v>10.429166666666667</v>
      </c>
    </row>
    <row r="327" spans="2:29" x14ac:dyDescent="0.25">
      <c r="B327" s="4">
        <v>42692</v>
      </c>
      <c r="C327" s="3">
        <v>323</v>
      </c>
      <c r="D327" s="2">
        <v>8.8000000000000007</v>
      </c>
      <c r="E327" s="2">
        <v>8.1</v>
      </c>
      <c r="F327" s="2">
        <v>9</v>
      </c>
      <c r="G327" s="2">
        <v>8.1</v>
      </c>
      <c r="H327" s="2">
        <v>7.2</v>
      </c>
      <c r="I327" s="2">
        <v>9.1999999999999993</v>
      </c>
      <c r="J327" s="2">
        <v>9.8000000000000007</v>
      </c>
      <c r="K327" s="2">
        <v>9.5</v>
      </c>
      <c r="L327" s="2">
        <v>9.8000000000000007</v>
      </c>
      <c r="M327" s="2">
        <v>11.3</v>
      </c>
      <c r="N327" s="2">
        <v>14.1</v>
      </c>
      <c r="O327" s="2">
        <v>17.100000000000001</v>
      </c>
      <c r="P327" s="2">
        <v>18</v>
      </c>
      <c r="Q327" s="2">
        <v>17.899999999999999</v>
      </c>
      <c r="R327" s="2">
        <v>18.2</v>
      </c>
      <c r="S327" s="2">
        <v>16.8</v>
      </c>
      <c r="T327" s="2">
        <v>16.2</v>
      </c>
      <c r="U327" s="2">
        <v>15.5</v>
      </c>
      <c r="V327" s="2">
        <v>13.9</v>
      </c>
      <c r="W327" s="2">
        <v>13.1</v>
      </c>
      <c r="X327" s="2">
        <v>13.1</v>
      </c>
      <c r="Y327" s="2">
        <v>13</v>
      </c>
      <c r="Z327" s="2">
        <v>12.4</v>
      </c>
      <c r="AA327" s="2">
        <v>11</v>
      </c>
      <c r="AC327" s="5">
        <f t="shared" si="6"/>
        <v>12.545833333333333</v>
      </c>
    </row>
    <row r="328" spans="2:29" x14ac:dyDescent="0.25">
      <c r="B328" s="4">
        <v>42693</v>
      </c>
      <c r="C328" s="3">
        <v>324</v>
      </c>
      <c r="D328" s="2">
        <v>11.7</v>
      </c>
      <c r="E328" s="2">
        <v>10.8</v>
      </c>
      <c r="F328" s="2">
        <v>10.7</v>
      </c>
      <c r="G328" s="2">
        <v>9.3000000000000007</v>
      </c>
      <c r="H328" s="2">
        <v>10.7</v>
      </c>
      <c r="I328" s="2">
        <v>9.5</v>
      </c>
      <c r="J328" s="2">
        <v>8.6999999999999993</v>
      </c>
      <c r="K328" s="2">
        <v>7.6</v>
      </c>
      <c r="L328" s="2">
        <v>8.5</v>
      </c>
      <c r="M328" s="2">
        <v>11.9</v>
      </c>
      <c r="N328" s="2">
        <v>14.5</v>
      </c>
      <c r="O328" s="2">
        <v>16.3</v>
      </c>
      <c r="P328" s="2">
        <v>17.3</v>
      </c>
      <c r="Q328" s="2">
        <v>17.7</v>
      </c>
      <c r="R328" s="2">
        <v>17.7</v>
      </c>
      <c r="S328" s="2">
        <v>17</v>
      </c>
      <c r="T328" s="2">
        <v>16</v>
      </c>
      <c r="U328" s="2">
        <v>14.8</v>
      </c>
      <c r="V328" s="2">
        <v>10.6</v>
      </c>
      <c r="W328" s="2">
        <v>9.8000000000000007</v>
      </c>
      <c r="X328" s="2">
        <v>10.3</v>
      </c>
      <c r="Y328" s="2">
        <v>10.199999999999999</v>
      </c>
      <c r="Z328" s="2">
        <v>10.199999999999999</v>
      </c>
      <c r="AA328" s="2">
        <v>10.9</v>
      </c>
      <c r="AC328" s="5">
        <f t="shared" si="6"/>
        <v>12.195833333333333</v>
      </c>
    </row>
    <row r="329" spans="2:29" x14ac:dyDescent="0.25">
      <c r="B329" s="4">
        <v>42694</v>
      </c>
      <c r="C329" s="3">
        <v>325</v>
      </c>
      <c r="D329" s="2">
        <v>11.9</v>
      </c>
      <c r="E329" s="2">
        <v>10.5</v>
      </c>
      <c r="F329" s="2">
        <v>10.3</v>
      </c>
      <c r="G329" s="2">
        <v>8.8000000000000007</v>
      </c>
      <c r="H329" s="2">
        <v>9.4</v>
      </c>
      <c r="I329" s="2">
        <v>9.6999999999999993</v>
      </c>
      <c r="J329" s="2">
        <v>10.4</v>
      </c>
      <c r="K329" s="2">
        <v>10.199999999999999</v>
      </c>
      <c r="L329" s="2">
        <v>9.6999999999999993</v>
      </c>
      <c r="M329" s="2">
        <v>10.1</v>
      </c>
      <c r="N329" s="2">
        <v>14.2</v>
      </c>
      <c r="O329" s="2">
        <v>17.399999999999999</v>
      </c>
      <c r="P329" s="2">
        <v>18.5</v>
      </c>
      <c r="Q329" s="2">
        <v>18</v>
      </c>
      <c r="R329" s="2">
        <v>17.399999999999999</v>
      </c>
      <c r="S329" s="2">
        <v>17.399999999999999</v>
      </c>
      <c r="T329" s="2">
        <v>16.3</v>
      </c>
      <c r="U329" s="2">
        <v>15.6</v>
      </c>
      <c r="V329" s="2">
        <v>13.9</v>
      </c>
      <c r="W329" s="2">
        <v>12.6</v>
      </c>
      <c r="X329" s="2">
        <v>13.1</v>
      </c>
      <c r="Y329" s="2">
        <v>13.1</v>
      </c>
      <c r="Z329" s="2">
        <v>12.3</v>
      </c>
      <c r="AA329" s="2">
        <v>12.3</v>
      </c>
      <c r="AC329" s="5">
        <f t="shared" si="6"/>
        <v>13.045833333333336</v>
      </c>
    </row>
    <row r="330" spans="2:29" x14ac:dyDescent="0.25">
      <c r="B330" s="4">
        <v>42695</v>
      </c>
      <c r="C330" s="3">
        <v>326</v>
      </c>
      <c r="D330" s="2">
        <v>12.3</v>
      </c>
      <c r="E330" s="2">
        <v>12</v>
      </c>
      <c r="F330" s="2">
        <v>12.5</v>
      </c>
      <c r="G330" s="2">
        <v>12.6</v>
      </c>
      <c r="H330" s="2">
        <v>12.8</v>
      </c>
      <c r="I330" s="2">
        <v>12.9</v>
      </c>
      <c r="J330" s="2">
        <v>13.1</v>
      </c>
      <c r="K330" s="2">
        <v>13.4</v>
      </c>
      <c r="L330" s="2">
        <v>13.8</v>
      </c>
      <c r="M330" s="2">
        <v>14.4</v>
      </c>
      <c r="N330" s="2">
        <v>15.3</v>
      </c>
      <c r="O330" s="2">
        <v>16.3</v>
      </c>
      <c r="P330" s="2">
        <v>16.8</v>
      </c>
      <c r="Q330" s="2">
        <v>17.399999999999999</v>
      </c>
      <c r="R330" s="2">
        <v>17.600000000000001</v>
      </c>
      <c r="S330" s="2">
        <v>17.899999999999999</v>
      </c>
      <c r="T330" s="2">
        <v>17.399999999999999</v>
      </c>
      <c r="U330" s="2">
        <v>16.3</v>
      </c>
      <c r="V330" s="2">
        <v>15.8</v>
      </c>
      <c r="W330" s="2">
        <v>14.9</v>
      </c>
      <c r="X330" s="2">
        <v>14.9</v>
      </c>
      <c r="Y330" s="2">
        <v>14.9</v>
      </c>
      <c r="Z330" s="2">
        <v>14.9</v>
      </c>
      <c r="AA330" s="2">
        <v>14.9</v>
      </c>
      <c r="AC330" s="5">
        <f t="shared" si="6"/>
        <v>14.795833333333333</v>
      </c>
    </row>
    <row r="331" spans="2:29" x14ac:dyDescent="0.25">
      <c r="B331" s="4">
        <v>42696</v>
      </c>
      <c r="C331" s="3">
        <v>327</v>
      </c>
      <c r="D331" s="2">
        <v>14.6</v>
      </c>
      <c r="E331" s="2">
        <v>14.9</v>
      </c>
      <c r="F331" s="2">
        <v>15.1</v>
      </c>
      <c r="G331" s="2">
        <v>15.2</v>
      </c>
      <c r="H331" s="2">
        <v>14.5</v>
      </c>
      <c r="I331" s="2">
        <v>13.6</v>
      </c>
      <c r="J331" s="2">
        <v>12.6</v>
      </c>
      <c r="K331" s="2">
        <v>12.6</v>
      </c>
      <c r="L331" s="2">
        <v>12.9</v>
      </c>
      <c r="M331" s="2">
        <v>13.2</v>
      </c>
      <c r="N331" s="2">
        <v>14.1</v>
      </c>
      <c r="O331" s="2">
        <v>15.4</v>
      </c>
      <c r="P331" s="2">
        <v>16.2</v>
      </c>
      <c r="Q331" s="2">
        <v>15.8</v>
      </c>
      <c r="R331" s="2">
        <v>16.100000000000001</v>
      </c>
      <c r="S331" s="2">
        <v>16.3</v>
      </c>
      <c r="T331" s="2">
        <v>16.3</v>
      </c>
      <c r="U331" s="2">
        <v>15.8</v>
      </c>
      <c r="V331" s="2">
        <v>15.7</v>
      </c>
      <c r="W331" s="2">
        <v>15.7</v>
      </c>
      <c r="X331" s="2">
        <v>16.5</v>
      </c>
      <c r="Y331" s="2">
        <v>16.600000000000001</v>
      </c>
      <c r="Z331" s="2">
        <v>17</v>
      </c>
      <c r="AA331" s="2">
        <v>16.5</v>
      </c>
      <c r="AC331" s="5">
        <f t="shared" si="6"/>
        <v>15.133333333333333</v>
      </c>
    </row>
    <row r="332" spans="2:29" x14ac:dyDescent="0.25">
      <c r="B332" s="4">
        <v>42697</v>
      </c>
      <c r="C332" s="3">
        <v>328</v>
      </c>
      <c r="D332" s="2">
        <v>16.399999999999999</v>
      </c>
      <c r="E332" s="2">
        <v>16.3</v>
      </c>
      <c r="F332" s="2">
        <v>17.3</v>
      </c>
      <c r="G332" s="2">
        <v>17.899999999999999</v>
      </c>
      <c r="H332" s="2">
        <v>18</v>
      </c>
      <c r="I332" s="2">
        <v>18</v>
      </c>
      <c r="J332" s="2">
        <v>17.8</v>
      </c>
      <c r="K332" s="2">
        <v>17.600000000000001</v>
      </c>
      <c r="L332" s="2">
        <v>17.399999999999999</v>
      </c>
      <c r="M332" s="2">
        <v>17.7</v>
      </c>
      <c r="N332" s="2">
        <v>17.899999999999999</v>
      </c>
      <c r="O332" s="2">
        <v>18.600000000000001</v>
      </c>
      <c r="P332" s="2">
        <v>18.5</v>
      </c>
      <c r="Q332" s="2">
        <v>18.2</v>
      </c>
      <c r="R332" s="2">
        <v>14.3</v>
      </c>
      <c r="S332" s="2">
        <v>13.3</v>
      </c>
      <c r="T332" s="2">
        <v>11.9</v>
      </c>
      <c r="U332" s="2">
        <v>12</v>
      </c>
      <c r="V332" s="2">
        <v>11.9</v>
      </c>
      <c r="W332" s="2">
        <v>11.7</v>
      </c>
      <c r="X332" s="2">
        <v>9.6</v>
      </c>
      <c r="Y332" s="2">
        <v>8.9</v>
      </c>
      <c r="Z332" s="2">
        <v>9</v>
      </c>
      <c r="AA332" s="2">
        <v>8.9</v>
      </c>
      <c r="AC332" s="5">
        <f t="shared" si="6"/>
        <v>14.962499999999997</v>
      </c>
    </row>
    <row r="333" spans="2:29" x14ac:dyDescent="0.25">
      <c r="B333" s="4">
        <v>42698</v>
      </c>
      <c r="C333" s="3">
        <v>329</v>
      </c>
      <c r="D333" s="2">
        <v>8.3000000000000007</v>
      </c>
      <c r="E333" s="2">
        <v>8.5</v>
      </c>
      <c r="F333" s="2">
        <v>8.3000000000000007</v>
      </c>
      <c r="G333" s="2">
        <v>6.6</v>
      </c>
      <c r="H333" s="2">
        <v>5.2</v>
      </c>
      <c r="I333" s="2">
        <v>4.5</v>
      </c>
      <c r="J333" s="2">
        <v>5.8</v>
      </c>
      <c r="K333" s="2">
        <v>5.8</v>
      </c>
      <c r="L333" s="2">
        <v>5.7</v>
      </c>
      <c r="M333" s="2">
        <v>7.5</v>
      </c>
      <c r="N333" s="2">
        <v>10</v>
      </c>
      <c r="O333" s="2">
        <v>11.3</v>
      </c>
      <c r="P333" s="2">
        <v>12.6</v>
      </c>
      <c r="Q333" s="2">
        <v>12.9</v>
      </c>
      <c r="R333" s="2">
        <v>14.1</v>
      </c>
      <c r="S333" s="2">
        <v>14.3</v>
      </c>
      <c r="T333" s="2">
        <v>12.4</v>
      </c>
      <c r="U333" s="2">
        <v>11.5</v>
      </c>
      <c r="V333" s="2">
        <v>7.9</v>
      </c>
      <c r="W333" s="2">
        <v>6.6</v>
      </c>
      <c r="X333" s="2">
        <v>5.7</v>
      </c>
      <c r="Y333" s="2">
        <v>4.4000000000000004</v>
      </c>
      <c r="Z333" s="2">
        <v>4.4000000000000004</v>
      </c>
      <c r="AA333" s="2">
        <v>3.9</v>
      </c>
      <c r="AC333" s="5">
        <f t="shared" si="6"/>
        <v>8.2583333333333346</v>
      </c>
    </row>
    <row r="334" spans="2:29" x14ac:dyDescent="0.25">
      <c r="B334" s="4">
        <v>42699</v>
      </c>
      <c r="C334" s="3">
        <v>330</v>
      </c>
      <c r="D334" s="2">
        <v>3.6</v>
      </c>
      <c r="E334" s="2">
        <v>3.2</v>
      </c>
      <c r="F334" s="2">
        <v>4.0999999999999996</v>
      </c>
      <c r="G334" s="2">
        <v>3.3</v>
      </c>
      <c r="H334" s="2">
        <v>3.5</v>
      </c>
      <c r="I334" s="2">
        <v>2.8</v>
      </c>
      <c r="J334" s="2">
        <v>2.2000000000000002</v>
      </c>
      <c r="K334" s="2">
        <v>1.9</v>
      </c>
      <c r="L334" s="2">
        <v>2</v>
      </c>
      <c r="M334" s="2">
        <v>8.3000000000000007</v>
      </c>
      <c r="N334" s="2">
        <v>11.7</v>
      </c>
      <c r="O334" s="2">
        <v>12.6</v>
      </c>
      <c r="P334" s="2">
        <v>14.1</v>
      </c>
      <c r="Q334" s="2">
        <v>13.9</v>
      </c>
      <c r="R334" s="2">
        <v>14.5</v>
      </c>
      <c r="S334" s="2">
        <v>14.5</v>
      </c>
      <c r="T334" s="2">
        <v>13.6</v>
      </c>
      <c r="U334" s="2">
        <v>9.9</v>
      </c>
      <c r="V334" s="2">
        <v>7.2</v>
      </c>
      <c r="W334" s="2">
        <v>6.7</v>
      </c>
      <c r="X334" s="2">
        <v>5.7</v>
      </c>
      <c r="Y334" s="2">
        <v>5.9</v>
      </c>
      <c r="Z334" s="2">
        <v>7.8</v>
      </c>
      <c r="AA334" s="2">
        <v>8.1999999999999993</v>
      </c>
      <c r="AC334" s="5">
        <f t="shared" si="6"/>
        <v>7.55</v>
      </c>
    </row>
    <row r="335" spans="2:29" x14ac:dyDescent="0.25">
      <c r="B335" s="4">
        <v>42700</v>
      </c>
      <c r="C335" s="3">
        <v>331</v>
      </c>
      <c r="D335" s="2">
        <v>8.1999999999999993</v>
      </c>
      <c r="E335" s="2">
        <v>8.9</v>
      </c>
      <c r="F335" s="2">
        <v>9</v>
      </c>
      <c r="G335" s="2">
        <v>9.4</v>
      </c>
      <c r="H335" s="2">
        <v>9.9</v>
      </c>
      <c r="I335" s="2">
        <v>10.199999999999999</v>
      </c>
      <c r="J335" s="2">
        <v>10.3</v>
      </c>
      <c r="K335" s="2">
        <v>10.5</v>
      </c>
      <c r="L335" s="2">
        <v>10.7</v>
      </c>
      <c r="M335" s="2">
        <v>11.3</v>
      </c>
      <c r="N335" s="2">
        <v>12</v>
      </c>
      <c r="O335" s="2">
        <v>12.3</v>
      </c>
      <c r="P335" s="2">
        <v>15.3</v>
      </c>
      <c r="Q335" s="2">
        <v>15.1</v>
      </c>
      <c r="R335" s="2">
        <v>15</v>
      </c>
      <c r="S335" s="2">
        <v>14.8</v>
      </c>
      <c r="T335" s="2">
        <v>14.7</v>
      </c>
      <c r="U335" s="2">
        <v>13.9</v>
      </c>
      <c r="V335" s="2">
        <v>13.6</v>
      </c>
      <c r="W335" s="2">
        <v>13.3</v>
      </c>
      <c r="X335" s="2">
        <v>12.9</v>
      </c>
      <c r="Y335" s="2">
        <v>13.2</v>
      </c>
      <c r="Z335" s="2">
        <v>12.9</v>
      </c>
      <c r="AA335" s="2">
        <v>12.8</v>
      </c>
      <c r="AC335" s="5">
        <f t="shared" si="6"/>
        <v>12.091666666666667</v>
      </c>
    </row>
    <row r="336" spans="2:29" x14ac:dyDescent="0.25">
      <c r="B336" s="4">
        <v>42701</v>
      </c>
      <c r="C336" s="3">
        <v>332</v>
      </c>
      <c r="D336" s="2">
        <v>12.7</v>
      </c>
      <c r="E336" s="2">
        <v>13.1</v>
      </c>
      <c r="F336" s="2">
        <v>13.3</v>
      </c>
      <c r="G336" s="2">
        <v>13.7</v>
      </c>
      <c r="H336" s="2">
        <v>14.5</v>
      </c>
      <c r="I336" s="2">
        <v>13.4</v>
      </c>
      <c r="J336" s="2">
        <v>12.7</v>
      </c>
      <c r="K336" s="2">
        <v>12.3</v>
      </c>
      <c r="L336" s="2">
        <v>11</v>
      </c>
      <c r="M336" s="2">
        <v>10.1</v>
      </c>
      <c r="N336" s="2">
        <v>10.199999999999999</v>
      </c>
      <c r="O336" s="2">
        <v>10.1</v>
      </c>
      <c r="P336" s="2">
        <v>9.9</v>
      </c>
      <c r="Q336" s="2">
        <v>10</v>
      </c>
      <c r="R336" s="2">
        <v>10.4</v>
      </c>
      <c r="S336" s="2">
        <v>10.199999999999999</v>
      </c>
      <c r="T336" s="2">
        <v>10.3</v>
      </c>
      <c r="U336" s="2">
        <v>10.9</v>
      </c>
      <c r="V336" s="2">
        <v>11.5</v>
      </c>
      <c r="W336" s="2">
        <v>11.3</v>
      </c>
      <c r="X336" s="2">
        <v>11.5</v>
      </c>
      <c r="Y336" s="2">
        <v>11</v>
      </c>
      <c r="Z336" s="2">
        <v>11.2</v>
      </c>
      <c r="AA336" s="2">
        <v>11.5</v>
      </c>
      <c r="AC336" s="5">
        <f t="shared" si="6"/>
        <v>11.533333333333333</v>
      </c>
    </row>
    <row r="337" spans="2:29" x14ac:dyDescent="0.25">
      <c r="B337" s="4">
        <v>42702</v>
      </c>
      <c r="C337" s="3">
        <v>333</v>
      </c>
      <c r="D337" s="2">
        <v>11.2</v>
      </c>
      <c r="E337" s="2">
        <v>10.7</v>
      </c>
      <c r="F337" s="2">
        <v>10.6</v>
      </c>
      <c r="G337" s="2">
        <v>10.4</v>
      </c>
      <c r="H337" s="2">
        <v>10.9</v>
      </c>
      <c r="I337" s="2">
        <v>11.1</v>
      </c>
      <c r="J337" s="2">
        <v>11.5</v>
      </c>
      <c r="K337" s="2">
        <v>10.6</v>
      </c>
      <c r="L337" s="2">
        <v>10.5</v>
      </c>
      <c r="M337" s="2">
        <v>10.9</v>
      </c>
      <c r="N337" s="2">
        <v>13.7</v>
      </c>
      <c r="O337" s="2">
        <v>15.7</v>
      </c>
      <c r="P337" s="2">
        <v>16.5</v>
      </c>
      <c r="Q337" s="2">
        <v>16.5</v>
      </c>
      <c r="R337" s="2">
        <v>16.5</v>
      </c>
      <c r="S337" s="2">
        <v>15.2</v>
      </c>
      <c r="T337" s="2">
        <v>14.3</v>
      </c>
      <c r="U337" s="2">
        <v>13.6</v>
      </c>
      <c r="V337" s="2">
        <v>12.6</v>
      </c>
      <c r="W337" s="2">
        <v>12.4</v>
      </c>
      <c r="X337" s="2">
        <v>12</v>
      </c>
      <c r="Y337" s="2">
        <v>12</v>
      </c>
      <c r="Z337" s="2">
        <v>10.9</v>
      </c>
      <c r="AA337" s="2">
        <v>10.1</v>
      </c>
      <c r="AC337" s="5">
        <f t="shared" si="6"/>
        <v>12.516666666666666</v>
      </c>
    </row>
    <row r="338" spans="2:29" x14ac:dyDescent="0.25">
      <c r="B338" s="4">
        <v>42703</v>
      </c>
      <c r="C338" s="3">
        <v>334</v>
      </c>
      <c r="D338" s="2">
        <v>9.6</v>
      </c>
      <c r="E338" s="2">
        <v>9.9</v>
      </c>
      <c r="F338" s="2">
        <v>9</v>
      </c>
      <c r="G338" s="2">
        <v>8.9</v>
      </c>
      <c r="H338" s="2">
        <v>8.8000000000000007</v>
      </c>
      <c r="I338" s="2">
        <v>8.5</v>
      </c>
      <c r="J338" s="2">
        <v>7.8</v>
      </c>
      <c r="K338" s="2">
        <v>7.9</v>
      </c>
      <c r="L338" s="2">
        <v>7.7</v>
      </c>
      <c r="M338" s="2">
        <v>9.1</v>
      </c>
      <c r="N338" s="2">
        <v>11.3</v>
      </c>
      <c r="O338" s="2">
        <v>13.4</v>
      </c>
      <c r="P338" s="2">
        <v>14.4</v>
      </c>
      <c r="Q338" s="2">
        <v>15.5</v>
      </c>
      <c r="R338" s="2">
        <v>15.7</v>
      </c>
      <c r="S338" s="2">
        <v>15.6</v>
      </c>
      <c r="T338" s="2">
        <v>14.4</v>
      </c>
      <c r="U338" s="2">
        <v>13.4</v>
      </c>
      <c r="V338" s="2">
        <v>11.7</v>
      </c>
      <c r="W338" s="2">
        <v>10.5</v>
      </c>
      <c r="X338" s="2">
        <v>10.7</v>
      </c>
      <c r="Y338" s="2">
        <v>11.3</v>
      </c>
      <c r="Z338" s="2">
        <v>11.2</v>
      </c>
      <c r="AA338" s="2">
        <v>11.2</v>
      </c>
      <c r="AC338" s="5">
        <f t="shared" si="6"/>
        <v>11.145833333333334</v>
      </c>
    </row>
    <row r="339" spans="2:29" x14ac:dyDescent="0.25">
      <c r="B339" s="4">
        <v>42704</v>
      </c>
      <c r="C339" s="3">
        <v>335</v>
      </c>
      <c r="D339" s="2">
        <v>10.199999999999999</v>
      </c>
      <c r="E339" s="2">
        <v>10.3</v>
      </c>
      <c r="F339" s="2">
        <v>9.6999999999999993</v>
      </c>
      <c r="G339" s="2">
        <v>10.3</v>
      </c>
      <c r="H339" s="2">
        <v>10.3</v>
      </c>
      <c r="I339" s="2">
        <v>9.6999999999999993</v>
      </c>
      <c r="J339" s="2">
        <v>8.8000000000000007</v>
      </c>
      <c r="K339" s="2">
        <v>9.3000000000000007</v>
      </c>
      <c r="L339" s="2">
        <v>9</v>
      </c>
      <c r="M339" s="2">
        <v>10.4</v>
      </c>
      <c r="N339" s="2">
        <v>12.5</v>
      </c>
      <c r="O339" s="2">
        <v>13.5</v>
      </c>
      <c r="P339" s="2">
        <v>13.8</v>
      </c>
      <c r="Q339" s="2">
        <v>14.4</v>
      </c>
      <c r="R339" s="2">
        <v>13.5</v>
      </c>
      <c r="S339" s="2">
        <v>13.4</v>
      </c>
      <c r="T339" s="2">
        <v>13.5</v>
      </c>
      <c r="U339" s="2">
        <v>11.8</v>
      </c>
      <c r="V339" s="2">
        <v>8.3000000000000007</v>
      </c>
      <c r="W339" s="2">
        <v>7.4</v>
      </c>
      <c r="X339" s="2">
        <v>9.1</v>
      </c>
      <c r="Y339" s="2">
        <v>8.8000000000000007</v>
      </c>
      <c r="Z339" s="2">
        <v>6.6</v>
      </c>
      <c r="AA339" s="2">
        <v>5.8</v>
      </c>
      <c r="AC339" s="5">
        <f t="shared" si="6"/>
        <v>10.433333333333335</v>
      </c>
    </row>
    <row r="340" spans="2:29" x14ac:dyDescent="0.25">
      <c r="B340" s="4">
        <v>42705</v>
      </c>
      <c r="C340" s="3">
        <v>336</v>
      </c>
      <c r="D340" s="2">
        <v>5.3</v>
      </c>
      <c r="E340" s="2">
        <v>5.0999999999999996</v>
      </c>
      <c r="F340" s="2">
        <v>4.8</v>
      </c>
      <c r="G340" s="2">
        <v>3.9</v>
      </c>
      <c r="H340" s="2">
        <v>4.3</v>
      </c>
      <c r="I340" s="2">
        <v>4.2</v>
      </c>
      <c r="J340" s="2">
        <v>3.4</v>
      </c>
      <c r="K340" s="2">
        <v>3.8</v>
      </c>
      <c r="L340" s="2">
        <v>3.5</v>
      </c>
      <c r="M340" s="2">
        <v>6.6</v>
      </c>
      <c r="N340" s="2">
        <v>9.1</v>
      </c>
      <c r="O340" s="2">
        <v>13.2</v>
      </c>
      <c r="P340" s="2">
        <v>13.6</v>
      </c>
      <c r="Q340" s="2">
        <v>14.6</v>
      </c>
      <c r="R340" s="2">
        <v>14.6</v>
      </c>
      <c r="S340" s="2">
        <v>14.3</v>
      </c>
      <c r="T340" s="2">
        <v>13</v>
      </c>
      <c r="U340" s="2">
        <v>12.8</v>
      </c>
      <c r="V340" s="2">
        <v>10.3</v>
      </c>
      <c r="W340" s="2">
        <v>7.8</v>
      </c>
      <c r="X340" s="2">
        <v>7.5</v>
      </c>
      <c r="Y340" s="2">
        <v>5.8</v>
      </c>
      <c r="Z340" s="2">
        <v>5.6</v>
      </c>
      <c r="AA340" s="2">
        <v>5.4</v>
      </c>
      <c r="AC340" s="5">
        <f t="shared" si="6"/>
        <v>8.0208333333333339</v>
      </c>
    </row>
    <row r="341" spans="2:29" x14ac:dyDescent="0.25">
      <c r="B341" s="4">
        <v>42706</v>
      </c>
      <c r="C341" s="3">
        <v>337</v>
      </c>
      <c r="D341" s="2">
        <v>5</v>
      </c>
      <c r="E341" s="2">
        <v>4.7</v>
      </c>
      <c r="F341" s="2">
        <v>4</v>
      </c>
      <c r="G341" s="2">
        <v>3.9</v>
      </c>
      <c r="H341" s="2">
        <v>4.0999999999999996</v>
      </c>
      <c r="I341" s="2">
        <v>3.8</v>
      </c>
      <c r="J341" s="2">
        <v>3</v>
      </c>
      <c r="K341" s="2">
        <v>3.4</v>
      </c>
      <c r="L341" s="2">
        <v>4</v>
      </c>
      <c r="M341" s="2">
        <v>8.4</v>
      </c>
      <c r="N341" s="2">
        <v>12.2</v>
      </c>
      <c r="O341" s="2">
        <v>13.2</v>
      </c>
      <c r="P341" s="2">
        <v>14.2</v>
      </c>
      <c r="Q341" s="2">
        <v>15.8</v>
      </c>
      <c r="R341" s="2">
        <v>16.2</v>
      </c>
      <c r="S341" s="2">
        <v>15.6</v>
      </c>
      <c r="T341" s="2">
        <v>15.2</v>
      </c>
      <c r="U341" s="2">
        <v>12.6</v>
      </c>
      <c r="V341" s="2">
        <v>8</v>
      </c>
      <c r="W341" s="2">
        <v>6.7</v>
      </c>
      <c r="X341" s="2">
        <v>5.3</v>
      </c>
      <c r="Y341" s="2">
        <v>5.0999999999999996</v>
      </c>
      <c r="Z341" s="2">
        <v>4.7</v>
      </c>
      <c r="AA341" s="2">
        <v>4</v>
      </c>
      <c r="AC341" s="5">
        <f t="shared" si="6"/>
        <v>8.0458333333333325</v>
      </c>
    </row>
    <row r="342" spans="2:29" x14ac:dyDescent="0.25">
      <c r="B342" s="4">
        <v>42707</v>
      </c>
      <c r="C342" s="3">
        <v>338</v>
      </c>
      <c r="D342" s="2">
        <v>4.0999999999999996</v>
      </c>
      <c r="E342" s="2">
        <v>3.5</v>
      </c>
      <c r="F342" s="2">
        <v>2.8</v>
      </c>
      <c r="G342" s="2">
        <v>2.5</v>
      </c>
      <c r="H342" s="2">
        <v>4.0999999999999996</v>
      </c>
      <c r="I342" s="2">
        <v>3.3</v>
      </c>
      <c r="J342" s="2">
        <v>2.7</v>
      </c>
      <c r="K342" s="2">
        <v>2.6</v>
      </c>
      <c r="L342" s="2">
        <v>3.5</v>
      </c>
      <c r="M342" s="2">
        <v>5.8</v>
      </c>
      <c r="N342" s="2">
        <v>11</v>
      </c>
      <c r="O342" s="2">
        <v>12.7</v>
      </c>
      <c r="P342" s="2">
        <v>13.8</v>
      </c>
      <c r="Q342" s="2">
        <v>14.3</v>
      </c>
      <c r="R342" s="2">
        <v>13.9</v>
      </c>
      <c r="S342" s="2">
        <v>13.1</v>
      </c>
      <c r="T342" s="2">
        <v>12.9</v>
      </c>
      <c r="U342" s="2">
        <v>12</v>
      </c>
      <c r="V342" s="2">
        <v>11</v>
      </c>
      <c r="W342" s="2">
        <v>10.5</v>
      </c>
      <c r="X342" s="2">
        <v>10.5</v>
      </c>
      <c r="Y342" s="2">
        <v>11</v>
      </c>
      <c r="Z342" s="2">
        <v>11.5</v>
      </c>
      <c r="AA342" s="2">
        <v>11.4</v>
      </c>
      <c r="AC342" s="5">
        <f t="shared" si="6"/>
        <v>8.5208333333333339</v>
      </c>
    </row>
    <row r="343" spans="2:29" x14ac:dyDescent="0.25">
      <c r="B343" s="4">
        <v>42708</v>
      </c>
      <c r="C343" s="3">
        <v>339</v>
      </c>
      <c r="D343" s="2">
        <v>11.6</v>
      </c>
      <c r="E343" s="2">
        <v>11.8</v>
      </c>
      <c r="F343" s="2">
        <v>12.1</v>
      </c>
      <c r="G343" s="2">
        <v>12.1</v>
      </c>
      <c r="H343" s="2">
        <v>11.7</v>
      </c>
      <c r="I343" s="2">
        <v>11.6</v>
      </c>
      <c r="J343" s="2">
        <v>11.3</v>
      </c>
      <c r="K343" s="2">
        <v>10.9</v>
      </c>
      <c r="L343" s="2">
        <v>11.7</v>
      </c>
      <c r="M343" s="2">
        <v>13.4</v>
      </c>
      <c r="N343" s="2">
        <v>14.1</v>
      </c>
      <c r="O343" s="2">
        <v>13.2</v>
      </c>
      <c r="P343" s="2">
        <v>13.6</v>
      </c>
      <c r="Q343" s="2">
        <v>13.9</v>
      </c>
      <c r="R343" s="2">
        <v>15</v>
      </c>
      <c r="S343" s="2">
        <v>16.2</v>
      </c>
      <c r="T343" s="2">
        <v>15.8</v>
      </c>
      <c r="U343" s="2">
        <v>15</v>
      </c>
      <c r="V343" s="2">
        <v>14.6</v>
      </c>
      <c r="W343" s="2">
        <v>14.4</v>
      </c>
      <c r="X343" s="2">
        <v>14.6</v>
      </c>
      <c r="Y343" s="2">
        <v>14</v>
      </c>
      <c r="Z343" s="2">
        <v>13.7</v>
      </c>
      <c r="AA343" s="2">
        <v>13</v>
      </c>
      <c r="AC343" s="5">
        <f t="shared" si="6"/>
        <v>13.304166666666667</v>
      </c>
    </row>
    <row r="344" spans="2:29" x14ac:dyDescent="0.25">
      <c r="B344" s="4">
        <v>42709</v>
      </c>
      <c r="C344" s="3">
        <v>340</v>
      </c>
      <c r="D344" s="2">
        <v>12.9</v>
      </c>
      <c r="E344" s="2">
        <v>13</v>
      </c>
      <c r="F344" s="2">
        <v>13.2</v>
      </c>
      <c r="G344" s="2">
        <v>13.3</v>
      </c>
      <c r="H344" s="2">
        <v>13.4</v>
      </c>
      <c r="I344" s="2">
        <v>13.5</v>
      </c>
      <c r="J344" s="2">
        <v>13.3</v>
      </c>
      <c r="K344" s="2">
        <v>13.6</v>
      </c>
      <c r="L344" s="2">
        <v>13.7</v>
      </c>
      <c r="M344" s="2">
        <v>14</v>
      </c>
      <c r="N344" s="2">
        <v>14.9</v>
      </c>
      <c r="O344" s="2">
        <v>16.5</v>
      </c>
      <c r="P344" s="2">
        <v>16.399999999999999</v>
      </c>
      <c r="Q344" s="2">
        <v>16.8</v>
      </c>
      <c r="R344" s="2">
        <v>17.100000000000001</v>
      </c>
      <c r="S344" s="2">
        <v>17.100000000000001</v>
      </c>
      <c r="T344" s="2">
        <v>16.899999999999999</v>
      </c>
      <c r="U344" s="2">
        <v>15.5</v>
      </c>
      <c r="V344" s="2">
        <v>14.6</v>
      </c>
      <c r="W344" s="2">
        <v>13.4</v>
      </c>
      <c r="X344" s="2">
        <v>12.5</v>
      </c>
      <c r="Y344" s="2">
        <v>10.6</v>
      </c>
      <c r="Z344" s="2">
        <v>9.8000000000000007</v>
      </c>
      <c r="AA344" s="2">
        <v>10.199999999999999</v>
      </c>
      <c r="AC344" s="5">
        <f t="shared" si="6"/>
        <v>14.008333333333335</v>
      </c>
    </row>
    <row r="345" spans="2:29" x14ac:dyDescent="0.25">
      <c r="B345" s="4">
        <v>42710</v>
      </c>
      <c r="C345" s="3">
        <v>341</v>
      </c>
      <c r="D345" s="2">
        <v>9.8000000000000007</v>
      </c>
      <c r="E345" s="2">
        <v>9.1</v>
      </c>
      <c r="F345" s="2">
        <v>7.9</v>
      </c>
      <c r="G345" s="2">
        <v>7.9</v>
      </c>
      <c r="H345" s="2">
        <v>7.6</v>
      </c>
      <c r="I345" s="2">
        <v>7.4</v>
      </c>
      <c r="J345" s="2">
        <v>9</v>
      </c>
      <c r="K345" s="2">
        <v>8.6999999999999993</v>
      </c>
      <c r="L345" s="2">
        <v>9.6999999999999993</v>
      </c>
      <c r="M345" s="2">
        <v>11</v>
      </c>
      <c r="N345" s="2">
        <v>14.5</v>
      </c>
      <c r="O345" s="2">
        <v>16.5</v>
      </c>
      <c r="P345" s="2">
        <v>18.600000000000001</v>
      </c>
      <c r="Q345" s="2">
        <v>19</v>
      </c>
      <c r="R345" s="2">
        <v>18.899999999999999</v>
      </c>
      <c r="S345" s="2">
        <v>18.100000000000001</v>
      </c>
      <c r="T345" s="2">
        <v>17</v>
      </c>
      <c r="U345" s="2">
        <v>14.8</v>
      </c>
      <c r="V345" s="2">
        <v>9.9</v>
      </c>
      <c r="W345" s="2">
        <v>9.5</v>
      </c>
      <c r="X345" s="2">
        <v>9.1999999999999993</v>
      </c>
      <c r="Y345" s="2">
        <v>8.6999999999999993</v>
      </c>
      <c r="Z345" s="2">
        <v>8.1999999999999993</v>
      </c>
      <c r="AA345" s="2">
        <v>7.3</v>
      </c>
      <c r="AC345" s="5">
        <f t="shared" si="6"/>
        <v>11.595833333333333</v>
      </c>
    </row>
    <row r="346" spans="2:29" x14ac:dyDescent="0.25">
      <c r="B346" s="4">
        <v>42711</v>
      </c>
      <c r="C346" s="3">
        <v>342</v>
      </c>
      <c r="D346" s="2">
        <v>7.4</v>
      </c>
      <c r="E346" s="2">
        <v>7.7</v>
      </c>
      <c r="F346" s="2">
        <v>7.3</v>
      </c>
      <c r="G346" s="2">
        <v>6.4</v>
      </c>
      <c r="H346" s="2">
        <v>7.3</v>
      </c>
      <c r="I346" s="2">
        <v>8.1999999999999993</v>
      </c>
      <c r="J346" s="2">
        <v>7.4</v>
      </c>
      <c r="K346" s="2">
        <v>6.8</v>
      </c>
      <c r="L346" s="2">
        <v>8</v>
      </c>
      <c r="M346" s="2">
        <v>10.8</v>
      </c>
      <c r="N346" s="2">
        <v>13.3</v>
      </c>
      <c r="O346" s="2">
        <v>15.6</v>
      </c>
      <c r="P346" s="2">
        <v>16.5</v>
      </c>
      <c r="Q346" s="2">
        <v>16.899999999999999</v>
      </c>
      <c r="R346" s="2">
        <v>17.5</v>
      </c>
      <c r="S346" s="2">
        <v>15.9</v>
      </c>
      <c r="T346" s="2">
        <v>15.3</v>
      </c>
      <c r="U346" s="2">
        <v>12.4</v>
      </c>
      <c r="V346" s="2">
        <v>9.6999999999999993</v>
      </c>
      <c r="W346" s="2">
        <v>8.6</v>
      </c>
      <c r="X346" s="2">
        <v>8.4</v>
      </c>
      <c r="Y346" s="2">
        <v>8.1</v>
      </c>
      <c r="Z346" s="2">
        <v>8</v>
      </c>
      <c r="AA346" s="2">
        <v>7.5</v>
      </c>
      <c r="AC346" s="5">
        <f t="shared" si="6"/>
        <v>10.458333333333334</v>
      </c>
    </row>
    <row r="347" spans="2:29" x14ac:dyDescent="0.25">
      <c r="B347" s="4">
        <v>42712</v>
      </c>
      <c r="C347" s="3">
        <v>343</v>
      </c>
      <c r="D347" s="2">
        <v>7.2</v>
      </c>
      <c r="E347" s="2">
        <v>7.5</v>
      </c>
      <c r="F347" s="2">
        <v>6.8</v>
      </c>
      <c r="G347" s="2">
        <v>6.6</v>
      </c>
      <c r="H347" s="2">
        <v>5.6</v>
      </c>
      <c r="I347" s="2">
        <v>5.3</v>
      </c>
      <c r="J347" s="2">
        <v>5.0999999999999996</v>
      </c>
      <c r="K347" s="2">
        <v>4.5999999999999996</v>
      </c>
      <c r="L347" s="2">
        <v>3.8</v>
      </c>
      <c r="M347" s="2">
        <v>7.4</v>
      </c>
      <c r="N347" s="2">
        <v>11.5</v>
      </c>
      <c r="O347" s="2">
        <v>14.7</v>
      </c>
      <c r="P347" s="2">
        <v>16</v>
      </c>
      <c r="Q347" s="2">
        <v>16.7</v>
      </c>
      <c r="R347" s="2">
        <v>16.3</v>
      </c>
      <c r="S347" s="2">
        <v>16.7</v>
      </c>
      <c r="T347" s="2">
        <v>15.7</v>
      </c>
      <c r="U347" s="2">
        <v>13</v>
      </c>
      <c r="V347" s="2">
        <v>8.8000000000000007</v>
      </c>
      <c r="W347" s="2">
        <v>8.3000000000000007</v>
      </c>
      <c r="X347" s="2">
        <v>7.4</v>
      </c>
      <c r="Y347" s="2">
        <v>6.4</v>
      </c>
      <c r="Z347" s="2">
        <v>6.5</v>
      </c>
      <c r="AA347" s="2">
        <v>5.9</v>
      </c>
      <c r="AC347" s="5">
        <f t="shared" si="6"/>
        <v>9.3250000000000011</v>
      </c>
    </row>
    <row r="348" spans="2:29" x14ac:dyDescent="0.25">
      <c r="B348" s="4">
        <v>42713</v>
      </c>
      <c r="C348" s="3">
        <v>344</v>
      </c>
      <c r="D348" s="2">
        <v>5.0999999999999996</v>
      </c>
      <c r="E348" s="2">
        <v>5.4</v>
      </c>
      <c r="F348" s="2">
        <v>5</v>
      </c>
      <c r="G348" s="2">
        <v>5.0999999999999996</v>
      </c>
      <c r="H348" s="2">
        <v>4.5999999999999996</v>
      </c>
      <c r="I348" s="2">
        <v>3.9</v>
      </c>
      <c r="J348" s="2">
        <v>4.3</v>
      </c>
      <c r="K348" s="2">
        <v>3.8</v>
      </c>
      <c r="L348" s="2">
        <v>3.3</v>
      </c>
      <c r="M348" s="2">
        <v>8.8000000000000007</v>
      </c>
      <c r="N348" s="2">
        <v>14.3</v>
      </c>
      <c r="O348" s="2">
        <v>15.1</v>
      </c>
      <c r="P348" s="2">
        <v>16.8</v>
      </c>
      <c r="Q348" s="2">
        <v>17.2</v>
      </c>
      <c r="R348" s="2">
        <v>18.2</v>
      </c>
      <c r="S348" s="2">
        <v>17.8</v>
      </c>
      <c r="T348" s="2">
        <v>17</v>
      </c>
      <c r="U348" s="2">
        <v>13.6</v>
      </c>
      <c r="V348" s="2">
        <v>9.6</v>
      </c>
      <c r="W348" s="2">
        <v>9.1</v>
      </c>
      <c r="X348" s="2">
        <v>7.3</v>
      </c>
      <c r="Y348" s="2">
        <v>6.4</v>
      </c>
      <c r="Z348" s="2">
        <v>6.8</v>
      </c>
      <c r="AA348" s="2">
        <v>6.4</v>
      </c>
      <c r="AC348" s="5">
        <f t="shared" si="6"/>
        <v>9.3708333333333336</v>
      </c>
    </row>
    <row r="349" spans="2:29" x14ac:dyDescent="0.25">
      <c r="B349" s="4">
        <v>42714</v>
      </c>
      <c r="C349" s="3">
        <v>345</v>
      </c>
      <c r="D349" s="2">
        <v>5.9</v>
      </c>
      <c r="E349" s="2">
        <v>6.2</v>
      </c>
      <c r="F349" s="2">
        <v>6.1</v>
      </c>
      <c r="G349" s="2">
        <v>6.1</v>
      </c>
      <c r="H349" s="2">
        <v>6.6</v>
      </c>
      <c r="I349" s="2">
        <v>5.0999999999999996</v>
      </c>
      <c r="J349" s="2">
        <v>5.6</v>
      </c>
      <c r="K349" s="2">
        <v>4.8</v>
      </c>
      <c r="L349" s="2">
        <v>6</v>
      </c>
      <c r="M349" s="2">
        <v>10.9</v>
      </c>
      <c r="N349" s="2">
        <v>13.3</v>
      </c>
      <c r="O349" s="2">
        <v>15.7</v>
      </c>
      <c r="P349" s="2">
        <v>16.899999999999999</v>
      </c>
      <c r="Q349" s="2">
        <v>17.8</v>
      </c>
      <c r="R349" s="2">
        <v>17.899999999999999</v>
      </c>
      <c r="S349" s="2">
        <v>17.3</v>
      </c>
      <c r="T349" s="2">
        <v>16.8</v>
      </c>
      <c r="U349" s="2">
        <v>14.3</v>
      </c>
      <c r="V349" s="2">
        <v>9.9</v>
      </c>
      <c r="W349" s="2">
        <v>9.3000000000000007</v>
      </c>
      <c r="X349" s="2">
        <v>8.3000000000000007</v>
      </c>
      <c r="Y349" s="2">
        <v>7.9</v>
      </c>
      <c r="Z349" s="2">
        <v>6.6</v>
      </c>
      <c r="AA349" s="2">
        <v>6.7</v>
      </c>
      <c r="AC349" s="5">
        <f t="shared" si="6"/>
        <v>10.083333333333336</v>
      </c>
    </row>
    <row r="350" spans="2:29" x14ac:dyDescent="0.25">
      <c r="B350" s="4">
        <v>42715</v>
      </c>
      <c r="C350" s="3">
        <v>346</v>
      </c>
      <c r="D350" s="2">
        <v>6.4</v>
      </c>
      <c r="E350" s="2">
        <v>6.5</v>
      </c>
      <c r="F350" s="2">
        <v>6.2</v>
      </c>
      <c r="G350" s="2">
        <v>5.9</v>
      </c>
      <c r="H350" s="2">
        <v>5.0999999999999996</v>
      </c>
      <c r="I350" s="2">
        <v>4.5</v>
      </c>
      <c r="J350" s="2">
        <v>3.6</v>
      </c>
      <c r="K350" s="2">
        <v>2.7</v>
      </c>
      <c r="L350" s="2">
        <v>3.6</v>
      </c>
      <c r="M350" s="2">
        <v>5.9</v>
      </c>
      <c r="N350" s="2">
        <v>9.5</v>
      </c>
      <c r="O350" s="2">
        <v>11.5</v>
      </c>
      <c r="P350" s="2">
        <v>13.5</v>
      </c>
      <c r="Q350" s="2">
        <v>14.5</v>
      </c>
      <c r="R350" s="2">
        <v>14.9</v>
      </c>
      <c r="S350" s="2">
        <v>15.7</v>
      </c>
      <c r="T350" s="2">
        <v>14.8</v>
      </c>
      <c r="U350" s="2">
        <v>11.9</v>
      </c>
      <c r="V350" s="2">
        <v>7.7</v>
      </c>
      <c r="W350" s="2">
        <v>5.7</v>
      </c>
      <c r="X350" s="2">
        <v>5.0999999999999996</v>
      </c>
      <c r="Y350" s="2">
        <v>3.2</v>
      </c>
      <c r="Z350" s="2">
        <v>2.7</v>
      </c>
      <c r="AA350" s="2">
        <v>2.6</v>
      </c>
      <c r="AC350" s="5">
        <f t="shared" si="6"/>
        <v>7.654166666666665</v>
      </c>
    </row>
    <row r="351" spans="2:29" x14ac:dyDescent="0.25">
      <c r="B351" s="4">
        <v>42716</v>
      </c>
      <c r="C351" s="3">
        <v>347</v>
      </c>
      <c r="D351" s="2">
        <v>3</v>
      </c>
      <c r="E351" s="2">
        <v>2.4</v>
      </c>
      <c r="F351" s="2">
        <v>2.6</v>
      </c>
      <c r="G351" s="2">
        <v>1.7</v>
      </c>
      <c r="H351" s="2">
        <v>1.5</v>
      </c>
      <c r="I351" s="2">
        <v>0.6</v>
      </c>
      <c r="J351" s="2">
        <v>1.9</v>
      </c>
      <c r="K351" s="2">
        <v>1.3</v>
      </c>
      <c r="L351" s="2">
        <v>0.6</v>
      </c>
      <c r="M351" s="2">
        <v>5.0999999999999996</v>
      </c>
      <c r="N351" s="2">
        <v>9.1</v>
      </c>
      <c r="O351" s="2">
        <v>11.9</v>
      </c>
      <c r="P351" s="2">
        <v>12.7</v>
      </c>
      <c r="Q351" s="2">
        <v>14.5</v>
      </c>
      <c r="R351" s="2">
        <v>15.9</v>
      </c>
      <c r="S351" s="2">
        <v>16.2</v>
      </c>
      <c r="T351" s="2">
        <v>16.100000000000001</v>
      </c>
      <c r="U351" s="2">
        <v>11.4</v>
      </c>
      <c r="V351" s="2">
        <v>7.3</v>
      </c>
      <c r="W351" s="2">
        <v>5.9</v>
      </c>
      <c r="X351" s="2">
        <v>5.5</v>
      </c>
      <c r="Y351" s="2">
        <v>4.4000000000000004</v>
      </c>
      <c r="Z351" s="2">
        <v>4.5</v>
      </c>
      <c r="AA351" s="2">
        <v>3.7</v>
      </c>
      <c r="AC351" s="5">
        <f t="shared" si="6"/>
        <v>6.6583333333333341</v>
      </c>
    </row>
    <row r="352" spans="2:29" x14ac:dyDescent="0.25">
      <c r="B352" s="4">
        <v>42717</v>
      </c>
      <c r="C352" s="3">
        <v>348</v>
      </c>
      <c r="D352" s="2">
        <v>2.2000000000000002</v>
      </c>
      <c r="E352" s="2">
        <v>4.0999999999999996</v>
      </c>
      <c r="F352" s="2">
        <v>3.6</v>
      </c>
      <c r="G352" s="2">
        <v>3.7</v>
      </c>
      <c r="H352" s="2">
        <v>3.1</v>
      </c>
      <c r="I352" s="2">
        <v>3.6</v>
      </c>
      <c r="J352" s="2">
        <v>1.9</v>
      </c>
      <c r="K352" s="2">
        <v>2.2999999999999998</v>
      </c>
      <c r="L352" s="2">
        <v>2.7</v>
      </c>
      <c r="M352" s="2">
        <v>5.7</v>
      </c>
      <c r="N352" s="2">
        <v>10</v>
      </c>
      <c r="O352" s="2">
        <v>13.7</v>
      </c>
      <c r="P352" s="2">
        <v>15.2</v>
      </c>
      <c r="Q352" s="2">
        <v>15.9</v>
      </c>
      <c r="R352" s="2">
        <v>15.8</v>
      </c>
      <c r="S352" s="2">
        <v>15.7</v>
      </c>
      <c r="T352" s="2">
        <v>14.8</v>
      </c>
      <c r="U352" s="2">
        <v>12</v>
      </c>
      <c r="V352" s="2">
        <v>9.1</v>
      </c>
      <c r="W352" s="2">
        <v>8.9</v>
      </c>
      <c r="X352" s="2">
        <v>8.5</v>
      </c>
      <c r="Y352" s="2">
        <v>7.7</v>
      </c>
      <c r="Z352" s="2">
        <v>7.5</v>
      </c>
      <c r="AA352" s="2">
        <v>7.9</v>
      </c>
      <c r="AC352" s="5">
        <f t="shared" si="6"/>
        <v>8.15</v>
      </c>
    </row>
    <row r="353" spans="2:29" x14ac:dyDescent="0.25">
      <c r="B353" s="4">
        <v>42718</v>
      </c>
      <c r="C353" s="3">
        <v>349</v>
      </c>
      <c r="D353" s="2">
        <v>7.5</v>
      </c>
      <c r="E353" s="2">
        <v>8.6999999999999993</v>
      </c>
      <c r="F353" s="2">
        <v>8.6999999999999993</v>
      </c>
      <c r="G353" s="2">
        <v>8.4</v>
      </c>
      <c r="H353" s="2">
        <v>8.8000000000000007</v>
      </c>
      <c r="I353" s="2">
        <v>8.9</v>
      </c>
      <c r="J353" s="2">
        <v>8.8000000000000007</v>
      </c>
      <c r="K353" s="2">
        <v>8.5</v>
      </c>
      <c r="L353" s="2">
        <v>8.3000000000000007</v>
      </c>
      <c r="M353" s="2">
        <v>10.8</v>
      </c>
      <c r="N353" s="2">
        <v>12.2</v>
      </c>
      <c r="O353" s="2">
        <v>13.9</v>
      </c>
      <c r="P353" s="2">
        <v>14.8</v>
      </c>
      <c r="Q353" s="2">
        <v>15.1</v>
      </c>
      <c r="R353" s="2">
        <v>15.1</v>
      </c>
      <c r="S353" s="2">
        <v>15</v>
      </c>
      <c r="T353" s="2">
        <v>14.3</v>
      </c>
      <c r="U353" s="2">
        <v>11.9</v>
      </c>
      <c r="V353" s="2">
        <v>8.4</v>
      </c>
      <c r="W353" s="2">
        <v>7.1</v>
      </c>
      <c r="X353" s="2">
        <v>7.2</v>
      </c>
      <c r="Y353" s="2">
        <v>7</v>
      </c>
      <c r="Z353" s="2">
        <v>7</v>
      </c>
      <c r="AA353" s="2">
        <v>6.8</v>
      </c>
      <c r="AC353" s="5">
        <f t="shared" si="6"/>
        <v>10.133333333333335</v>
      </c>
    </row>
    <row r="354" spans="2:29" x14ac:dyDescent="0.25">
      <c r="B354" s="4">
        <v>42719</v>
      </c>
      <c r="C354" s="3">
        <v>350</v>
      </c>
      <c r="D354" s="2">
        <v>9.1</v>
      </c>
      <c r="E354" s="2">
        <v>9.9</v>
      </c>
      <c r="F354" s="2">
        <v>7.6</v>
      </c>
      <c r="G354" s="2">
        <v>6.4</v>
      </c>
      <c r="H354" s="2">
        <v>5.9</v>
      </c>
      <c r="I354" s="2">
        <v>5.6</v>
      </c>
      <c r="J354" s="2">
        <v>5.6</v>
      </c>
      <c r="K354" s="2">
        <v>6.7</v>
      </c>
      <c r="L354" s="2">
        <v>6.3</v>
      </c>
      <c r="M354" s="2">
        <v>8.9</v>
      </c>
      <c r="N354" s="2">
        <v>10.5</v>
      </c>
      <c r="O354" s="2">
        <v>10.8</v>
      </c>
      <c r="P354" s="2">
        <v>11.4</v>
      </c>
      <c r="Q354" s="2">
        <v>11.4</v>
      </c>
      <c r="R354" s="2">
        <v>11.8</v>
      </c>
      <c r="S354" s="2">
        <v>10.8</v>
      </c>
      <c r="T354" s="2">
        <v>12.6</v>
      </c>
      <c r="U354" s="2">
        <v>9.6</v>
      </c>
      <c r="V354" s="2">
        <v>9.1</v>
      </c>
      <c r="W354" s="2">
        <v>9.1999999999999993</v>
      </c>
      <c r="X354" s="2">
        <v>9.1999999999999993</v>
      </c>
      <c r="Y354" s="2">
        <v>9.5</v>
      </c>
      <c r="Z354" s="2">
        <v>9.9</v>
      </c>
      <c r="AA354" s="2">
        <v>9.8000000000000007</v>
      </c>
      <c r="AC354" s="5">
        <f t="shared" si="6"/>
        <v>9.0666666666666664</v>
      </c>
    </row>
    <row r="355" spans="2:29" x14ac:dyDescent="0.25">
      <c r="B355" s="4">
        <v>42720</v>
      </c>
      <c r="C355" s="3">
        <v>351</v>
      </c>
      <c r="D355" s="2">
        <v>10.199999999999999</v>
      </c>
      <c r="E355" s="2">
        <v>10.8</v>
      </c>
      <c r="F355" s="2">
        <v>10.9</v>
      </c>
      <c r="G355" s="2">
        <v>10.9</v>
      </c>
      <c r="H355" s="2">
        <v>10.9</v>
      </c>
      <c r="I355" s="2">
        <v>10.5</v>
      </c>
      <c r="J355" s="2">
        <v>10.4</v>
      </c>
      <c r="K355" s="2">
        <v>10</v>
      </c>
      <c r="L355" s="2">
        <v>10.199999999999999</v>
      </c>
      <c r="M355" s="2">
        <v>10.6</v>
      </c>
      <c r="N355" s="2">
        <v>11.2</v>
      </c>
      <c r="O355" s="2">
        <v>11.7</v>
      </c>
      <c r="P355" s="2">
        <v>12.5</v>
      </c>
      <c r="Q355" s="2">
        <v>11.8</v>
      </c>
      <c r="R355" s="2">
        <v>12</v>
      </c>
      <c r="S355" s="2">
        <v>11.4</v>
      </c>
      <c r="T355" s="2">
        <v>11.7</v>
      </c>
      <c r="U355" s="2">
        <v>11.1</v>
      </c>
      <c r="V355" s="2">
        <v>12.6</v>
      </c>
      <c r="W355" s="2">
        <v>12.2</v>
      </c>
      <c r="X355" s="2">
        <v>11.6</v>
      </c>
      <c r="Y355" s="2">
        <v>11.5</v>
      </c>
      <c r="Z355" s="2">
        <v>11.2</v>
      </c>
      <c r="AA355" s="2">
        <v>10.7</v>
      </c>
      <c r="AC355" s="5">
        <f t="shared" si="6"/>
        <v>11.191666666666665</v>
      </c>
    </row>
    <row r="356" spans="2:29" x14ac:dyDescent="0.25">
      <c r="B356" s="4">
        <v>42721</v>
      </c>
      <c r="C356" s="3">
        <v>352</v>
      </c>
      <c r="D356" s="2">
        <v>10.7</v>
      </c>
      <c r="E356" s="2">
        <v>11.6</v>
      </c>
      <c r="F356" s="2">
        <v>11.5</v>
      </c>
      <c r="G356" s="2">
        <v>11.4</v>
      </c>
      <c r="H356" s="2">
        <v>11.5</v>
      </c>
      <c r="I356" s="2">
        <v>11.4</v>
      </c>
      <c r="J356" s="2">
        <v>11.3</v>
      </c>
      <c r="K356" s="2">
        <v>11.7</v>
      </c>
      <c r="L356" s="2">
        <v>12</v>
      </c>
      <c r="M356" s="2">
        <v>11.3</v>
      </c>
      <c r="N356" s="2">
        <v>12.5</v>
      </c>
      <c r="O356" s="2">
        <v>12.7</v>
      </c>
      <c r="P356" s="2">
        <v>13.1</v>
      </c>
      <c r="Q356" s="2">
        <v>13</v>
      </c>
      <c r="R356" s="2">
        <v>13.3</v>
      </c>
      <c r="S356" s="2">
        <v>13.7</v>
      </c>
      <c r="T356" s="2">
        <v>13</v>
      </c>
      <c r="U356" s="2">
        <v>12.3</v>
      </c>
      <c r="V356" s="2">
        <v>10.4</v>
      </c>
      <c r="W356" s="2">
        <v>7.7</v>
      </c>
      <c r="X356" s="2">
        <v>7.5</v>
      </c>
      <c r="Y356" s="2">
        <v>7.3</v>
      </c>
      <c r="Z356" s="2">
        <v>7.1</v>
      </c>
      <c r="AA356" s="2">
        <v>5.8</v>
      </c>
      <c r="AC356" s="5">
        <f t="shared" si="6"/>
        <v>10.991666666666667</v>
      </c>
    </row>
    <row r="357" spans="2:29" x14ac:dyDescent="0.25">
      <c r="B357" s="4">
        <v>42722</v>
      </c>
      <c r="C357" s="3">
        <v>353</v>
      </c>
      <c r="D357" s="2">
        <v>5.3</v>
      </c>
      <c r="E357" s="2">
        <v>5.9</v>
      </c>
      <c r="F357" s="2">
        <v>3.4</v>
      </c>
      <c r="G357" s="2">
        <v>2.7</v>
      </c>
      <c r="H357" s="2">
        <v>5.4</v>
      </c>
      <c r="I357" s="2">
        <v>7.6</v>
      </c>
      <c r="J357" s="2">
        <v>8.4</v>
      </c>
      <c r="K357" s="2">
        <v>8.1999999999999993</v>
      </c>
      <c r="L357" s="2">
        <v>8.6999999999999993</v>
      </c>
      <c r="M357" s="2">
        <v>9</v>
      </c>
      <c r="N357" s="2">
        <v>9.8000000000000007</v>
      </c>
      <c r="O357" s="2">
        <v>12.5</v>
      </c>
      <c r="P357" s="2">
        <v>13.9</v>
      </c>
      <c r="Q357" s="2">
        <v>14.3</v>
      </c>
      <c r="R357" s="2">
        <v>13.8</v>
      </c>
      <c r="S357" s="2">
        <v>13.6</v>
      </c>
      <c r="T357" s="2">
        <v>13.1</v>
      </c>
      <c r="U357" s="2">
        <v>11.2</v>
      </c>
      <c r="V357" s="2">
        <v>8.4</v>
      </c>
      <c r="W357" s="2">
        <v>8.8000000000000007</v>
      </c>
      <c r="X357" s="2">
        <v>9.1</v>
      </c>
      <c r="Y357" s="2">
        <v>9.1</v>
      </c>
      <c r="Z357" s="2">
        <v>9.9</v>
      </c>
      <c r="AA357" s="2">
        <v>9.5</v>
      </c>
      <c r="AC357" s="5">
        <f t="shared" si="6"/>
        <v>9.2333333333333325</v>
      </c>
    </row>
    <row r="358" spans="2:29" x14ac:dyDescent="0.25">
      <c r="B358" s="4">
        <v>42723</v>
      </c>
      <c r="C358" s="3">
        <v>354</v>
      </c>
      <c r="D358" s="2">
        <v>9.1999999999999993</v>
      </c>
      <c r="E358" s="2">
        <v>8.1999999999999993</v>
      </c>
      <c r="F358" s="2">
        <v>9.1</v>
      </c>
      <c r="G358" s="2">
        <v>9.1</v>
      </c>
      <c r="H358" s="2">
        <v>8.9</v>
      </c>
      <c r="I358" s="2">
        <v>8.6</v>
      </c>
      <c r="J358" s="2">
        <v>9.1</v>
      </c>
      <c r="K358" s="2">
        <v>8</v>
      </c>
      <c r="L358" s="2">
        <v>8.6999999999999993</v>
      </c>
      <c r="M358" s="2">
        <v>9</v>
      </c>
      <c r="N358" s="2">
        <v>8.8000000000000007</v>
      </c>
      <c r="O358" s="2">
        <v>9</v>
      </c>
      <c r="P358" s="2">
        <v>9.1999999999999993</v>
      </c>
      <c r="Q358" s="2">
        <v>7.3</v>
      </c>
      <c r="R358" s="2">
        <v>8</v>
      </c>
      <c r="S358" s="2">
        <v>7.7</v>
      </c>
      <c r="T358" s="2">
        <v>7.7</v>
      </c>
      <c r="U358" s="2">
        <v>7.9</v>
      </c>
      <c r="V358" s="2">
        <v>8.5</v>
      </c>
      <c r="W358" s="2">
        <v>8.1</v>
      </c>
      <c r="X358" s="2">
        <v>8.1</v>
      </c>
      <c r="Y358" s="2">
        <v>7.5</v>
      </c>
      <c r="Z358" s="2">
        <v>7.9</v>
      </c>
      <c r="AA358" s="2">
        <v>9.9</v>
      </c>
      <c r="AC358" s="5">
        <f t="shared" si="6"/>
        <v>8.4791666666666661</v>
      </c>
    </row>
    <row r="359" spans="2:29" x14ac:dyDescent="0.25">
      <c r="B359" s="4">
        <v>42724</v>
      </c>
      <c r="C359" s="3">
        <v>355</v>
      </c>
      <c r="D359" s="2">
        <v>11.4</v>
      </c>
      <c r="E359" s="2">
        <v>10.6</v>
      </c>
      <c r="F359" s="2">
        <v>8.5</v>
      </c>
      <c r="G359" s="2">
        <v>8</v>
      </c>
      <c r="H359" s="2">
        <v>7.5</v>
      </c>
      <c r="I359" s="2">
        <v>7.8</v>
      </c>
      <c r="J359" s="2">
        <v>7.6</v>
      </c>
      <c r="K359" s="2">
        <v>7.5</v>
      </c>
      <c r="L359" s="2">
        <v>7.1</v>
      </c>
      <c r="M359" s="2">
        <v>7.3</v>
      </c>
      <c r="N359" s="2">
        <v>7.7</v>
      </c>
      <c r="O359" s="2">
        <v>8.8000000000000007</v>
      </c>
      <c r="P359" s="2">
        <v>11.4</v>
      </c>
      <c r="Q359" s="2">
        <v>13</v>
      </c>
      <c r="R359" s="2">
        <v>14</v>
      </c>
      <c r="S359" s="2">
        <v>14.2</v>
      </c>
      <c r="T359" s="2">
        <v>12.9</v>
      </c>
      <c r="U359" s="2">
        <v>11.4</v>
      </c>
      <c r="V359" s="2">
        <v>10.9</v>
      </c>
      <c r="W359" s="2">
        <v>10.7</v>
      </c>
      <c r="X359" s="2">
        <v>10.1</v>
      </c>
      <c r="Y359" s="2">
        <v>9.3000000000000007</v>
      </c>
      <c r="Z359" s="2">
        <v>8.6999999999999993</v>
      </c>
      <c r="AA359" s="2">
        <v>8.4</v>
      </c>
      <c r="AC359" s="5">
        <f t="shared" si="6"/>
        <v>9.7833333333333332</v>
      </c>
    </row>
    <row r="360" spans="2:29" x14ac:dyDescent="0.25">
      <c r="B360" s="4">
        <v>42725</v>
      </c>
      <c r="C360" s="3">
        <v>356</v>
      </c>
      <c r="D360" s="2">
        <v>8.1999999999999993</v>
      </c>
      <c r="E360" s="2">
        <v>7.5</v>
      </c>
      <c r="F360" s="2">
        <v>8.5</v>
      </c>
      <c r="G360" s="2">
        <v>7.9</v>
      </c>
      <c r="H360" s="2">
        <v>7.8</v>
      </c>
      <c r="I360" s="2">
        <v>7.1</v>
      </c>
      <c r="J360" s="2">
        <v>7</v>
      </c>
      <c r="K360" s="2">
        <v>6.8</v>
      </c>
      <c r="L360" s="2">
        <v>6.9</v>
      </c>
      <c r="M360" s="2">
        <v>7.4</v>
      </c>
      <c r="N360" s="2">
        <v>8.6999999999999993</v>
      </c>
      <c r="O360" s="2">
        <v>10.6</v>
      </c>
      <c r="P360" s="2">
        <v>13.2</v>
      </c>
      <c r="Q360" s="2">
        <v>15.2</v>
      </c>
      <c r="R360" s="2">
        <v>16.899999999999999</v>
      </c>
      <c r="S360" s="2">
        <v>16.100000000000001</v>
      </c>
      <c r="T360" s="2">
        <v>14.2</v>
      </c>
      <c r="U360" s="2">
        <v>12.5</v>
      </c>
      <c r="V360" s="2">
        <v>10.1</v>
      </c>
      <c r="W360" s="2">
        <v>8.1999999999999993</v>
      </c>
      <c r="X360" s="2">
        <v>6.8</v>
      </c>
      <c r="Y360" s="2">
        <v>6.6</v>
      </c>
      <c r="Z360" s="2">
        <v>5.0999999999999996</v>
      </c>
      <c r="AA360" s="2">
        <v>6.1</v>
      </c>
      <c r="AC360" s="5">
        <f t="shared" si="6"/>
        <v>9.3916666666666657</v>
      </c>
    </row>
    <row r="361" spans="2:29" x14ac:dyDescent="0.25">
      <c r="B361" s="4">
        <v>42726</v>
      </c>
      <c r="C361" s="3">
        <v>357</v>
      </c>
      <c r="D361" s="2">
        <v>5.0999999999999996</v>
      </c>
      <c r="E361" s="2">
        <v>5.7</v>
      </c>
      <c r="F361" s="2">
        <v>4.9000000000000004</v>
      </c>
      <c r="G361" s="2">
        <v>4.4000000000000004</v>
      </c>
      <c r="H361" s="2">
        <v>3.7</v>
      </c>
      <c r="I361" s="2">
        <v>3.4</v>
      </c>
      <c r="J361" s="2">
        <v>3.2</v>
      </c>
      <c r="K361" s="2">
        <v>4.4000000000000004</v>
      </c>
      <c r="L361" s="2">
        <v>3.1</v>
      </c>
      <c r="M361" s="2">
        <v>6.8</v>
      </c>
      <c r="N361" s="2">
        <v>11.6</v>
      </c>
      <c r="O361" s="2">
        <v>14.3</v>
      </c>
      <c r="P361" s="2">
        <v>15.4</v>
      </c>
      <c r="Q361" s="2">
        <v>15.7</v>
      </c>
      <c r="R361" s="2">
        <v>16.7</v>
      </c>
      <c r="S361" s="2">
        <v>16.399999999999999</v>
      </c>
      <c r="T361" s="2">
        <v>14.5</v>
      </c>
      <c r="U361" s="2">
        <v>10.8</v>
      </c>
      <c r="V361" s="2">
        <v>8.6999999999999993</v>
      </c>
      <c r="W361" s="2">
        <v>7.3</v>
      </c>
      <c r="X361" s="2">
        <v>6.7</v>
      </c>
      <c r="Y361" s="2">
        <v>5.3</v>
      </c>
      <c r="Z361" s="2">
        <v>4.8</v>
      </c>
      <c r="AA361" s="2">
        <v>3.9</v>
      </c>
      <c r="AC361" s="5">
        <f t="shared" si="6"/>
        <v>8.2000000000000011</v>
      </c>
    </row>
    <row r="362" spans="2:29" x14ac:dyDescent="0.25">
      <c r="B362" s="4">
        <v>42727</v>
      </c>
      <c r="C362" s="3">
        <v>358</v>
      </c>
      <c r="D362" s="2">
        <v>4.7</v>
      </c>
      <c r="E362" s="2">
        <v>3.7</v>
      </c>
      <c r="F362" s="2">
        <v>3.8</v>
      </c>
      <c r="G362" s="2">
        <v>4.2</v>
      </c>
      <c r="H362" s="2">
        <v>3.7</v>
      </c>
      <c r="I362" s="2">
        <v>3.2</v>
      </c>
      <c r="J362" s="2">
        <v>3.9</v>
      </c>
      <c r="K362" s="2">
        <v>4</v>
      </c>
      <c r="L362" s="2">
        <v>3</v>
      </c>
      <c r="M362" s="2">
        <v>7.2</v>
      </c>
      <c r="N362" s="2">
        <v>11.7</v>
      </c>
      <c r="O362" s="2">
        <v>13.8</v>
      </c>
      <c r="P362" s="2">
        <v>14.8</v>
      </c>
      <c r="Q362" s="2">
        <v>15.7</v>
      </c>
      <c r="R362" s="2">
        <v>16.100000000000001</v>
      </c>
      <c r="S362" s="2">
        <v>16.600000000000001</v>
      </c>
      <c r="T362" s="2">
        <v>16.600000000000001</v>
      </c>
      <c r="U362" s="2">
        <v>12.9</v>
      </c>
      <c r="V362" s="2">
        <v>8.3000000000000007</v>
      </c>
      <c r="W362" s="2">
        <v>6.7</v>
      </c>
      <c r="X362" s="2">
        <v>7.2</v>
      </c>
      <c r="Y362" s="2">
        <v>6.5</v>
      </c>
      <c r="Z362" s="2">
        <v>6.1</v>
      </c>
      <c r="AA362" s="2">
        <v>6.2</v>
      </c>
      <c r="AC362" s="5">
        <f t="shared" si="6"/>
        <v>8.3583333333333325</v>
      </c>
    </row>
    <row r="363" spans="2:29" x14ac:dyDescent="0.25">
      <c r="B363" s="4">
        <v>42728</v>
      </c>
      <c r="C363" s="3">
        <v>359</v>
      </c>
      <c r="D363" s="2">
        <v>5.9</v>
      </c>
      <c r="E363" s="2">
        <v>5.8</v>
      </c>
      <c r="F363" s="2">
        <v>5.5</v>
      </c>
      <c r="G363" s="2">
        <v>5.4</v>
      </c>
      <c r="H363" s="2">
        <v>4.3</v>
      </c>
      <c r="I363" s="2">
        <v>4</v>
      </c>
      <c r="J363" s="2">
        <v>4.2</v>
      </c>
      <c r="K363" s="2">
        <v>3.9</v>
      </c>
      <c r="L363" s="2">
        <v>4</v>
      </c>
      <c r="M363" s="2">
        <v>6.3</v>
      </c>
      <c r="N363" s="2">
        <v>9.6999999999999993</v>
      </c>
      <c r="O363" s="2">
        <v>11.9</v>
      </c>
      <c r="P363" s="2">
        <v>13</v>
      </c>
      <c r="Q363" s="2">
        <v>14.1</v>
      </c>
      <c r="R363" s="2">
        <v>14.2</v>
      </c>
      <c r="S363" s="2">
        <v>14</v>
      </c>
      <c r="T363" s="2">
        <v>13.4</v>
      </c>
      <c r="U363" s="2">
        <v>10.9</v>
      </c>
      <c r="V363" s="2">
        <v>7.2</v>
      </c>
      <c r="W363" s="2">
        <v>6.5</v>
      </c>
      <c r="X363" s="2">
        <v>5.5</v>
      </c>
      <c r="Y363" s="2">
        <v>4.4000000000000004</v>
      </c>
      <c r="Z363" s="2">
        <v>3.6</v>
      </c>
      <c r="AA363" s="2">
        <v>3.2</v>
      </c>
      <c r="AC363" s="5">
        <f t="shared" si="6"/>
        <v>7.5374999999999988</v>
      </c>
    </row>
    <row r="364" spans="2:29" x14ac:dyDescent="0.25">
      <c r="B364" s="4">
        <v>42729</v>
      </c>
      <c r="C364" s="3">
        <v>360</v>
      </c>
      <c r="D364" s="2">
        <v>4.4000000000000004</v>
      </c>
      <c r="E364" s="2">
        <v>4.0999999999999996</v>
      </c>
      <c r="F364" s="2">
        <v>4</v>
      </c>
      <c r="G364" s="2">
        <v>4.0999999999999996</v>
      </c>
      <c r="H364" s="2">
        <v>3.8</v>
      </c>
      <c r="I364" s="2">
        <v>3.4</v>
      </c>
      <c r="J364" s="2">
        <v>3.6</v>
      </c>
      <c r="K364" s="2">
        <v>2.9</v>
      </c>
      <c r="L364" s="2">
        <v>4.4000000000000004</v>
      </c>
      <c r="M364" s="2">
        <v>5.8</v>
      </c>
      <c r="N364" s="2">
        <v>9.8000000000000007</v>
      </c>
      <c r="O364" s="2">
        <v>11.9</v>
      </c>
      <c r="P364" s="2">
        <v>13.9</v>
      </c>
      <c r="Q364" s="2">
        <v>15.4</v>
      </c>
      <c r="R364" s="2">
        <v>15.1</v>
      </c>
      <c r="S364" s="2">
        <v>15</v>
      </c>
      <c r="T364" s="2">
        <v>13.4</v>
      </c>
      <c r="U364" s="2">
        <v>11</v>
      </c>
      <c r="V364" s="2">
        <v>8.3000000000000007</v>
      </c>
      <c r="W364" s="2">
        <v>7.6</v>
      </c>
      <c r="X364" s="2">
        <v>5.3</v>
      </c>
      <c r="Y364" s="2">
        <v>5.8</v>
      </c>
      <c r="Z364" s="2">
        <v>5.2</v>
      </c>
      <c r="AA364" s="2">
        <v>5.5</v>
      </c>
      <c r="AC364" s="5">
        <f t="shared" si="6"/>
        <v>7.6541666666666677</v>
      </c>
    </row>
    <row r="365" spans="2:29" x14ac:dyDescent="0.25">
      <c r="B365" s="4">
        <v>42730</v>
      </c>
      <c r="C365" s="3">
        <v>361</v>
      </c>
      <c r="D365" s="2">
        <v>5.8</v>
      </c>
      <c r="E365" s="2">
        <v>4.0999999999999996</v>
      </c>
      <c r="F365" s="2">
        <v>3.4</v>
      </c>
      <c r="G365" s="2">
        <v>5.0999999999999996</v>
      </c>
      <c r="H365" s="2">
        <v>5</v>
      </c>
      <c r="I365" s="2">
        <v>5.2</v>
      </c>
      <c r="J365" s="2">
        <v>5.4</v>
      </c>
      <c r="K365" s="2">
        <v>4.3</v>
      </c>
      <c r="L365" s="2">
        <v>3.9</v>
      </c>
      <c r="M365" s="2">
        <v>9.5</v>
      </c>
      <c r="N365" s="2">
        <v>15</v>
      </c>
      <c r="O365" s="2">
        <v>14.2</v>
      </c>
      <c r="P365" s="2">
        <v>15.4</v>
      </c>
      <c r="Q365" s="2">
        <v>17.3</v>
      </c>
      <c r="R365" s="2">
        <v>18</v>
      </c>
      <c r="S365" s="2">
        <v>17.399999999999999</v>
      </c>
      <c r="T365" s="2">
        <v>16.5</v>
      </c>
      <c r="U365" s="2">
        <v>13.2</v>
      </c>
      <c r="V365" s="2">
        <v>8</v>
      </c>
      <c r="W365" s="2">
        <v>6.3</v>
      </c>
      <c r="X365" s="2">
        <v>5.5</v>
      </c>
      <c r="Y365" s="2">
        <v>5.7</v>
      </c>
      <c r="Z365" s="2">
        <v>5.2</v>
      </c>
      <c r="AA365" s="2">
        <v>5.5</v>
      </c>
      <c r="AC365" s="5">
        <f t="shared" si="6"/>
        <v>8.9541666666666657</v>
      </c>
    </row>
    <row r="366" spans="2:29" x14ac:dyDescent="0.25">
      <c r="B366" s="4">
        <v>42731</v>
      </c>
      <c r="C366" s="3">
        <v>362</v>
      </c>
      <c r="D366" s="2">
        <v>3.8</v>
      </c>
      <c r="E366" s="2">
        <v>4</v>
      </c>
      <c r="F366" s="2">
        <v>3.2</v>
      </c>
      <c r="G366" s="2">
        <v>2.7</v>
      </c>
      <c r="H366" s="2">
        <v>2.7</v>
      </c>
      <c r="I366" s="2">
        <v>2.2000000000000002</v>
      </c>
      <c r="J366" s="2">
        <v>2.1</v>
      </c>
      <c r="K366" s="2">
        <v>2</v>
      </c>
      <c r="L366" s="2">
        <v>1.5</v>
      </c>
      <c r="M366" s="2">
        <v>4.7</v>
      </c>
      <c r="N366" s="2">
        <v>10.4</v>
      </c>
      <c r="O366" s="2">
        <v>13.9</v>
      </c>
      <c r="P366" s="2">
        <v>14.2</v>
      </c>
      <c r="Q366" s="2">
        <v>15.2</v>
      </c>
      <c r="R366" s="2">
        <v>15.6</v>
      </c>
      <c r="S366" s="2">
        <v>16.399999999999999</v>
      </c>
      <c r="T366" s="2">
        <v>14.1</v>
      </c>
      <c r="U366" s="2">
        <v>10.5</v>
      </c>
      <c r="V366" s="2">
        <v>8</v>
      </c>
      <c r="W366" s="2">
        <v>6.8</v>
      </c>
      <c r="X366" s="2">
        <v>6.7</v>
      </c>
      <c r="Y366" s="2">
        <v>6</v>
      </c>
      <c r="Z366" s="2">
        <v>4.8</v>
      </c>
      <c r="AA366" s="2">
        <v>5.4</v>
      </c>
      <c r="AC366" s="5">
        <f t="shared" si="6"/>
        <v>7.3708333333333336</v>
      </c>
    </row>
    <row r="367" spans="2:29" x14ac:dyDescent="0.25">
      <c r="B367" s="4">
        <v>42732</v>
      </c>
      <c r="C367" s="3">
        <v>363</v>
      </c>
      <c r="D367" s="2">
        <v>4.7</v>
      </c>
      <c r="E367" s="2">
        <v>3.9</v>
      </c>
      <c r="F367" s="2">
        <v>3.3</v>
      </c>
      <c r="G367" s="2">
        <v>3.2</v>
      </c>
      <c r="H367" s="2">
        <v>2.6</v>
      </c>
      <c r="I367" s="2">
        <v>2.7</v>
      </c>
      <c r="J367" s="2">
        <v>2.1</v>
      </c>
      <c r="K367" s="2">
        <v>1.7</v>
      </c>
      <c r="L367" s="2">
        <v>2</v>
      </c>
      <c r="M367" s="2">
        <v>5.3</v>
      </c>
      <c r="N367" s="2">
        <v>8.6</v>
      </c>
      <c r="O367" s="2">
        <v>12.3</v>
      </c>
      <c r="P367" s="2">
        <v>13.8</v>
      </c>
      <c r="Q367" s="2">
        <v>16</v>
      </c>
      <c r="R367" s="2">
        <v>15.8</v>
      </c>
      <c r="S367" s="2">
        <v>15.2</v>
      </c>
      <c r="T367" s="2">
        <v>14.4</v>
      </c>
      <c r="U367" s="2">
        <v>12.1</v>
      </c>
      <c r="V367" s="2">
        <v>6.2</v>
      </c>
      <c r="W367" s="2">
        <v>5.6</v>
      </c>
      <c r="X367" s="2">
        <v>5.6</v>
      </c>
      <c r="Y367" s="2">
        <v>3.3</v>
      </c>
      <c r="Z367" s="2">
        <v>2.2000000000000002</v>
      </c>
      <c r="AA367" s="2">
        <v>2.7</v>
      </c>
      <c r="AC367" s="5">
        <f t="shared" si="6"/>
        <v>6.8874999999999993</v>
      </c>
    </row>
    <row r="368" spans="2:29" x14ac:dyDescent="0.25">
      <c r="B368" s="4">
        <v>42733</v>
      </c>
      <c r="C368" s="3">
        <v>364</v>
      </c>
      <c r="D368" s="2">
        <v>1</v>
      </c>
      <c r="E368" s="2">
        <v>0.9</v>
      </c>
      <c r="F368" s="2">
        <v>0.3</v>
      </c>
      <c r="G368" s="2">
        <v>0</v>
      </c>
      <c r="H368" s="2">
        <v>0.3</v>
      </c>
      <c r="I368" s="2">
        <v>-1</v>
      </c>
      <c r="J368" s="2">
        <v>-1.3</v>
      </c>
      <c r="K368" s="2">
        <v>-1.9</v>
      </c>
      <c r="L368" s="2">
        <v>-1.6</v>
      </c>
      <c r="M368" s="2">
        <v>2</v>
      </c>
      <c r="N368" s="2">
        <v>8.6</v>
      </c>
      <c r="O368" s="2">
        <v>9.8000000000000007</v>
      </c>
      <c r="P368" s="2">
        <v>11.6</v>
      </c>
      <c r="Q368" s="2">
        <v>14</v>
      </c>
      <c r="R368" s="2">
        <v>14.4</v>
      </c>
      <c r="S368" s="2">
        <v>14.4</v>
      </c>
      <c r="T368" s="2">
        <v>11.6</v>
      </c>
      <c r="U368" s="2">
        <v>8.6</v>
      </c>
      <c r="V368" s="2">
        <v>4.7</v>
      </c>
      <c r="W368" s="2">
        <v>4.7</v>
      </c>
      <c r="X368" s="2">
        <v>3.5</v>
      </c>
      <c r="Y368" s="2">
        <v>2.5</v>
      </c>
      <c r="Z368" s="2">
        <v>5.5</v>
      </c>
      <c r="AA368" s="2">
        <v>4.5999999999999996</v>
      </c>
      <c r="AC368" s="5">
        <f t="shared" si="6"/>
        <v>4.8833333333333329</v>
      </c>
    </row>
    <row r="369" spans="2:29" x14ac:dyDescent="0.25">
      <c r="B369" s="4">
        <v>42734</v>
      </c>
      <c r="C369" s="3">
        <v>365</v>
      </c>
      <c r="D369" s="2">
        <v>4</v>
      </c>
      <c r="E369" s="2">
        <v>1.8</v>
      </c>
      <c r="F369" s="2">
        <v>2.6</v>
      </c>
      <c r="G369" s="2">
        <v>2.9</v>
      </c>
      <c r="H369" s="2">
        <v>4.4000000000000004</v>
      </c>
      <c r="I369" s="2">
        <v>6.6</v>
      </c>
      <c r="J369" s="2">
        <v>8.6</v>
      </c>
      <c r="K369" s="2">
        <v>8.6999999999999993</v>
      </c>
      <c r="L369" s="2">
        <v>8</v>
      </c>
      <c r="M369" s="2">
        <v>8.5</v>
      </c>
      <c r="N369" s="2">
        <v>9.6999999999999993</v>
      </c>
      <c r="O369" s="2">
        <v>12.8</v>
      </c>
      <c r="P369" s="2">
        <v>13.1</v>
      </c>
      <c r="Q369" s="2">
        <v>13.3</v>
      </c>
      <c r="R369" s="2">
        <v>14.2</v>
      </c>
      <c r="S369" s="2">
        <v>14.6</v>
      </c>
      <c r="T369" s="2">
        <v>14.1</v>
      </c>
      <c r="U369" s="2">
        <v>11.9</v>
      </c>
      <c r="V369" s="2">
        <v>7</v>
      </c>
      <c r="W369" s="2">
        <v>5.9</v>
      </c>
      <c r="X369" s="2">
        <v>4.4000000000000004</v>
      </c>
      <c r="Y369" s="2">
        <v>4.2</v>
      </c>
      <c r="Z369" s="2">
        <v>5.3</v>
      </c>
      <c r="AA369" s="2">
        <v>6.2</v>
      </c>
      <c r="AC369" s="5">
        <f t="shared" si="6"/>
        <v>8.0333333333333332</v>
      </c>
    </row>
    <row r="370" spans="2:29" x14ac:dyDescent="0.25">
      <c r="B370" s="4">
        <v>42735</v>
      </c>
      <c r="C370" s="3">
        <v>366</v>
      </c>
      <c r="D370" s="6">
        <v>2.2000000000000002</v>
      </c>
      <c r="E370" s="6">
        <v>4.0999999999999996</v>
      </c>
      <c r="F370" s="6">
        <v>3.6</v>
      </c>
      <c r="G370" s="6">
        <v>3.7</v>
      </c>
      <c r="H370" s="6">
        <v>3.1</v>
      </c>
      <c r="I370" s="6">
        <v>3.6</v>
      </c>
      <c r="J370" s="6">
        <v>1.9</v>
      </c>
      <c r="K370" s="6">
        <v>2.2999999999999998</v>
      </c>
      <c r="L370" s="6">
        <v>2.7</v>
      </c>
      <c r="M370" s="6">
        <v>5.7</v>
      </c>
      <c r="N370" s="6">
        <v>10</v>
      </c>
      <c r="O370" s="6">
        <v>16.5</v>
      </c>
      <c r="P370" s="6">
        <v>16.399999999999999</v>
      </c>
      <c r="Q370" s="6">
        <v>16.8</v>
      </c>
      <c r="R370" s="6">
        <v>17.100000000000001</v>
      </c>
      <c r="S370" s="6">
        <v>17.100000000000001</v>
      </c>
      <c r="T370" s="6">
        <v>16.899999999999999</v>
      </c>
      <c r="U370" s="6">
        <v>15.5</v>
      </c>
      <c r="V370" s="6">
        <v>14.6</v>
      </c>
      <c r="W370" s="6">
        <v>13.4</v>
      </c>
      <c r="X370" s="6">
        <v>12.5</v>
      </c>
      <c r="Y370" s="6">
        <v>10.6</v>
      </c>
      <c r="Z370" s="6">
        <v>9.8000000000000007</v>
      </c>
      <c r="AA370" s="6">
        <v>10.199999999999999</v>
      </c>
      <c r="AC370" s="5">
        <f t="shared" si="6"/>
        <v>9.5958333333333332</v>
      </c>
    </row>
  </sheetData>
  <sheetProtection selectLockedCells="1" selectUnlockedCells="1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4:AC370"/>
  <sheetViews>
    <sheetView workbookViewId="0">
      <selection activeCell="K33" sqref="K33"/>
    </sheetView>
  </sheetViews>
  <sheetFormatPr defaultColWidth="4.85546875" defaultRowHeight="15" x14ac:dyDescent="0.25"/>
  <cols>
    <col min="1" max="2" width="12.85546875" style="2" customWidth="1"/>
    <col min="3" max="3" width="12.85546875" style="3" customWidth="1"/>
    <col min="4" max="16384" width="4.85546875" style="2"/>
  </cols>
  <sheetData>
    <row r="4" spans="2:29" s="3" customFormat="1" x14ac:dyDescent="0.25">
      <c r="D4" s="3">
        <v>1</v>
      </c>
      <c r="E4" s="3">
        <v>2</v>
      </c>
      <c r="F4" s="3">
        <v>3</v>
      </c>
      <c r="G4" s="3">
        <v>4</v>
      </c>
      <c r="H4" s="3">
        <v>5</v>
      </c>
      <c r="I4" s="3">
        <v>6</v>
      </c>
      <c r="J4" s="3">
        <v>7</v>
      </c>
      <c r="K4" s="3">
        <v>8</v>
      </c>
      <c r="L4" s="3">
        <v>9</v>
      </c>
      <c r="M4" s="3">
        <v>10</v>
      </c>
      <c r="N4" s="3">
        <v>11</v>
      </c>
      <c r="O4" s="3">
        <v>12</v>
      </c>
      <c r="P4" s="3">
        <v>13</v>
      </c>
      <c r="Q4" s="3">
        <v>14</v>
      </c>
      <c r="R4" s="3">
        <v>15</v>
      </c>
      <c r="S4" s="3">
        <v>16</v>
      </c>
      <c r="T4" s="3">
        <v>17</v>
      </c>
      <c r="U4" s="3">
        <v>18</v>
      </c>
      <c r="V4" s="3">
        <v>19</v>
      </c>
      <c r="W4" s="3">
        <v>20</v>
      </c>
      <c r="X4" s="3">
        <v>21</v>
      </c>
      <c r="Y4" s="3">
        <v>22</v>
      </c>
      <c r="Z4" s="3">
        <v>23</v>
      </c>
      <c r="AA4" s="3">
        <v>24</v>
      </c>
      <c r="AC4" s="3" t="s">
        <v>102</v>
      </c>
    </row>
    <row r="5" spans="2:29" x14ac:dyDescent="0.25">
      <c r="B5" s="4">
        <v>42370</v>
      </c>
      <c r="C5" s="3">
        <v>1</v>
      </c>
      <c r="D5" s="2">
        <v>100</v>
      </c>
      <c r="E5" s="2">
        <v>100</v>
      </c>
      <c r="F5" s="2">
        <v>100</v>
      </c>
      <c r="G5" s="2">
        <v>100</v>
      </c>
      <c r="H5" s="2">
        <v>100</v>
      </c>
      <c r="I5" s="2">
        <v>100</v>
      </c>
      <c r="J5" s="2">
        <v>100</v>
      </c>
      <c r="K5" s="2">
        <v>100</v>
      </c>
      <c r="L5" s="2">
        <v>100</v>
      </c>
      <c r="M5" s="2">
        <v>100</v>
      </c>
      <c r="N5" s="2">
        <v>100</v>
      </c>
      <c r="O5" s="2">
        <v>100</v>
      </c>
      <c r="P5" s="2">
        <v>100</v>
      </c>
      <c r="Q5" s="2">
        <v>100</v>
      </c>
      <c r="R5" s="2">
        <v>100</v>
      </c>
      <c r="S5" s="2">
        <v>100</v>
      </c>
      <c r="T5" s="2">
        <v>100</v>
      </c>
      <c r="U5" s="2">
        <v>100</v>
      </c>
      <c r="V5" s="2">
        <v>100</v>
      </c>
      <c r="W5" s="2">
        <v>100</v>
      </c>
      <c r="X5" s="2">
        <v>100</v>
      </c>
      <c r="Y5" s="2">
        <v>100</v>
      </c>
      <c r="Z5" s="2">
        <v>100</v>
      </c>
      <c r="AA5" s="2">
        <v>100</v>
      </c>
      <c r="AC5" s="3">
        <f>(SUM((D5:AA5))/24)</f>
        <v>100</v>
      </c>
    </row>
    <row r="6" spans="2:29" x14ac:dyDescent="0.25">
      <c r="B6" s="4">
        <v>42371</v>
      </c>
      <c r="C6" s="3">
        <v>2</v>
      </c>
      <c r="D6" s="2">
        <v>99</v>
      </c>
      <c r="E6" s="2">
        <v>100</v>
      </c>
      <c r="F6" s="2">
        <v>100</v>
      </c>
      <c r="G6" s="2">
        <v>100</v>
      </c>
      <c r="H6" s="2">
        <v>99</v>
      </c>
      <c r="I6" s="2">
        <v>100</v>
      </c>
      <c r="J6" s="2">
        <v>100</v>
      </c>
      <c r="K6" s="2">
        <v>99</v>
      </c>
      <c r="L6" s="2">
        <v>80</v>
      </c>
      <c r="M6" s="2">
        <v>67</v>
      </c>
      <c r="N6" s="2">
        <v>61</v>
      </c>
      <c r="O6" s="2">
        <v>59</v>
      </c>
      <c r="P6" s="2">
        <v>59</v>
      </c>
      <c r="Q6" s="2">
        <v>57</v>
      </c>
      <c r="R6" s="2">
        <v>49</v>
      </c>
      <c r="S6" s="2">
        <v>46</v>
      </c>
      <c r="T6" s="2">
        <v>45</v>
      </c>
      <c r="U6" s="2">
        <v>47</v>
      </c>
      <c r="V6" s="2">
        <v>55</v>
      </c>
      <c r="W6" s="2">
        <v>57</v>
      </c>
      <c r="X6" s="2">
        <v>58</v>
      </c>
      <c r="Y6" s="2">
        <v>41</v>
      </c>
      <c r="Z6" s="2">
        <v>39</v>
      </c>
      <c r="AA6" s="2">
        <v>45</v>
      </c>
      <c r="AC6" s="3">
        <f t="shared" ref="AC6:AC69" si="0">(SUM((D6:AA6))/24)</f>
        <v>69.25</v>
      </c>
    </row>
    <row r="7" spans="2:29" x14ac:dyDescent="0.25">
      <c r="B7" s="4">
        <v>42372</v>
      </c>
      <c r="C7" s="3">
        <v>3</v>
      </c>
      <c r="D7" s="2">
        <v>50</v>
      </c>
      <c r="E7" s="2">
        <v>60</v>
      </c>
      <c r="F7" s="2">
        <v>53</v>
      </c>
      <c r="G7" s="2">
        <v>53</v>
      </c>
      <c r="H7" s="2">
        <v>61</v>
      </c>
      <c r="I7" s="2">
        <v>68</v>
      </c>
      <c r="J7" s="2">
        <v>80</v>
      </c>
      <c r="K7" s="2">
        <v>74</v>
      </c>
      <c r="L7" s="2">
        <v>68</v>
      </c>
      <c r="M7" s="2">
        <v>68</v>
      </c>
      <c r="N7" s="2">
        <v>55</v>
      </c>
      <c r="O7" s="2">
        <v>53</v>
      </c>
      <c r="P7" s="2">
        <v>50</v>
      </c>
      <c r="Q7" s="2">
        <v>51</v>
      </c>
      <c r="R7" s="2">
        <v>49</v>
      </c>
      <c r="S7" s="2">
        <v>51</v>
      </c>
      <c r="T7" s="2">
        <v>54</v>
      </c>
      <c r="U7" s="2">
        <v>63</v>
      </c>
      <c r="V7" s="2">
        <v>68</v>
      </c>
      <c r="W7" s="2">
        <v>81</v>
      </c>
      <c r="X7" s="2">
        <v>79</v>
      </c>
      <c r="Y7" s="2">
        <v>85</v>
      </c>
      <c r="Z7" s="2">
        <v>87</v>
      </c>
      <c r="AA7" s="2">
        <v>92</v>
      </c>
      <c r="AC7" s="3">
        <f t="shared" si="0"/>
        <v>64.708333333333329</v>
      </c>
    </row>
    <row r="8" spans="2:29" x14ac:dyDescent="0.25">
      <c r="B8" s="4">
        <v>42373</v>
      </c>
      <c r="C8" s="3">
        <v>4</v>
      </c>
      <c r="D8" s="2">
        <v>92</v>
      </c>
      <c r="E8" s="2">
        <v>97</v>
      </c>
      <c r="F8" s="2">
        <v>89</v>
      </c>
      <c r="G8" s="2">
        <v>80</v>
      </c>
      <c r="H8" s="2">
        <v>84</v>
      </c>
      <c r="I8" s="2">
        <v>81</v>
      </c>
      <c r="J8" s="2">
        <v>81</v>
      </c>
      <c r="K8" s="2">
        <v>83</v>
      </c>
      <c r="L8" s="2">
        <v>75</v>
      </c>
      <c r="M8" s="2">
        <v>77</v>
      </c>
      <c r="N8" s="2">
        <v>76</v>
      </c>
      <c r="O8" s="2">
        <v>75</v>
      </c>
      <c r="P8" s="2">
        <v>74</v>
      </c>
      <c r="Q8" s="2">
        <v>70</v>
      </c>
      <c r="R8" s="2">
        <v>67</v>
      </c>
      <c r="S8" s="2">
        <v>68</v>
      </c>
      <c r="T8" s="2">
        <v>75</v>
      </c>
      <c r="U8" s="2">
        <v>78</v>
      </c>
      <c r="V8" s="2">
        <v>99</v>
      </c>
      <c r="W8" s="2">
        <v>100</v>
      </c>
      <c r="X8" s="2">
        <v>100</v>
      </c>
      <c r="Y8" s="2">
        <v>87</v>
      </c>
      <c r="Z8" s="2">
        <v>75</v>
      </c>
      <c r="AA8" s="2">
        <v>74</v>
      </c>
      <c r="AC8" s="3">
        <f>(SUM((D8:AA8))/24)</f>
        <v>81.541666666666671</v>
      </c>
    </row>
    <row r="9" spans="2:29" x14ac:dyDescent="0.25">
      <c r="B9" s="4">
        <v>42374</v>
      </c>
      <c r="C9" s="3">
        <v>5</v>
      </c>
      <c r="D9" s="2">
        <v>72</v>
      </c>
      <c r="E9" s="2">
        <v>70</v>
      </c>
      <c r="F9" s="2">
        <v>69</v>
      </c>
      <c r="G9" s="2">
        <v>67</v>
      </c>
      <c r="H9" s="2">
        <v>65</v>
      </c>
      <c r="I9" s="2">
        <v>70</v>
      </c>
      <c r="J9" s="2">
        <v>68</v>
      </c>
      <c r="K9" s="2">
        <v>74</v>
      </c>
      <c r="L9" s="2">
        <v>77</v>
      </c>
      <c r="M9" s="2">
        <v>82</v>
      </c>
      <c r="N9" s="2">
        <v>74</v>
      </c>
      <c r="O9" s="2">
        <v>60</v>
      </c>
      <c r="P9" s="2">
        <v>51</v>
      </c>
      <c r="Q9" s="2">
        <v>50</v>
      </c>
      <c r="R9" s="2">
        <v>48</v>
      </c>
      <c r="S9" s="2">
        <v>44</v>
      </c>
      <c r="T9" s="2">
        <v>46</v>
      </c>
      <c r="U9" s="2">
        <v>53</v>
      </c>
      <c r="V9" s="2">
        <v>54</v>
      </c>
      <c r="W9" s="2">
        <v>64</v>
      </c>
      <c r="X9" s="2">
        <v>53</v>
      </c>
      <c r="Y9" s="2">
        <v>55</v>
      </c>
      <c r="Z9" s="2">
        <v>46</v>
      </c>
      <c r="AA9" s="2">
        <v>46</v>
      </c>
      <c r="AC9" s="3">
        <f t="shared" si="0"/>
        <v>60.75</v>
      </c>
    </row>
    <row r="10" spans="2:29" x14ac:dyDescent="0.25">
      <c r="B10" s="4">
        <v>42375</v>
      </c>
      <c r="C10" s="3">
        <v>6</v>
      </c>
      <c r="D10" s="2">
        <v>56</v>
      </c>
      <c r="E10" s="2">
        <v>49</v>
      </c>
      <c r="F10" s="2">
        <v>54</v>
      </c>
      <c r="G10" s="2">
        <v>59</v>
      </c>
      <c r="H10" s="2">
        <v>56</v>
      </c>
      <c r="I10" s="2">
        <v>54</v>
      </c>
      <c r="J10" s="2">
        <v>56</v>
      </c>
      <c r="K10" s="2">
        <v>56</v>
      </c>
      <c r="L10" s="2">
        <v>55</v>
      </c>
      <c r="M10" s="2">
        <v>50</v>
      </c>
      <c r="N10" s="2">
        <v>47</v>
      </c>
      <c r="O10" s="2">
        <v>44</v>
      </c>
      <c r="P10" s="2">
        <v>40</v>
      </c>
      <c r="Q10" s="2">
        <v>38</v>
      </c>
      <c r="R10" s="2">
        <v>41</v>
      </c>
      <c r="S10" s="2">
        <v>42</v>
      </c>
      <c r="T10" s="2">
        <v>42</v>
      </c>
      <c r="U10" s="2">
        <v>44</v>
      </c>
      <c r="V10" s="2">
        <v>44</v>
      </c>
      <c r="W10" s="2">
        <v>46</v>
      </c>
      <c r="X10" s="2">
        <v>51</v>
      </c>
      <c r="Y10" s="2">
        <v>51</v>
      </c>
      <c r="Z10" s="2">
        <v>57</v>
      </c>
      <c r="AA10" s="2">
        <v>68</v>
      </c>
      <c r="AC10" s="3">
        <f t="shared" si="0"/>
        <v>50</v>
      </c>
    </row>
    <row r="11" spans="2:29" x14ac:dyDescent="0.25">
      <c r="B11" s="4">
        <v>42376</v>
      </c>
      <c r="C11" s="3">
        <v>7</v>
      </c>
      <c r="D11" s="2">
        <v>81</v>
      </c>
      <c r="E11" s="2">
        <v>73</v>
      </c>
      <c r="F11" s="2">
        <v>56</v>
      </c>
      <c r="G11" s="2">
        <v>65</v>
      </c>
      <c r="H11" s="2">
        <v>58</v>
      </c>
      <c r="I11" s="2">
        <v>57</v>
      </c>
      <c r="J11" s="2">
        <v>58</v>
      </c>
      <c r="K11" s="2">
        <v>59</v>
      </c>
      <c r="L11" s="2">
        <v>61</v>
      </c>
      <c r="M11" s="2">
        <v>61</v>
      </c>
      <c r="N11" s="2">
        <v>57</v>
      </c>
      <c r="O11" s="2">
        <v>52</v>
      </c>
      <c r="P11" s="2">
        <v>51</v>
      </c>
      <c r="Q11" s="2">
        <v>49</v>
      </c>
      <c r="R11" s="2">
        <v>48</v>
      </c>
      <c r="S11" s="2">
        <v>50</v>
      </c>
      <c r="T11" s="2">
        <v>52</v>
      </c>
      <c r="U11" s="2">
        <v>55</v>
      </c>
      <c r="V11" s="2">
        <v>64</v>
      </c>
      <c r="W11" s="2">
        <v>75</v>
      </c>
      <c r="X11" s="2">
        <v>71</v>
      </c>
      <c r="Y11" s="2">
        <v>64</v>
      </c>
      <c r="Z11" s="2">
        <v>58</v>
      </c>
      <c r="AA11" s="2">
        <v>52</v>
      </c>
      <c r="AC11" s="3">
        <f t="shared" si="0"/>
        <v>59.458333333333336</v>
      </c>
    </row>
    <row r="12" spans="2:29" x14ac:dyDescent="0.25">
      <c r="B12" s="4">
        <v>42377</v>
      </c>
      <c r="C12" s="3">
        <v>8</v>
      </c>
      <c r="D12" s="2">
        <v>51</v>
      </c>
      <c r="E12" s="2">
        <v>48</v>
      </c>
      <c r="F12" s="2">
        <v>47</v>
      </c>
      <c r="G12" s="2">
        <v>48</v>
      </c>
      <c r="H12" s="2">
        <v>51</v>
      </c>
      <c r="I12" s="2">
        <v>52</v>
      </c>
      <c r="J12" s="2">
        <v>56</v>
      </c>
      <c r="K12" s="2">
        <v>62</v>
      </c>
      <c r="L12" s="2">
        <v>64</v>
      </c>
      <c r="M12" s="2">
        <v>58</v>
      </c>
      <c r="N12" s="2">
        <v>52</v>
      </c>
      <c r="O12" s="2">
        <v>51</v>
      </c>
      <c r="P12" s="2">
        <v>42</v>
      </c>
      <c r="Q12" s="2">
        <v>41</v>
      </c>
      <c r="R12" s="2">
        <v>42</v>
      </c>
      <c r="S12" s="2">
        <v>46</v>
      </c>
      <c r="T12" s="2">
        <v>55</v>
      </c>
      <c r="U12" s="2">
        <v>65</v>
      </c>
      <c r="V12" s="2">
        <v>75</v>
      </c>
      <c r="W12" s="2">
        <v>78</v>
      </c>
      <c r="X12" s="2">
        <v>85</v>
      </c>
      <c r="Y12" s="2">
        <v>82</v>
      </c>
      <c r="Z12" s="2">
        <v>80</v>
      </c>
      <c r="AA12" s="2">
        <v>58</v>
      </c>
      <c r="AC12" s="3">
        <f t="shared" si="0"/>
        <v>57.875</v>
      </c>
    </row>
    <row r="13" spans="2:29" x14ac:dyDescent="0.25">
      <c r="B13" s="4">
        <v>42378</v>
      </c>
      <c r="C13" s="3">
        <v>9</v>
      </c>
      <c r="D13" s="2">
        <v>56</v>
      </c>
      <c r="E13" s="2">
        <v>58</v>
      </c>
      <c r="F13" s="2">
        <v>63</v>
      </c>
      <c r="G13" s="2">
        <v>56</v>
      </c>
      <c r="H13" s="2">
        <v>59</v>
      </c>
      <c r="I13" s="2">
        <v>60</v>
      </c>
      <c r="J13" s="2">
        <v>80</v>
      </c>
      <c r="K13" s="2">
        <v>78</v>
      </c>
      <c r="L13" s="2">
        <v>79</v>
      </c>
      <c r="M13" s="2">
        <v>70</v>
      </c>
      <c r="N13" s="2">
        <v>56</v>
      </c>
      <c r="O13" s="2">
        <v>58</v>
      </c>
      <c r="P13" s="2">
        <v>55</v>
      </c>
      <c r="Q13" s="2">
        <v>50</v>
      </c>
      <c r="R13" s="2">
        <v>47</v>
      </c>
      <c r="S13" s="2">
        <v>44</v>
      </c>
      <c r="T13" s="2">
        <v>45</v>
      </c>
      <c r="U13" s="2">
        <v>51</v>
      </c>
      <c r="V13" s="2">
        <v>72</v>
      </c>
      <c r="W13" s="2">
        <v>78</v>
      </c>
      <c r="X13" s="2">
        <v>81</v>
      </c>
      <c r="Y13" s="2">
        <v>84</v>
      </c>
      <c r="Z13" s="2">
        <v>68</v>
      </c>
      <c r="AA13" s="2">
        <v>50</v>
      </c>
      <c r="AC13" s="3">
        <f t="shared" si="0"/>
        <v>62.416666666666664</v>
      </c>
    </row>
    <row r="14" spans="2:29" x14ac:dyDescent="0.25">
      <c r="B14" s="4">
        <v>42379</v>
      </c>
      <c r="C14" s="3">
        <v>10</v>
      </c>
      <c r="D14" s="2">
        <v>46</v>
      </c>
      <c r="E14" s="2">
        <v>48</v>
      </c>
      <c r="F14" s="2">
        <v>51</v>
      </c>
      <c r="G14" s="2">
        <v>55</v>
      </c>
      <c r="H14" s="2">
        <v>66</v>
      </c>
      <c r="I14" s="2">
        <v>70</v>
      </c>
      <c r="J14" s="2">
        <v>80</v>
      </c>
      <c r="K14" s="2">
        <v>81</v>
      </c>
      <c r="L14" s="2">
        <v>85</v>
      </c>
      <c r="M14" s="2">
        <v>77</v>
      </c>
      <c r="N14" s="2">
        <v>76</v>
      </c>
      <c r="O14" s="2">
        <v>61</v>
      </c>
      <c r="P14" s="2">
        <v>56</v>
      </c>
      <c r="Q14" s="2">
        <v>57</v>
      </c>
      <c r="R14" s="2">
        <v>59</v>
      </c>
      <c r="S14" s="2">
        <v>61</v>
      </c>
      <c r="T14" s="2">
        <v>64</v>
      </c>
      <c r="U14" s="2">
        <v>70</v>
      </c>
      <c r="V14" s="2">
        <v>80</v>
      </c>
      <c r="W14" s="2">
        <v>89</v>
      </c>
      <c r="X14" s="2">
        <v>97</v>
      </c>
      <c r="Y14" s="2">
        <v>92</v>
      </c>
      <c r="Z14" s="2">
        <v>95</v>
      </c>
      <c r="AA14" s="2">
        <v>70</v>
      </c>
      <c r="AC14" s="3">
        <f t="shared" si="0"/>
        <v>70.25</v>
      </c>
    </row>
    <row r="15" spans="2:29" x14ac:dyDescent="0.25">
      <c r="B15" s="4">
        <v>42380</v>
      </c>
      <c r="C15" s="3">
        <v>11</v>
      </c>
      <c r="D15" s="2">
        <v>67</v>
      </c>
      <c r="E15" s="2">
        <v>68</v>
      </c>
      <c r="F15" s="2">
        <v>68</v>
      </c>
      <c r="G15" s="2">
        <v>71</v>
      </c>
      <c r="H15" s="2">
        <v>67</v>
      </c>
      <c r="I15" s="2">
        <v>67</v>
      </c>
      <c r="J15" s="2">
        <v>76</v>
      </c>
      <c r="K15" s="2">
        <v>75</v>
      </c>
      <c r="L15" s="2">
        <v>85</v>
      </c>
      <c r="M15" s="2">
        <v>79</v>
      </c>
      <c r="N15" s="2">
        <v>51</v>
      </c>
      <c r="O15" s="2">
        <v>46</v>
      </c>
      <c r="P15" s="2">
        <v>45</v>
      </c>
      <c r="Q15" s="2">
        <v>44</v>
      </c>
      <c r="R15" s="2">
        <v>34</v>
      </c>
      <c r="S15" s="2">
        <v>33</v>
      </c>
      <c r="T15" s="2">
        <v>31</v>
      </c>
      <c r="U15" s="2">
        <v>34</v>
      </c>
      <c r="V15" s="2">
        <v>35</v>
      </c>
      <c r="W15" s="2">
        <v>36</v>
      </c>
      <c r="X15" s="2">
        <v>38</v>
      </c>
      <c r="Y15" s="2">
        <v>42</v>
      </c>
      <c r="Z15" s="2">
        <v>43</v>
      </c>
      <c r="AA15" s="2">
        <v>46</v>
      </c>
      <c r="AC15" s="3">
        <f t="shared" si="0"/>
        <v>53.375</v>
      </c>
    </row>
    <row r="16" spans="2:29" x14ac:dyDescent="0.25">
      <c r="B16" s="4">
        <v>42381</v>
      </c>
      <c r="C16" s="3">
        <v>12</v>
      </c>
      <c r="D16" s="2">
        <v>47</v>
      </c>
      <c r="E16" s="2">
        <v>49</v>
      </c>
      <c r="F16" s="2">
        <v>49</v>
      </c>
      <c r="G16" s="2">
        <v>54</v>
      </c>
      <c r="H16" s="2">
        <v>54</v>
      </c>
      <c r="I16" s="2">
        <v>54</v>
      </c>
      <c r="J16" s="2">
        <v>55</v>
      </c>
      <c r="K16" s="2">
        <v>58</v>
      </c>
      <c r="L16" s="2">
        <v>59</v>
      </c>
      <c r="M16" s="2">
        <v>55</v>
      </c>
      <c r="N16" s="2">
        <v>51</v>
      </c>
      <c r="O16" s="2">
        <v>45</v>
      </c>
      <c r="P16" s="2">
        <v>43</v>
      </c>
      <c r="Q16" s="2">
        <v>40</v>
      </c>
      <c r="R16" s="2">
        <v>38</v>
      </c>
      <c r="S16" s="2">
        <v>37</v>
      </c>
      <c r="T16" s="2">
        <v>36</v>
      </c>
      <c r="U16" s="2">
        <v>37</v>
      </c>
      <c r="V16" s="2">
        <v>41</v>
      </c>
      <c r="W16" s="2">
        <v>46</v>
      </c>
      <c r="X16" s="2">
        <v>47</v>
      </c>
      <c r="Y16" s="2">
        <v>47</v>
      </c>
      <c r="Z16" s="2">
        <v>44</v>
      </c>
      <c r="AA16" s="2">
        <v>45</v>
      </c>
      <c r="AC16" s="3">
        <f t="shared" si="0"/>
        <v>47.125</v>
      </c>
    </row>
    <row r="17" spans="2:29" x14ac:dyDescent="0.25">
      <c r="B17" s="4">
        <v>42382</v>
      </c>
      <c r="C17" s="3">
        <v>13</v>
      </c>
      <c r="D17" s="2">
        <v>44</v>
      </c>
      <c r="E17" s="2">
        <v>43</v>
      </c>
      <c r="F17" s="2">
        <v>45</v>
      </c>
      <c r="G17" s="2">
        <v>41</v>
      </c>
      <c r="H17" s="2">
        <v>39</v>
      </c>
      <c r="I17" s="2">
        <v>44</v>
      </c>
      <c r="J17" s="2">
        <v>63</v>
      </c>
      <c r="K17" s="2">
        <v>70</v>
      </c>
      <c r="L17" s="2">
        <v>80</v>
      </c>
      <c r="M17" s="2">
        <v>67</v>
      </c>
      <c r="N17" s="2">
        <v>57</v>
      </c>
      <c r="O17" s="2">
        <v>46</v>
      </c>
      <c r="P17" s="2">
        <v>42</v>
      </c>
      <c r="Q17" s="2">
        <v>37</v>
      </c>
      <c r="R17" s="2">
        <v>37</v>
      </c>
      <c r="S17" s="2">
        <v>41</v>
      </c>
      <c r="T17" s="2">
        <v>44</v>
      </c>
      <c r="U17" s="2">
        <v>46</v>
      </c>
      <c r="V17" s="2">
        <v>58</v>
      </c>
      <c r="W17" s="2">
        <v>69</v>
      </c>
      <c r="X17" s="2">
        <v>65</v>
      </c>
      <c r="Y17" s="2">
        <v>67</v>
      </c>
      <c r="Z17" s="2">
        <v>73</v>
      </c>
      <c r="AA17" s="2">
        <v>82</v>
      </c>
      <c r="AC17" s="3">
        <f t="shared" si="0"/>
        <v>54.166666666666664</v>
      </c>
    </row>
    <row r="18" spans="2:29" x14ac:dyDescent="0.25">
      <c r="B18" s="4">
        <v>42383</v>
      </c>
      <c r="C18" s="3">
        <v>14</v>
      </c>
      <c r="D18" s="2">
        <v>83</v>
      </c>
      <c r="E18" s="2">
        <v>78</v>
      </c>
      <c r="F18" s="2">
        <v>75</v>
      </c>
      <c r="G18" s="2">
        <v>76</v>
      </c>
      <c r="H18" s="2">
        <v>78</v>
      </c>
      <c r="I18" s="2">
        <v>81</v>
      </c>
      <c r="J18" s="2">
        <v>81</v>
      </c>
      <c r="K18" s="2">
        <v>78</v>
      </c>
      <c r="L18" s="2">
        <v>80</v>
      </c>
      <c r="M18" s="2">
        <v>71</v>
      </c>
      <c r="N18" s="2">
        <v>69</v>
      </c>
      <c r="O18" s="2">
        <v>67</v>
      </c>
      <c r="P18" s="2">
        <v>62</v>
      </c>
      <c r="Q18" s="2">
        <v>48</v>
      </c>
      <c r="R18" s="2">
        <v>55</v>
      </c>
      <c r="S18" s="2">
        <v>55</v>
      </c>
      <c r="T18" s="2">
        <v>57</v>
      </c>
      <c r="U18" s="2">
        <v>61</v>
      </c>
      <c r="V18" s="2">
        <v>67</v>
      </c>
      <c r="W18" s="2">
        <v>64</v>
      </c>
      <c r="X18" s="2">
        <v>67</v>
      </c>
      <c r="Y18" s="2">
        <v>66</v>
      </c>
      <c r="Z18" s="2">
        <v>74</v>
      </c>
      <c r="AA18" s="2">
        <v>80</v>
      </c>
      <c r="AC18" s="3">
        <f t="shared" si="0"/>
        <v>69.708333333333329</v>
      </c>
    </row>
    <row r="19" spans="2:29" x14ac:dyDescent="0.25">
      <c r="B19" s="4">
        <v>42384</v>
      </c>
      <c r="C19" s="3">
        <v>15</v>
      </c>
      <c r="D19" s="2">
        <v>88</v>
      </c>
      <c r="E19" s="2">
        <v>99</v>
      </c>
      <c r="F19" s="2">
        <v>99</v>
      </c>
      <c r="G19" s="2">
        <v>96</v>
      </c>
      <c r="H19" s="2">
        <v>92</v>
      </c>
      <c r="I19" s="2">
        <v>81</v>
      </c>
      <c r="J19" s="2">
        <v>72</v>
      </c>
      <c r="K19" s="2">
        <v>71</v>
      </c>
      <c r="L19" s="2">
        <v>70</v>
      </c>
      <c r="M19" s="2">
        <v>79</v>
      </c>
      <c r="N19" s="2">
        <v>74</v>
      </c>
      <c r="O19" s="2">
        <v>59</v>
      </c>
      <c r="P19" s="2">
        <v>53</v>
      </c>
      <c r="Q19" s="2">
        <v>53</v>
      </c>
      <c r="R19" s="2">
        <v>52</v>
      </c>
      <c r="S19" s="2">
        <v>48</v>
      </c>
      <c r="T19" s="2">
        <v>51</v>
      </c>
      <c r="U19" s="2">
        <v>49</v>
      </c>
      <c r="V19" s="2">
        <v>50</v>
      </c>
      <c r="W19" s="2">
        <v>40</v>
      </c>
      <c r="X19" s="2">
        <v>42</v>
      </c>
      <c r="Y19" s="2">
        <v>38</v>
      </c>
      <c r="Z19" s="2">
        <v>38</v>
      </c>
      <c r="AA19" s="2">
        <v>48</v>
      </c>
      <c r="AC19" s="3">
        <f t="shared" si="0"/>
        <v>64.25</v>
      </c>
    </row>
    <row r="20" spans="2:29" x14ac:dyDescent="0.25">
      <c r="B20" s="4">
        <v>42385</v>
      </c>
      <c r="C20" s="3">
        <v>16</v>
      </c>
      <c r="D20" s="2">
        <v>42</v>
      </c>
      <c r="E20" s="2">
        <v>50</v>
      </c>
      <c r="F20" s="2">
        <v>58</v>
      </c>
      <c r="G20" s="2">
        <v>61</v>
      </c>
      <c r="H20" s="2">
        <v>62</v>
      </c>
      <c r="I20" s="2">
        <v>61</v>
      </c>
      <c r="J20" s="2">
        <v>57</v>
      </c>
      <c r="K20" s="2">
        <v>61</v>
      </c>
      <c r="L20" s="2">
        <v>54</v>
      </c>
      <c r="M20" s="2">
        <v>33</v>
      </c>
      <c r="N20" s="2">
        <v>21</v>
      </c>
      <c r="O20" s="2">
        <v>19</v>
      </c>
      <c r="P20" s="2">
        <v>20</v>
      </c>
      <c r="Q20" s="2">
        <v>20</v>
      </c>
      <c r="R20" s="2">
        <v>29</v>
      </c>
      <c r="S20" s="2">
        <v>20</v>
      </c>
      <c r="T20" s="2">
        <v>23</v>
      </c>
      <c r="U20" s="2">
        <v>26</v>
      </c>
      <c r="V20" s="2">
        <v>31</v>
      </c>
      <c r="W20" s="2">
        <v>35</v>
      </c>
      <c r="X20" s="2">
        <v>39</v>
      </c>
      <c r="Y20" s="2">
        <v>43</v>
      </c>
      <c r="Z20" s="2">
        <v>46</v>
      </c>
      <c r="AA20" s="2">
        <v>42</v>
      </c>
      <c r="AC20" s="3">
        <f t="shared" si="0"/>
        <v>39.708333333333336</v>
      </c>
    </row>
    <row r="21" spans="2:29" x14ac:dyDescent="0.25">
      <c r="B21" s="4">
        <v>42386</v>
      </c>
      <c r="C21" s="3">
        <v>17</v>
      </c>
      <c r="D21" s="2">
        <v>49</v>
      </c>
      <c r="E21" s="2">
        <v>57</v>
      </c>
      <c r="F21" s="2">
        <v>59</v>
      </c>
      <c r="G21" s="2">
        <v>55</v>
      </c>
      <c r="H21" s="2">
        <v>51</v>
      </c>
      <c r="I21" s="2">
        <v>71</v>
      </c>
      <c r="J21" s="2">
        <v>79</v>
      </c>
      <c r="K21" s="2">
        <v>76</v>
      </c>
      <c r="L21" s="2">
        <v>73</v>
      </c>
      <c r="M21" s="2">
        <v>61</v>
      </c>
      <c r="N21" s="2">
        <v>49</v>
      </c>
      <c r="O21" s="2">
        <v>46</v>
      </c>
      <c r="P21" s="2">
        <v>41</v>
      </c>
      <c r="Q21" s="2">
        <v>43</v>
      </c>
      <c r="R21" s="2">
        <v>39</v>
      </c>
      <c r="S21" s="2">
        <v>40</v>
      </c>
      <c r="T21" s="2">
        <v>40</v>
      </c>
      <c r="U21" s="2">
        <v>44</v>
      </c>
      <c r="V21" s="2">
        <v>50</v>
      </c>
      <c r="W21" s="2">
        <v>56</v>
      </c>
      <c r="X21" s="2">
        <v>66</v>
      </c>
      <c r="Y21" s="2">
        <v>67</v>
      </c>
      <c r="Z21" s="2">
        <v>69</v>
      </c>
      <c r="AA21" s="2">
        <v>66</v>
      </c>
      <c r="AC21" s="3">
        <f t="shared" si="0"/>
        <v>56.125</v>
      </c>
    </row>
    <row r="22" spans="2:29" x14ac:dyDescent="0.25">
      <c r="B22" s="4">
        <v>42387</v>
      </c>
      <c r="C22" s="3">
        <v>18</v>
      </c>
      <c r="D22" s="2">
        <v>66</v>
      </c>
      <c r="E22" s="2">
        <v>68</v>
      </c>
      <c r="F22" s="2">
        <v>71</v>
      </c>
      <c r="G22" s="2">
        <v>66</v>
      </c>
      <c r="H22" s="2">
        <v>65</v>
      </c>
      <c r="I22" s="2">
        <v>65</v>
      </c>
      <c r="J22" s="2">
        <v>76</v>
      </c>
      <c r="K22" s="2">
        <v>80</v>
      </c>
      <c r="L22" s="2">
        <v>80</v>
      </c>
      <c r="M22" s="2">
        <v>68</v>
      </c>
      <c r="N22" s="2">
        <v>58</v>
      </c>
      <c r="O22" s="2">
        <v>49</v>
      </c>
      <c r="P22" s="2">
        <v>50</v>
      </c>
      <c r="Q22" s="2">
        <v>48</v>
      </c>
      <c r="R22" s="2">
        <v>47</v>
      </c>
      <c r="S22" s="2">
        <v>57</v>
      </c>
      <c r="T22" s="2">
        <v>66</v>
      </c>
      <c r="U22" s="2">
        <v>66</v>
      </c>
      <c r="V22" s="2">
        <v>72</v>
      </c>
      <c r="W22" s="2">
        <v>70</v>
      </c>
      <c r="X22" s="2">
        <v>70</v>
      </c>
      <c r="Y22" s="2">
        <v>65</v>
      </c>
      <c r="Z22" s="2">
        <v>59</v>
      </c>
      <c r="AA22" s="2">
        <v>58</v>
      </c>
      <c r="AC22" s="3">
        <f t="shared" si="0"/>
        <v>64.166666666666671</v>
      </c>
    </row>
    <row r="23" spans="2:29" x14ac:dyDescent="0.25">
      <c r="B23" s="4">
        <v>42388</v>
      </c>
      <c r="C23" s="3">
        <v>19</v>
      </c>
      <c r="D23" s="2">
        <v>59</v>
      </c>
      <c r="E23" s="2">
        <v>65</v>
      </c>
      <c r="F23" s="2">
        <v>57</v>
      </c>
      <c r="G23" s="2">
        <v>55</v>
      </c>
      <c r="H23" s="2">
        <v>52</v>
      </c>
      <c r="I23" s="2">
        <v>60</v>
      </c>
      <c r="J23" s="2">
        <v>71</v>
      </c>
      <c r="K23" s="2">
        <v>81</v>
      </c>
      <c r="L23" s="2">
        <v>88</v>
      </c>
      <c r="M23" s="2">
        <v>72</v>
      </c>
      <c r="N23" s="2">
        <v>54</v>
      </c>
      <c r="O23" s="2">
        <v>55</v>
      </c>
      <c r="P23" s="2">
        <v>52</v>
      </c>
      <c r="Q23" s="2">
        <v>50</v>
      </c>
      <c r="R23" s="2">
        <v>46</v>
      </c>
      <c r="S23" s="2">
        <v>44</v>
      </c>
      <c r="T23" s="2">
        <v>46</v>
      </c>
      <c r="U23" s="2">
        <v>52</v>
      </c>
      <c r="V23" s="2">
        <v>61</v>
      </c>
      <c r="W23" s="2">
        <v>70</v>
      </c>
      <c r="X23" s="2">
        <v>78</v>
      </c>
      <c r="Y23" s="2">
        <v>80</v>
      </c>
      <c r="Z23" s="2">
        <v>81</v>
      </c>
      <c r="AA23" s="2">
        <v>82</v>
      </c>
      <c r="AC23" s="3">
        <f t="shared" si="0"/>
        <v>62.958333333333336</v>
      </c>
    </row>
    <row r="24" spans="2:29" x14ac:dyDescent="0.25">
      <c r="B24" s="4">
        <v>42389</v>
      </c>
      <c r="C24" s="3">
        <v>20</v>
      </c>
      <c r="D24" s="2">
        <v>83</v>
      </c>
      <c r="E24" s="2">
        <v>77</v>
      </c>
      <c r="F24" s="2">
        <v>82</v>
      </c>
      <c r="G24" s="2">
        <v>86</v>
      </c>
      <c r="H24" s="2">
        <v>85</v>
      </c>
      <c r="I24" s="2">
        <v>85</v>
      </c>
      <c r="J24" s="2">
        <v>85</v>
      </c>
      <c r="K24" s="2">
        <v>80</v>
      </c>
      <c r="L24" s="2">
        <v>80</v>
      </c>
      <c r="M24" s="2">
        <v>69</v>
      </c>
      <c r="N24" s="2">
        <v>59</v>
      </c>
      <c r="O24" s="2">
        <v>45</v>
      </c>
      <c r="P24" s="2">
        <v>43</v>
      </c>
      <c r="Q24" s="2">
        <v>46</v>
      </c>
      <c r="R24" s="2">
        <v>43</v>
      </c>
      <c r="S24" s="2">
        <v>48</v>
      </c>
      <c r="T24" s="2">
        <v>55</v>
      </c>
      <c r="U24" s="2">
        <v>65</v>
      </c>
      <c r="V24" s="2">
        <v>81</v>
      </c>
      <c r="W24" s="2">
        <v>79</v>
      </c>
      <c r="X24" s="2">
        <v>74</v>
      </c>
      <c r="Y24" s="2">
        <v>79</v>
      </c>
      <c r="Z24" s="2">
        <v>75</v>
      </c>
      <c r="AA24" s="2">
        <v>83</v>
      </c>
      <c r="AC24" s="3">
        <f t="shared" si="0"/>
        <v>70.291666666666671</v>
      </c>
    </row>
    <row r="25" spans="2:29" x14ac:dyDescent="0.25">
      <c r="B25" s="4">
        <v>42390</v>
      </c>
      <c r="C25" s="3">
        <v>21</v>
      </c>
      <c r="D25" s="2">
        <v>83</v>
      </c>
      <c r="E25" s="2">
        <v>95</v>
      </c>
      <c r="F25" s="2">
        <v>86</v>
      </c>
      <c r="G25" s="2">
        <v>86</v>
      </c>
      <c r="H25" s="2">
        <v>85</v>
      </c>
      <c r="I25" s="2">
        <v>90</v>
      </c>
      <c r="J25" s="2">
        <v>95</v>
      </c>
      <c r="K25" s="2">
        <v>94</v>
      </c>
      <c r="L25" s="2">
        <v>94</v>
      </c>
      <c r="M25" s="2">
        <v>74</v>
      </c>
      <c r="N25" s="2">
        <v>62</v>
      </c>
      <c r="O25" s="2">
        <v>55</v>
      </c>
      <c r="P25" s="2">
        <v>50</v>
      </c>
      <c r="Q25" s="2">
        <v>49</v>
      </c>
      <c r="R25" s="2">
        <v>49</v>
      </c>
      <c r="S25" s="2">
        <v>49</v>
      </c>
      <c r="T25" s="2">
        <v>54</v>
      </c>
      <c r="U25" s="2">
        <v>60</v>
      </c>
      <c r="V25" s="2">
        <v>81</v>
      </c>
      <c r="W25" s="2">
        <v>86</v>
      </c>
      <c r="X25" s="2">
        <v>93</v>
      </c>
      <c r="Y25" s="2">
        <v>95</v>
      </c>
      <c r="Z25" s="2">
        <v>95</v>
      </c>
      <c r="AA25" s="2">
        <v>96</v>
      </c>
      <c r="AC25" s="3">
        <f t="shared" si="0"/>
        <v>77.333333333333329</v>
      </c>
    </row>
    <row r="26" spans="2:29" x14ac:dyDescent="0.25">
      <c r="B26" s="4">
        <v>42391</v>
      </c>
      <c r="C26" s="3">
        <v>22</v>
      </c>
      <c r="D26" s="2">
        <v>100</v>
      </c>
      <c r="E26" s="2">
        <v>100</v>
      </c>
      <c r="F26" s="2">
        <v>100</v>
      </c>
      <c r="G26" s="2">
        <v>100</v>
      </c>
      <c r="H26" s="2">
        <v>100</v>
      </c>
      <c r="I26" s="2">
        <v>100</v>
      </c>
      <c r="J26" s="2">
        <v>100</v>
      </c>
      <c r="K26" s="2">
        <v>100</v>
      </c>
      <c r="L26" s="2">
        <v>99</v>
      </c>
      <c r="M26" s="2">
        <v>83</v>
      </c>
      <c r="N26" s="2">
        <v>70</v>
      </c>
      <c r="O26" s="2">
        <v>64</v>
      </c>
      <c r="P26" s="2">
        <v>65</v>
      </c>
      <c r="Q26" s="2">
        <v>65</v>
      </c>
      <c r="R26" s="2">
        <v>67</v>
      </c>
      <c r="S26" s="2">
        <v>71</v>
      </c>
      <c r="T26" s="2">
        <v>74</v>
      </c>
      <c r="U26" s="2">
        <v>76</v>
      </c>
      <c r="V26" s="2">
        <v>81</v>
      </c>
      <c r="W26" s="2">
        <v>87</v>
      </c>
      <c r="X26" s="2">
        <v>95</v>
      </c>
      <c r="Y26" s="2">
        <v>88</v>
      </c>
      <c r="Z26" s="2">
        <v>86</v>
      </c>
      <c r="AA26" s="2">
        <v>89</v>
      </c>
      <c r="AC26" s="3">
        <f t="shared" si="0"/>
        <v>85.833333333333329</v>
      </c>
    </row>
    <row r="27" spans="2:29" x14ac:dyDescent="0.25">
      <c r="B27" s="4">
        <v>42392</v>
      </c>
      <c r="C27" s="3">
        <v>23</v>
      </c>
      <c r="D27" s="2">
        <v>98</v>
      </c>
      <c r="E27" s="2">
        <v>99</v>
      </c>
      <c r="F27" s="2">
        <v>99</v>
      </c>
      <c r="G27" s="2">
        <v>100</v>
      </c>
      <c r="H27" s="2">
        <v>100</v>
      </c>
      <c r="I27" s="2">
        <v>100</v>
      </c>
      <c r="J27" s="2">
        <v>100</v>
      </c>
      <c r="K27" s="2">
        <v>100</v>
      </c>
      <c r="L27" s="2">
        <v>100</v>
      </c>
      <c r="M27" s="2">
        <v>97</v>
      </c>
      <c r="N27" s="2">
        <v>82</v>
      </c>
      <c r="O27" s="2">
        <v>67</v>
      </c>
      <c r="P27" s="2">
        <v>63</v>
      </c>
      <c r="Q27" s="2">
        <v>61</v>
      </c>
      <c r="R27" s="2">
        <v>62</v>
      </c>
      <c r="S27" s="2">
        <v>63</v>
      </c>
      <c r="T27" s="2">
        <v>69</v>
      </c>
      <c r="U27" s="2">
        <v>76</v>
      </c>
      <c r="V27" s="2">
        <v>86</v>
      </c>
      <c r="W27" s="2">
        <v>97</v>
      </c>
      <c r="X27" s="2">
        <v>100</v>
      </c>
      <c r="Y27" s="2">
        <v>100</v>
      </c>
      <c r="Z27" s="2">
        <v>98</v>
      </c>
      <c r="AA27" s="2">
        <v>88</v>
      </c>
      <c r="AC27" s="3">
        <f t="shared" si="0"/>
        <v>87.708333333333329</v>
      </c>
    </row>
    <row r="28" spans="2:29" x14ac:dyDescent="0.25">
      <c r="B28" s="4">
        <v>42393</v>
      </c>
      <c r="C28" s="3">
        <v>24</v>
      </c>
      <c r="D28" s="2">
        <v>97</v>
      </c>
      <c r="E28" s="2">
        <v>99</v>
      </c>
      <c r="F28" s="2">
        <v>100</v>
      </c>
      <c r="G28" s="2">
        <v>100</v>
      </c>
      <c r="H28" s="2">
        <v>100</v>
      </c>
      <c r="I28" s="2">
        <v>100</v>
      </c>
      <c r="J28" s="2">
        <v>99</v>
      </c>
      <c r="K28" s="2">
        <v>98</v>
      </c>
      <c r="L28" s="2">
        <v>95</v>
      </c>
      <c r="M28" s="2">
        <v>89</v>
      </c>
      <c r="N28" s="2">
        <v>91</v>
      </c>
      <c r="O28" s="2">
        <v>83</v>
      </c>
      <c r="P28" s="2">
        <v>84</v>
      </c>
      <c r="Q28" s="2">
        <v>81</v>
      </c>
      <c r="R28" s="2">
        <v>82</v>
      </c>
      <c r="S28" s="2">
        <v>81</v>
      </c>
      <c r="T28" s="2">
        <v>79</v>
      </c>
      <c r="U28" s="2">
        <v>82</v>
      </c>
      <c r="V28" s="2">
        <v>83</v>
      </c>
      <c r="W28" s="2">
        <v>92</v>
      </c>
      <c r="X28" s="2">
        <v>94</v>
      </c>
      <c r="Y28" s="2">
        <v>95</v>
      </c>
      <c r="Z28" s="2">
        <v>97</v>
      </c>
      <c r="AA28" s="2">
        <v>97</v>
      </c>
      <c r="AC28" s="3">
        <f t="shared" si="0"/>
        <v>91.583333333333329</v>
      </c>
    </row>
    <row r="29" spans="2:29" x14ac:dyDescent="0.25">
      <c r="B29" s="4">
        <v>42394</v>
      </c>
      <c r="C29" s="3">
        <v>25</v>
      </c>
      <c r="D29" s="2">
        <v>100</v>
      </c>
      <c r="E29" s="2">
        <v>100</v>
      </c>
      <c r="F29" s="2">
        <v>100</v>
      </c>
      <c r="G29" s="2">
        <v>100</v>
      </c>
      <c r="H29" s="2">
        <v>100</v>
      </c>
      <c r="I29" s="2">
        <v>100</v>
      </c>
      <c r="J29" s="2">
        <v>93</v>
      </c>
      <c r="K29" s="2">
        <v>92</v>
      </c>
      <c r="L29" s="2">
        <v>92</v>
      </c>
      <c r="M29" s="2">
        <v>92</v>
      </c>
      <c r="N29" s="2">
        <v>85</v>
      </c>
      <c r="O29" s="2">
        <v>82</v>
      </c>
      <c r="P29" s="2">
        <v>77</v>
      </c>
      <c r="Q29" s="2">
        <v>71</v>
      </c>
      <c r="R29" s="2">
        <v>74</v>
      </c>
      <c r="S29" s="2">
        <v>73</v>
      </c>
      <c r="T29" s="2">
        <v>76</v>
      </c>
      <c r="U29" s="2">
        <v>78</v>
      </c>
      <c r="V29" s="2">
        <v>96</v>
      </c>
      <c r="W29" s="2">
        <v>100</v>
      </c>
      <c r="X29" s="2">
        <v>95</v>
      </c>
      <c r="Y29" s="2">
        <v>90</v>
      </c>
      <c r="Z29" s="2">
        <v>93</v>
      </c>
      <c r="AA29" s="2">
        <v>94</v>
      </c>
      <c r="AC29" s="3">
        <f t="shared" si="0"/>
        <v>89.708333333333329</v>
      </c>
    </row>
    <row r="30" spans="2:29" x14ac:dyDescent="0.25">
      <c r="B30" s="4">
        <v>42395</v>
      </c>
      <c r="C30" s="3">
        <v>26</v>
      </c>
      <c r="D30" s="2">
        <v>91</v>
      </c>
      <c r="E30" s="2">
        <v>92</v>
      </c>
      <c r="F30" s="2">
        <v>89</v>
      </c>
      <c r="G30" s="2">
        <v>89</v>
      </c>
      <c r="H30" s="2">
        <v>87</v>
      </c>
      <c r="I30" s="2">
        <v>88</v>
      </c>
      <c r="J30" s="2">
        <v>87</v>
      </c>
      <c r="K30" s="2">
        <v>84</v>
      </c>
      <c r="L30" s="2">
        <v>84</v>
      </c>
      <c r="M30" s="2">
        <v>80</v>
      </c>
      <c r="N30" s="2">
        <v>79</v>
      </c>
      <c r="O30" s="2">
        <v>75</v>
      </c>
      <c r="P30" s="2">
        <v>72</v>
      </c>
      <c r="Q30" s="2">
        <v>71</v>
      </c>
      <c r="R30" s="2">
        <v>70</v>
      </c>
      <c r="S30" s="2">
        <v>71</v>
      </c>
      <c r="T30" s="2">
        <v>75</v>
      </c>
      <c r="U30" s="2">
        <v>84</v>
      </c>
      <c r="V30" s="2">
        <v>100</v>
      </c>
      <c r="W30" s="2">
        <v>100</v>
      </c>
      <c r="X30" s="2">
        <v>100</v>
      </c>
      <c r="Y30" s="2">
        <v>100</v>
      </c>
      <c r="Z30" s="2">
        <v>100</v>
      </c>
      <c r="AA30" s="2">
        <v>100</v>
      </c>
      <c r="AC30" s="3">
        <f t="shared" si="0"/>
        <v>86.166666666666671</v>
      </c>
    </row>
    <row r="31" spans="2:29" x14ac:dyDescent="0.25">
      <c r="B31" s="4">
        <v>42396</v>
      </c>
      <c r="C31" s="3">
        <v>27</v>
      </c>
      <c r="D31" s="2">
        <v>100</v>
      </c>
      <c r="E31" s="2">
        <v>100</v>
      </c>
      <c r="F31" s="2">
        <v>100</v>
      </c>
      <c r="G31" s="2">
        <v>100</v>
      </c>
      <c r="H31" s="2">
        <v>100</v>
      </c>
      <c r="I31" s="2">
        <v>100</v>
      </c>
      <c r="J31" s="2">
        <v>100</v>
      </c>
      <c r="K31" s="2">
        <v>100</v>
      </c>
      <c r="L31" s="2">
        <v>100</v>
      </c>
      <c r="M31" s="2">
        <v>100</v>
      </c>
      <c r="N31" s="2">
        <v>91</v>
      </c>
      <c r="O31" s="2">
        <v>70</v>
      </c>
      <c r="P31" s="2">
        <v>63</v>
      </c>
      <c r="Q31" s="2">
        <v>61</v>
      </c>
      <c r="R31" s="2">
        <v>63</v>
      </c>
      <c r="S31" s="2">
        <v>67</v>
      </c>
      <c r="T31" s="2">
        <v>70</v>
      </c>
      <c r="U31" s="2">
        <v>77</v>
      </c>
      <c r="V31" s="2">
        <v>88</v>
      </c>
      <c r="W31" s="2">
        <v>96</v>
      </c>
      <c r="X31" s="2">
        <v>98</v>
      </c>
      <c r="Y31" s="2">
        <v>100</v>
      </c>
      <c r="Z31" s="2">
        <v>100</v>
      </c>
      <c r="AA31" s="2">
        <v>100</v>
      </c>
      <c r="AC31" s="3">
        <f t="shared" si="0"/>
        <v>89.333333333333329</v>
      </c>
    </row>
    <row r="32" spans="2:29" x14ac:dyDescent="0.25">
      <c r="B32" s="4">
        <v>42397</v>
      </c>
      <c r="C32" s="3">
        <v>28</v>
      </c>
      <c r="D32" s="2">
        <v>100</v>
      </c>
      <c r="E32" s="2">
        <v>100</v>
      </c>
      <c r="F32" s="2">
        <v>100</v>
      </c>
      <c r="G32" s="2">
        <v>100</v>
      </c>
      <c r="H32" s="2">
        <v>100</v>
      </c>
      <c r="I32" s="2">
        <v>100</v>
      </c>
      <c r="J32" s="2">
        <v>100</v>
      </c>
      <c r="K32" s="2">
        <v>100</v>
      </c>
      <c r="L32" s="2">
        <v>100</v>
      </c>
      <c r="M32" s="2">
        <v>100</v>
      </c>
      <c r="N32" s="2">
        <v>91</v>
      </c>
      <c r="O32" s="2">
        <v>72</v>
      </c>
      <c r="P32" s="2">
        <v>70</v>
      </c>
      <c r="Q32" s="2">
        <v>64</v>
      </c>
      <c r="R32" s="2">
        <v>64</v>
      </c>
      <c r="S32" s="2">
        <v>72</v>
      </c>
      <c r="T32" s="2">
        <v>64</v>
      </c>
      <c r="U32" s="2">
        <v>73</v>
      </c>
      <c r="V32" s="2">
        <v>85</v>
      </c>
      <c r="W32" s="2">
        <v>99</v>
      </c>
      <c r="X32" s="2">
        <v>96</v>
      </c>
      <c r="Y32" s="2">
        <v>89</v>
      </c>
      <c r="Z32" s="2">
        <v>84</v>
      </c>
      <c r="AA32" s="2">
        <v>84</v>
      </c>
      <c r="AC32" s="3">
        <f t="shared" si="0"/>
        <v>87.791666666666671</v>
      </c>
    </row>
    <row r="33" spans="2:29" x14ac:dyDescent="0.25">
      <c r="B33" s="4">
        <v>42398</v>
      </c>
      <c r="C33" s="3">
        <v>29</v>
      </c>
      <c r="D33" s="2">
        <v>78</v>
      </c>
      <c r="E33" s="2">
        <v>86</v>
      </c>
      <c r="F33" s="2">
        <v>87</v>
      </c>
      <c r="G33" s="2">
        <v>82</v>
      </c>
      <c r="H33" s="2">
        <v>86</v>
      </c>
      <c r="I33" s="2">
        <v>90</v>
      </c>
      <c r="J33" s="2">
        <v>88</v>
      </c>
      <c r="K33" s="2">
        <v>86</v>
      </c>
      <c r="L33" s="2">
        <v>81</v>
      </c>
      <c r="M33" s="2">
        <v>80</v>
      </c>
      <c r="N33" s="2">
        <v>75</v>
      </c>
      <c r="O33" s="2">
        <v>72</v>
      </c>
      <c r="P33" s="2">
        <v>63</v>
      </c>
      <c r="Q33" s="2">
        <v>61</v>
      </c>
      <c r="R33" s="2">
        <v>60</v>
      </c>
      <c r="S33" s="2">
        <v>60</v>
      </c>
      <c r="T33" s="2">
        <v>62</v>
      </c>
      <c r="U33" s="2">
        <v>66</v>
      </c>
      <c r="V33" s="2">
        <v>76</v>
      </c>
      <c r="W33" s="2">
        <v>90</v>
      </c>
      <c r="X33" s="2">
        <v>88</v>
      </c>
      <c r="Y33" s="2">
        <v>95</v>
      </c>
      <c r="Z33" s="2">
        <v>98</v>
      </c>
      <c r="AA33" s="2">
        <v>91</v>
      </c>
      <c r="AC33" s="3">
        <f t="shared" si="0"/>
        <v>79.208333333333329</v>
      </c>
    </row>
    <row r="34" spans="2:29" x14ac:dyDescent="0.25">
      <c r="B34" s="4">
        <v>42399</v>
      </c>
      <c r="C34" s="3">
        <v>30</v>
      </c>
      <c r="D34" s="2">
        <v>91</v>
      </c>
      <c r="E34" s="2">
        <v>95</v>
      </c>
      <c r="F34" s="2">
        <v>89</v>
      </c>
      <c r="G34" s="2">
        <v>92</v>
      </c>
      <c r="H34" s="2">
        <v>90</v>
      </c>
      <c r="I34" s="2">
        <v>92</v>
      </c>
      <c r="J34" s="2">
        <v>97</v>
      </c>
      <c r="K34" s="2">
        <v>100</v>
      </c>
      <c r="L34" s="2">
        <v>100</v>
      </c>
      <c r="M34" s="2">
        <v>99</v>
      </c>
      <c r="N34" s="2">
        <v>69</v>
      </c>
      <c r="O34" s="2">
        <v>61</v>
      </c>
      <c r="P34" s="2">
        <v>58</v>
      </c>
      <c r="Q34" s="2">
        <v>53</v>
      </c>
      <c r="R34" s="2">
        <v>52</v>
      </c>
      <c r="S34" s="2">
        <v>45</v>
      </c>
      <c r="T34" s="2">
        <v>47</v>
      </c>
      <c r="U34" s="2">
        <v>47</v>
      </c>
      <c r="V34" s="2">
        <v>55</v>
      </c>
      <c r="W34" s="2">
        <v>61</v>
      </c>
      <c r="X34" s="2">
        <v>68</v>
      </c>
      <c r="Y34" s="2">
        <v>79</v>
      </c>
      <c r="Z34" s="2">
        <v>86</v>
      </c>
      <c r="AA34" s="2">
        <v>87</v>
      </c>
      <c r="AC34" s="3">
        <f t="shared" si="0"/>
        <v>75.541666666666671</v>
      </c>
    </row>
    <row r="35" spans="2:29" x14ac:dyDescent="0.25">
      <c r="B35" s="4">
        <v>42400</v>
      </c>
      <c r="C35" s="3">
        <v>31</v>
      </c>
      <c r="D35" s="2">
        <v>88</v>
      </c>
      <c r="E35" s="2">
        <v>86</v>
      </c>
      <c r="F35" s="2">
        <v>88</v>
      </c>
      <c r="G35" s="2">
        <v>87</v>
      </c>
      <c r="H35" s="2">
        <v>91</v>
      </c>
      <c r="I35" s="2">
        <v>73</v>
      </c>
      <c r="J35" s="2">
        <v>61</v>
      </c>
      <c r="K35" s="2">
        <v>63</v>
      </c>
      <c r="L35" s="2">
        <v>63</v>
      </c>
      <c r="M35" s="2">
        <v>59</v>
      </c>
      <c r="N35" s="2">
        <v>55</v>
      </c>
      <c r="O35" s="2">
        <v>52</v>
      </c>
      <c r="P35" s="2">
        <v>49</v>
      </c>
      <c r="Q35" s="2">
        <v>48</v>
      </c>
      <c r="R35" s="2">
        <v>48</v>
      </c>
      <c r="S35" s="2">
        <v>51</v>
      </c>
      <c r="T35" s="2">
        <v>53</v>
      </c>
      <c r="U35" s="2">
        <v>56</v>
      </c>
      <c r="V35" s="2">
        <v>64</v>
      </c>
      <c r="W35" s="2">
        <v>70</v>
      </c>
      <c r="X35" s="2">
        <v>75</v>
      </c>
      <c r="Y35" s="2">
        <v>85</v>
      </c>
      <c r="Z35" s="2">
        <v>84</v>
      </c>
      <c r="AA35" s="2">
        <v>95</v>
      </c>
      <c r="AC35" s="3">
        <f t="shared" si="0"/>
        <v>68.5</v>
      </c>
    </row>
    <row r="36" spans="2:29" x14ac:dyDescent="0.25">
      <c r="B36" s="4">
        <v>42401</v>
      </c>
      <c r="C36" s="3">
        <v>32</v>
      </c>
      <c r="D36" s="2">
        <v>94</v>
      </c>
      <c r="E36" s="2">
        <v>96</v>
      </c>
      <c r="F36" s="2">
        <v>100</v>
      </c>
      <c r="G36" s="2">
        <v>100</v>
      </c>
      <c r="H36" s="2">
        <v>100</v>
      </c>
      <c r="I36" s="2">
        <v>100</v>
      </c>
      <c r="J36" s="2">
        <v>100</v>
      </c>
      <c r="K36" s="2">
        <v>100</v>
      </c>
      <c r="L36" s="2">
        <v>98</v>
      </c>
      <c r="M36" s="2">
        <v>77</v>
      </c>
      <c r="N36" s="2">
        <v>66</v>
      </c>
      <c r="O36" s="2">
        <v>59</v>
      </c>
      <c r="P36" s="2">
        <v>53</v>
      </c>
      <c r="Q36" s="2">
        <v>50</v>
      </c>
      <c r="R36" s="2">
        <v>47</v>
      </c>
      <c r="S36" s="2">
        <v>44</v>
      </c>
      <c r="T36" s="2">
        <v>44</v>
      </c>
      <c r="U36" s="2">
        <v>48</v>
      </c>
      <c r="V36" s="2">
        <v>61</v>
      </c>
      <c r="W36" s="2">
        <v>79</v>
      </c>
      <c r="X36" s="2">
        <v>95</v>
      </c>
      <c r="Y36" s="2">
        <v>99</v>
      </c>
      <c r="Z36" s="2">
        <v>100</v>
      </c>
      <c r="AA36" s="2">
        <v>99</v>
      </c>
      <c r="AC36" s="3">
        <f t="shared" si="0"/>
        <v>79.541666666666671</v>
      </c>
    </row>
    <row r="37" spans="2:29" x14ac:dyDescent="0.25">
      <c r="B37" s="4">
        <v>42402</v>
      </c>
      <c r="C37" s="3">
        <v>33</v>
      </c>
      <c r="D37" s="2">
        <v>100</v>
      </c>
      <c r="E37" s="2">
        <v>100</v>
      </c>
      <c r="F37" s="2">
        <v>100</v>
      </c>
      <c r="G37" s="2">
        <v>100</v>
      </c>
      <c r="H37" s="2">
        <v>100</v>
      </c>
      <c r="I37" s="2">
        <v>100</v>
      </c>
      <c r="J37" s="2">
        <v>100</v>
      </c>
      <c r="K37" s="2">
        <v>100</v>
      </c>
      <c r="L37" s="2">
        <v>100</v>
      </c>
      <c r="M37" s="2">
        <v>96</v>
      </c>
      <c r="N37" s="2">
        <v>69</v>
      </c>
      <c r="O37" s="2">
        <v>60</v>
      </c>
      <c r="P37" s="2">
        <v>61</v>
      </c>
      <c r="Q37" s="2">
        <v>67</v>
      </c>
      <c r="R37" s="2">
        <v>65</v>
      </c>
      <c r="S37" s="2">
        <v>71</v>
      </c>
      <c r="T37" s="2">
        <v>75</v>
      </c>
      <c r="U37" s="2">
        <v>80</v>
      </c>
      <c r="V37" s="2">
        <v>93</v>
      </c>
      <c r="W37" s="2">
        <v>100</v>
      </c>
      <c r="X37" s="2">
        <v>100</v>
      </c>
      <c r="Y37" s="2">
        <v>100</v>
      </c>
      <c r="Z37" s="2">
        <v>100</v>
      </c>
      <c r="AA37" s="2">
        <v>100</v>
      </c>
      <c r="AC37" s="3">
        <f t="shared" si="0"/>
        <v>89.041666666666671</v>
      </c>
    </row>
    <row r="38" spans="2:29" x14ac:dyDescent="0.25">
      <c r="B38" s="4">
        <v>42403</v>
      </c>
      <c r="C38" s="3">
        <v>34</v>
      </c>
      <c r="D38" s="2">
        <v>100</v>
      </c>
      <c r="E38" s="2">
        <v>100</v>
      </c>
      <c r="F38" s="2">
        <v>100</v>
      </c>
      <c r="G38" s="2">
        <v>100</v>
      </c>
      <c r="H38" s="2">
        <v>92</v>
      </c>
      <c r="I38" s="2">
        <v>92</v>
      </c>
      <c r="J38" s="2">
        <v>99</v>
      </c>
      <c r="K38" s="2">
        <v>93</v>
      </c>
      <c r="L38" s="2">
        <v>81</v>
      </c>
      <c r="M38" s="2">
        <v>80</v>
      </c>
      <c r="N38" s="2">
        <v>73</v>
      </c>
      <c r="O38" s="2">
        <v>65</v>
      </c>
      <c r="P38" s="2">
        <v>59</v>
      </c>
      <c r="Q38" s="2">
        <v>50</v>
      </c>
      <c r="R38" s="2">
        <v>40</v>
      </c>
      <c r="S38" s="2">
        <v>38</v>
      </c>
      <c r="T38" s="2">
        <v>38</v>
      </c>
      <c r="U38" s="2">
        <v>38</v>
      </c>
      <c r="V38" s="2">
        <v>42</v>
      </c>
      <c r="W38" s="2">
        <v>42</v>
      </c>
      <c r="X38" s="2">
        <v>42</v>
      </c>
      <c r="Y38" s="2">
        <v>47</v>
      </c>
      <c r="Z38" s="2">
        <v>54</v>
      </c>
      <c r="AA38" s="2">
        <v>65</v>
      </c>
      <c r="AC38" s="3">
        <f t="shared" si="0"/>
        <v>67.916666666666671</v>
      </c>
    </row>
    <row r="39" spans="2:29" x14ac:dyDescent="0.25">
      <c r="B39" s="4">
        <v>42404</v>
      </c>
      <c r="C39" s="3">
        <v>35</v>
      </c>
      <c r="D39" s="2">
        <v>58</v>
      </c>
      <c r="E39" s="2">
        <v>62</v>
      </c>
      <c r="F39" s="2">
        <v>72</v>
      </c>
      <c r="G39" s="2">
        <v>63</v>
      </c>
      <c r="H39" s="2">
        <v>67</v>
      </c>
      <c r="I39" s="2">
        <v>79</v>
      </c>
      <c r="J39" s="2">
        <v>76</v>
      </c>
      <c r="K39" s="2">
        <v>72</v>
      </c>
      <c r="L39" s="2">
        <v>83</v>
      </c>
      <c r="M39" s="2">
        <v>65</v>
      </c>
      <c r="N39" s="2">
        <v>52</v>
      </c>
      <c r="O39" s="2">
        <v>45</v>
      </c>
      <c r="P39" s="2">
        <v>35</v>
      </c>
      <c r="Q39" s="2">
        <v>34</v>
      </c>
      <c r="R39" s="2">
        <v>36</v>
      </c>
      <c r="S39" s="2">
        <v>35</v>
      </c>
      <c r="T39" s="2">
        <v>34</v>
      </c>
      <c r="U39" s="2">
        <v>37</v>
      </c>
      <c r="V39" s="2">
        <v>43</v>
      </c>
      <c r="W39" s="2">
        <v>50</v>
      </c>
      <c r="X39" s="2">
        <v>58</v>
      </c>
      <c r="Y39" s="2">
        <v>72</v>
      </c>
      <c r="Z39" s="2">
        <v>66</v>
      </c>
      <c r="AA39" s="2">
        <v>71</v>
      </c>
      <c r="AC39" s="3">
        <f t="shared" si="0"/>
        <v>56.875</v>
      </c>
    </row>
    <row r="40" spans="2:29" x14ac:dyDescent="0.25">
      <c r="B40" s="4">
        <v>42405</v>
      </c>
      <c r="C40" s="3">
        <v>36</v>
      </c>
      <c r="D40" s="2">
        <v>74</v>
      </c>
      <c r="E40" s="2">
        <v>74</v>
      </c>
      <c r="F40" s="2">
        <v>72</v>
      </c>
      <c r="G40" s="2">
        <v>82</v>
      </c>
      <c r="H40" s="2">
        <v>75</v>
      </c>
      <c r="I40" s="2">
        <v>72</v>
      </c>
      <c r="J40" s="2">
        <v>68</v>
      </c>
      <c r="K40" s="2">
        <v>67</v>
      </c>
      <c r="L40" s="2">
        <v>64</v>
      </c>
      <c r="M40" s="2">
        <v>56</v>
      </c>
      <c r="N40" s="2">
        <v>40</v>
      </c>
      <c r="O40" s="2">
        <v>37</v>
      </c>
      <c r="P40" s="2">
        <v>40</v>
      </c>
      <c r="Q40" s="2">
        <v>42</v>
      </c>
      <c r="R40" s="2">
        <v>44</v>
      </c>
      <c r="S40" s="2">
        <v>45</v>
      </c>
      <c r="T40" s="2">
        <v>57</v>
      </c>
      <c r="U40" s="2">
        <v>66</v>
      </c>
      <c r="V40" s="2">
        <v>83</v>
      </c>
      <c r="W40" s="2">
        <v>98</v>
      </c>
      <c r="X40" s="2">
        <v>100</v>
      </c>
      <c r="Y40" s="2">
        <v>100</v>
      </c>
      <c r="Z40" s="2">
        <v>99</v>
      </c>
      <c r="AA40" s="2">
        <v>97</v>
      </c>
      <c r="AC40" s="3">
        <f t="shared" si="0"/>
        <v>68.833333333333329</v>
      </c>
    </row>
    <row r="41" spans="2:29" x14ac:dyDescent="0.25">
      <c r="B41" s="4">
        <v>42406</v>
      </c>
      <c r="C41" s="3">
        <v>37</v>
      </c>
      <c r="D41" s="2">
        <v>100</v>
      </c>
      <c r="E41" s="2">
        <v>100</v>
      </c>
      <c r="F41" s="2">
        <v>100</v>
      </c>
      <c r="G41" s="2">
        <v>99</v>
      </c>
      <c r="H41" s="2">
        <v>91</v>
      </c>
      <c r="I41" s="2">
        <v>90</v>
      </c>
      <c r="J41" s="2">
        <v>87</v>
      </c>
      <c r="K41" s="2">
        <v>94</v>
      </c>
      <c r="L41" s="2">
        <v>91</v>
      </c>
      <c r="M41" s="2">
        <v>90</v>
      </c>
      <c r="N41" s="2">
        <v>100</v>
      </c>
      <c r="O41" s="2">
        <v>100</v>
      </c>
      <c r="P41" s="2">
        <v>100</v>
      </c>
      <c r="Q41" s="2">
        <v>98</v>
      </c>
      <c r="R41" s="2">
        <v>83</v>
      </c>
      <c r="S41" s="2">
        <v>72</v>
      </c>
      <c r="T41" s="2">
        <v>77</v>
      </c>
      <c r="U41" s="2">
        <v>81</v>
      </c>
      <c r="V41" s="2">
        <v>90</v>
      </c>
      <c r="W41" s="2">
        <v>100</v>
      </c>
      <c r="X41" s="2">
        <v>100</v>
      </c>
      <c r="Y41" s="2">
        <v>100</v>
      </c>
      <c r="Z41" s="2">
        <v>100</v>
      </c>
      <c r="AA41" s="2">
        <v>100</v>
      </c>
      <c r="AC41" s="3">
        <f t="shared" si="0"/>
        <v>93.458333333333329</v>
      </c>
    </row>
    <row r="42" spans="2:29" x14ac:dyDescent="0.25">
      <c r="B42" s="4">
        <v>42407</v>
      </c>
      <c r="C42" s="3">
        <v>38</v>
      </c>
      <c r="D42" s="2">
        <v>100</v>
      </c>
      <c r="E42" s="2">
        <v>100</v>
      </c>
      <c r="F42" s="2">
        <v>100</v>
      </c>
      <c r="G42" s="2">
        <v>100</v>
      </c>
      <c r="H42" s="2">
        <v>100</v>
      </c>
      <c r="I42" s="2">
        <v>85</v>
      </c>
      <c r="J42" s="2">
        <v>69</v>
      </c>
      <c r="K42" s="2">
        <v>61</v>
      </c>
      <c r="L42" s="2">
        <v>65</v>
      </c>
      <c r="M42" s="2">
        <v>59</v>
      </c>
      <c r="N42" s="2">
        <v>50</v>
      </c>
      <c r="O42" s="2">
        <v>38</v>
      </c>
      <c r="P42" s="2">
        <v>42</v>
      </c>
      <c r="Q42" s="2">
        <v>41</v>
      </c>
      <c r="R42" s="2">
        <v>39</v>
      </c>
      <c r="S42" s="2">
        <v>37</v>
      </c>
      <c r="T42" s="2">
        <v>37</v>
      </c>
      <c r="U42" s="2">
        <v>36</v>
      </c>
      <c r="V42" s="2">
        <v>38</v>
      </c>
      <c r="W42" s="2">
        <v>40</v>
      </c>
      <c r="X42" s="2">
        <v>40</v>
      </c>
      <c r="Y42" s="2">
        <v>39</v>
      </c>
      <c r="Z42" s="2">
        <v>40</v>
      </c>
      <c r="AA42" s="2">
        <v>44</v>
      </c>
      <c r="AC42" s="3">
        <f t="shared" si="0"/>
        <v>58.333333333333336</v>
      </c>
    </row>
    <row r="43" spans="2:29" x14ac:dyDescent="0.25">
      <c r="B43" s="4">
        <v>42408</v>
      </c>
      <c r="C43" s="3">
        <v>39</v>
      </c>
      <c r="D43" s="2">
        <v>44</v>
      </c>
      <c r="E43" s="2">
        <v>47</v>
      </c>
      <c r="F43" s="2">
        <v>48</v>
      </c>
      <c r="G43" s="2">
        <v>43</v>
      </c>
      <c r="H43" s="2">
        <v>48</v>
      </c>
      <c r="I43" s="2">
        <v>60</v>
      </c>
      <c r="J43" s="2">
        <v>60</v>
      </c>
      <c r="K43" s="2">
        <v>65</v>
      </c>
      <c r="L43" s="2">
        <v>63</v>
      </c>
      <c r="M43" s="2">
        <v>54</v>
      </c>
      <c r="N43" s="2">
        <v>48</v>
      </c>
      <c r="O43" s="2">
        <v>43</v>
      </c>
      <c r="P43" s="2">
        <v>42</v>
      </c>
      <c r="Q43" s="2">
        <v>40</v>
      </c>
      <c r="R43" s="2">
        <v>40</v>
      </c>
      <c r="S43" s="2">
        <v>37</v>
      </c>
      <c r="T43" s="2">
        <v>47</v>
      </c>
      <c r="U43" s="2">
        <v>50</v>
      </c>
      <c r="V43" s="2">
        <v>57</v>
      </c>
      <c r="W43" s="2">
        <v>70</v>
      </c>
      <c r="X43" s="2">
        <v>68</v>
      </c>
      <c r="Y43" s="2">
        <v>54</v>
      </c>
      <c r="Z43" s="2">
        <v>53</v>
      </c>
      <c r="AA43" s="2">
        <v>59</v>
      </c>
      <c r="AC43" s="3">
        <f t="shared" si="0"/>
        <v>51.666666666666664</v>
      </c>
    </row>
    <row r="44" spans="2:29" x14ac:dyDescent="0.25">
      <c r="B44" s="4">
        <v>42409</v>
      </c>
      <c r="C44" s="3">
        <v>40</v>
      </c>
      <c r="D44" s="2">
        <v>58</v>
      </c>
      <c r="E44" s="2">
        <v>59</v>
      </c>
      <c r="F44" s="2">
        <v>62</v>
      </c>
      <c r="G44" s="2">
        <v>61</v>
      </c>
      <c r="H44" s="2">
        <v>61</v>
      </c>
      <c r="I44" s="2">
        <v>63</v>
      </c>
      <c r="J44" s="2">
        <v>63</v>
      </c>
      <c r="K44" s="2">
        <v>66</v>
      </c>
      <c r="L44" s="2">
        <v>65</v>
      </c>
      <c r="M44" s="2">
        <v>61</v>
      </c>
      <c r="N44" s="2">
        <v>52</v>
      </c>
      <c r="O44" s="2">
        <v>49</v>
      </c>
      <c r="P44" s="2">
        <v>48</v>
      </c>
      <c r="Q44" s="2">
        <v>44</v>
      </c>
      <c r="R44" s="2">
        <v>42</v>
      </c>
      <c r="S44" s="2">
        <v>40</v>
      </c>
      <c r="T44" s="2">
        <v>41</v>
      </c>
      <c r="U44" s="2">
        <v>56</v>
      </c>
      <c r="V44" s="2">
        <v>41</v>
      </c>
      <c r="W44" s="2">
        <v>42</v>
      </c>
      <c r="X44" s="2">
        <v>41</v>
      </c>
      <c r="Y44" s="2">
        <v>43</v>
      </c>
      <c r="Z44" s="2">
        <v>55</v>
      </c>
      <c r="AA44" s="2">
        <v>49</v>
      </c>
      <c r="AC44" s="3">
        <f t="shared" si="0"/>
        <v>52.583333333333336</v>
      </c>
    </row>
    <row r="45" spans="2:29" x14ac:dyDescent="0.25">
      <c r="B45" s="4">
        <v>42410</v>
      </c>
      <c r="C45" s="3">
        <v>41</v>
      </c>
      <c r="D45" s="2">
        <v>46</v>
      </c>
      <c r="E45" s="2">
        <v>49</v>
      </c>
      <c r="F45" s="2">
        <v>51</v>
      </c>
      <c r="G45" s="2">
        <v>50</v>
      </c>
      <c r="H45" s="2">
        <v>48</v>
      </c>
      <c r="I45" s="2">
        <v>49</v>
      </c>
      <c r="J45" s="2">
        <v>51</v>
      </c>
      <c r="K45" s="2">
        <v>58</v>
      </c>
      <c r="L45" s="2">
        <v>60</v>
      </c>
      <c r="M45" s="2">
        <v>58</v>
      </c>
      <c r="N45" s="2">
        <v>57</v>
      </c>
      <c r="O45" s="2">
        <v>51</v>
      </c>
      <c r="P45" s="2">
        <v>49</v>
      </c>
      <c r="Q45" s="2">
        <v>51</v>
      </c>
      <c r="R45" s="2">
        <v>54</v>
      </c>
      <c r="S45" s="2">
        <v>61</v>
      </c>
      <c r="T45" s="2">
        <v>59</v>
      </c>
      <c r="U45" s="2">
        <v>61</v>
      </c>
      <c r="V45" s="2">
        <v>67</v>
      </c>
      <c r="W45" s="2">
        <v>79</v>
      </c>
      <c r="X45" s="2">
        <v>87</v>
      </c>
      <c r="Y45" s="2">
        <v>88</v>
      </c>
      <c r="Z45" s="2">
        <v>74</v>
      </c>
      <c r="AA45" s="2">
        <v>75</v>
      </c>
      <c r="AC45" s="3">
        <f t="shared" si="0"/>
        <v>59.708333333333336</v>
      </c>
    </row>
    <row r="46" spans="2:29" x14ac:dyDescent="0.25">
      <c r="B46" s="4">
        <v>42411</v>
      </c>
      <c r="C46" s="3">
        <v>42</v>
      </c>
      <c r="D46" s="2">
        <v>100</v>
      </c>
      <c r="E46" s="2">
        <v>100</v>
      </c>
      <c r="F46" s="2">
        <v>100</v>
      </c>
      <c r="G46" s="2">
        <v>100</v>
      </c>
      <c r="H46" s="2">
        <v>100</v>
      </c>
      <c r="I46" s="2">
        <v>100</v>
      </c>
      <c r="J46" s="2">
        <v>100</v>
      </c>
      <c r="K46" s="2">
        <v>100</v>
      </c>
      <c r="L46" s="2">
        <v>100</v>
      </c>
      <c r="M46" s="2">
        <v>100</v>
      </c>
      <c r="N46" s="2">
        <v>83</v>
      </c>
      <c r="O46" s="2">
        <v>86</v>
      </c>
      <c r="P46" s="2">
        <v>93</v>
      </c>
      <c r="Q46" s="2">
        <v>100</v>
      </c>
      <c r="R46" s="2">
        <v>100</v>
      </c>
      <c r="S46" s="2">
        <v>98</v>
      </c>
      <c r="T46" s="2">
        <v>82</v>
      </c>
      <c r="U46" s="2">
        <v>69</v>
      </c>
      <c r="V46" s="2">
        <v>73</v>
      </c>
      <c r="W46" s="2">
        <v>76</v>
      </c>
      <c r="X46" s="2">
        <v>74</v>
      </c>
      <c r="Y46" s="2">
        <v>75</v>
      </c>
      <c r="Z46" s="2">
        <v>77</v>
      </c>
      <c r="AA46" s="2">
        <v>81</v>
      </c>
      <c r="AC46" s="3">
        <f t="shared" si="0"/>
        <v>90.291666666666671</v>
      </c>
    </row>
    <row r="47" spans="2:29" x14ac:dyDescent="0.25">
      <c r="B47" s="4">
        <v>42412</v>
      </c>
      <c r="C47" s="3">
        <v>43</v>
      </c>
      <c r="D47" s="2">
        <v>84</v>
      </c>
      <c r="E47" s="2">
        <v>79</v>
      </c>
      <c r="F47" s="2">
        <v>83</v>
      </c>
      <c r="G47" s="2">
        <v>86</v>
      </c>
      <c r="H47" s="2">
        <v>84</v>
      </c>
      <c r="I47" s="2">
        <v>87</v>
      </c>
      <c r="J47" s="2">
        <v>100</v>
      </c>
      <c r="K47" s="2">
        <v>98</v>
      </c>
      <c r="L47" s="2">
        <v>100</v>
      </c>
      <c r="M47" s="2">
        <v>99</v>
      </c>
      <c r="N47" s="2">
        <v>91</v>
      </c>
      <c r="O47" s="2">
        <v>69</v>
      </c>
      <c r="P47" s="2">
        <v>63</v>
      </c>
      <c r="Q47" s="2">
        <v>57</v>
      </c>
      <c r="R47" s="2">
        <v>60</v>
      </c>
      <c r="S47" s="2">
        <v>52</v>
      </c>
      <c r="T47" s="2">
        <v>56</v>
      </c>
      <c r="U47" s="2">
        <v>58</v>
      </c>
      <c r="V47" s="2">
        <v>59</v>
      </c>
      <c r="W47" s="2">
        <v>60</v>
      </c>
      <c r="X47" s="2">
        <v>62</v>
      </c>
      <c r="Y47" s="2">
        <v>62</v>
      </c>
      <c r="Z47" s="2">
        <v>60</v>
      </c>
      <c r="AA47" s="2">
        <v>63</v>
      </c>
      <c r="AC47" s="3">
        <f t="shared" si="0"/>
        <v>73.833333333333329</v>
      </c>
    </row>
    <row r="48" spans="2:29" x14ac:dyDescent="0.25">
      <c r="B48" s="4">
        <v>42413</v>
      </c>
      <c r="C48" s="3">
        <v>44</v>
      </c>
      <c r="D48" s="2">
        <v>64</v>
      </c>
      <c r="E48" s="2">
        <v>65</v>
      </c>
      <c r="F48" s="2">
        <v>68</v>
      </c>
      <c r="G48" s="2">
        <v>80</v>
      </c>
      <c r="H48" s="2">
        <v>76</v>
      </c>
      <c r="I48" s="2">
        <v>79</v>
      </c>
      <c r="J48" s="2">
        <v>83</v>
      </c>
      <c r="K48" s="2">
        <v>79</v>
      </c>
      <c r="L48" s="2">
        <v>72</v>
      </c>
      <c r="M48" s="2">
        <v>66</v>
      </c>
      <c r="N48" s="2">
        <v>62</v>
      </c>
      <c r="O48" s="2">
        <v>58</v>
      </c>
      <c r="P48" s="2">
        <v>53</v>
      </c>
      <c r="Q48" s="2">
        <v>54</v>
      </c>
      <c r="R48" s="2">
        <v>51</v>
      </c>
      <c r="S48" s="2">
        <v>47</v>
      </c>
      <c r="T48" s="2">
        <v>41</v>
      </c>
      <c r="U48" s="2">
        <v>38</v>
      </c>
      <c r="V48" s="2">
        <v>40</v>
      </c>
      <c r="W48" s="2">
        <v>65</v>
      </c>
      <c r="X48" s="2">
        <v>95</v>
      </c>
      <c r="Y48" s="2">
        <v>99</v>
      </c>
      <c r="Z48" s="2">
        <v>99</v>
      </c>
      <c r="AA48" s="2">
        <v>89</v>
      </c>
      <c r="AC48" s="3">
        <f t="shared" si="0"/>
        <v>67.625</v>
      </c>
    </row>
    <row r="49" spans="2:29" x14ac:dyDescent="0.25">
      <c r="B49" s="4">
        <v>42414</v>
      </c>
      <c r="C49" s="3">
        <v>45</v>
      </c>
      <c r="D49" s="2">
        <v>88</v>
      </c>
      <c r="E49" s="2">
        <v>89</v>
      </c>
      <c r="F49" s="2">
        <v>92</v>
      </c>
      <c r="G49" s="2">
        <v>68</v>
      </c>
      <c r="H49" s="2">
        <v>49</v>
      </c>
      <c r="I49" s="2">
        <v>53</v>
      </c>
      <c r="J49" s="2">
        <v>54</v>
      </c>
      <c r="K49" s="2">
        <v>50</v>
      </c>
      <c r="L49" s="2">
        <v>36</v>
      </c>
      <c r="M49" s="2">
        <v>39</v>
      </c>
      <c r="N49" s="2">
        <v>42</v>
      </c>
      <c r="O49" s="2">
        <v>46</v>
      </c>
      <c r="P49" s="2">
        <v>46</v>
      </c>
      <c r="Q49" s="2">
        <v>42</v>
      </c>
      <c r="R49" s="2">
        <v>38</v>
      </c>
      <c r="S49" s="2">
        <v>39</v>
      </c>
      <c r="T49" s="2">
        <v>47</v>
      </c>
      <c r="U49" s="2">
        <v>72</v>
      </c>
      <c r="V49" s="2">
        <v>76</v>
      </c>
      <c r="W49" s="2">
        <v>63</v>
      </c>
      <c r="X49" s="2">
        <v>62</v>
      </c>
      <c r="Y49" s="2">
        <v>58</v>
      </c>
      <c r="Z49" s="2">
        <v>57</v>
      </c>
      <c r="AA49" s="2">
        <v>55</v>
      </c>
      <c r="AC49" s="3">
        <f t="shared" si="0"/>
        <v>56.708333333333336</v>
      </c>
    </row>
    <row r="50" spans="2:29" x14ac:dyDescent="0.25">
      <c r="B50" s="4">
        <v>42415</v>
      </c>
      <c r="C50" s="3">
        <v>46</v>
      </c>
      <c r="D50" s="2">
        <v>56</v>
      </c>
      <c r="E50" s="2">
        <v>56</v>
      </c>
      <c r="F50" s="2">
        <v>57</v>
      </c>
      <c r="G50" s="2">
        <v>58</v>
      </c>
      <c r="H50" s="2">
        <v>59</v>
      </c>
      <c r="I50" s="2">
        <v>66</v>
      </c>
      <c r="J50" s="2">
        <v>62</v>
      </c>
      <c r="K50" s="2">
        <v>65</v>
      </c>
      <c r="L50" s="2">
        <v>67</v>
      </c>
      <c r="M50" s="2">
        <v>61</v>
      </c>
      <c r="N50" s="2">
        <v>49</v>
      </c>
      <c r="O50" s="2">
        <v>45</v>
      </c>
      <c r="P50" s="2">
        <v>26</v>
      </c>
      <c r="Q50" s="2">
        <v>25</v>
      </c>
      <c r="R50" s="2">
        <v>27</v>
      </c>
      <c r="S50" s="2">
        <v>27</v>
      </c>
      <c r="T50" s="2">
        <v>29</v>
      </c>
      <c r="U50" s="2">
        <v>28</v>
      </c>
      <c r="V50" s="2">
        <v>21</v>
      </c>
      <c r="W50" s="2">
        <v>23</v>
      </c>
      <c r="X50" s="2">
        <v>26</v>
      </c>
      <c r="Y50" s="2">
        <v>25</v>
      </c>
      <c r="Z50" s="2">
        <v>35</v>
      </c>
      <c r="AA50" s="2">
        <v>29</v>
      </c>
      <c r="AC50" s="3">
        <f t="shared" si="0"/>
        <v>42.583333333333336</v>
      </c>
    </row>
    <row r="51" spans="2:29" x14ac:dyDescent="0.25">
      <c r="B51" s="4">
        <v>42416</v>
      </c>
      <c r="C51" s="3">
        <v>47</v>
      </c>
      <c r="D51" s="2">
        <v>32</v>
      </c>
      <c r="E51" s="2">
        <v>47</v>
      </c>
      <c r="F51" s="2">
        <v>46</v>
      </c>
      <c r="G51" s="2">
        <v>45</v>
      </c>
      <c r="H51" s="2">
        <v>55</v>
      </c>
      <c r="I51" s="2">
        <v>47</v>
      </c>
      <c r="J51" s="2">
        <v>53</v>
      </c>
      <c r="K51" s="2">
        <v>45</v>
      </c>
      <c r="L51" s="2">
        <v>52</v>
      </c>
      <c r="M51" s="2">
        <v>41</v>
      </c>
      <c r="N51" s="2">
        <v>29</v>
      </c>
      <c r="O51" s="2">
        <v>34</v>
      </c>
      <c r="P51" s="2">
        <v>22</v>
      </c>
      <c r="Q51" s="2">
        <v>21</v>
      </c>
      <c r="R51" s="2">
        <v>23</v>
      </c>
      <c r="S51" s="2">
        <v>27</v>
      </c>
      <c r="T51" s="2">
        <v>27</v>
      </c>
      <c r="U51" s="2">
        <v>29</v>
      </c>
      <c r="V51" s="2">
        <v>34</v>
      </c>
      <c r="W51" s="2">
        <v>36</v>
      </c>
      <c r="X51" s="2">
        <v>35</v>
      </c>
      <c r="Y51" s="2">
        <v>37</v>
      </c>
      <c r="Z51" s="2">
        <v>41</v>
      </c>
      <c r="AA51" s="2">
        <v>42</v>
      </c>
      <c r="AC51" s="3">
        <f t="shared" si="0"/>
        <v>37.5</v>
      </c>
    </row>
    <row r="52" spans="2:29" x14ac:dyDescent="0.25">
      <c r="B52" s="4">
        <v>42417</v>
      </c>
      <c r="C52" s="3">
        <v>48</v>
      </c>
      <c r="D52" s="2">
        <v>43</v>
      </c>
      <c r="E52" s="2">
        <v>58</v>
      </c>
      <c r="F52" s="2">
        <v>58</v>
      </c>
      <c r="G52" s="2">
        <v>59</v>
      </c>
      <c r="H52" s="2">
        <v>61</v>
      </c>
      <c r="I52" s="2">
        <v>81</v>
      </c>
      <c r="J52" s="2">
        <v>85</v>
      </c>
      <c r="K52" s="2">
        <v>87</v>
      </c>
      <c r="L52" s="2">
        <v>75</v>
      </c>
      <c r="M52" s="2">
        <v>54</v>
      </c>
      <c r="N52" s="2">
        <v>47</v>
      </c>
      <c r="O52" s="2">
        <v>41</v>
      </c>
      <c r="P52" s="2">
        <v>35</v>
      </c>
      <c r="Q52" s="2">
        <v>31</v>
      </c>
      <c r="R52" s="2">
        <v>30</v>
      </c>
      <c r="S52" s="2">
        <v>28</v>
      </c>
      <c r="T52" s="2">
        <v>26</v>
      </c>
      <c r="U52" s="2">
        <v>31</v>
      </c>
      <c r="V52" s="2">
        <v>48</v>
      </c>
      <c r="W52" s="2">
        <v>59</v>
      </c>
      <c r="X52" s="2">
        <v>70</v>
      </c>
      <c r="Y52" s="2">
        <v>77</v>
      </c>
      <c r="Z52" s="2">
        <v>78</v>
      </c>
      <c r="AA52" s="2">
        <v>72</v>
      </c>
      <c r="AC52" s="3">
        <f t="shared" si="0"/>
        <v>55.583333333333336</v>
      </c>
    </row>
    <row r="53" spans="2:29" x14ac:dyDescent="0.25">
      <c r="B53" s="4">
        <v>42418</v>
      </c>
      <c r="C53" s="3">
        <v>49</v>
      </c>
      <c r="D53" s="2">
        <v>71</v>
      </c>
      <c r="E53" s="2">
        <v>75</v>
      </c>
      <c r="F53" s="2">
        <v>67</v>
      </c>
      <c r="G53" s="2">
        <v>67</v>
      </c>
      <c r="H53" s="2">
        <v>70</v>
      </c>
      <c r="I53" s="2">
        <v>72</v>
      </c>
      <c r="J53" s="2">
        <v>70</v>
      </c>
      <c r="K53" s="2">
        <v>70</v>
      </c>
      <c r="L53" s="2">
        <v>75</v>
      </c>
      <c r="M53" s="2">
        <v>59</v>
      </c>
      <c r="N53" s="2">
        <v>49</v>
      </c>
      <c r="O53" s="2">
        <v>47</v>
      </c>
      <c r="P53" s="2">
        <v>44</v>
      </c>
      <c r="Q53" s="2">
        <v>44</v>
      </c>
      <c r="R53" s="2">
        <v>47</v>
      </c>
      <c r="S53" s="2">
        <v>53</v>
      </c>
      <c r="T53" s="2">
        <v>58</v>
      </c>
      <c r="U53" s="2">
        <v>61</v>
      </c>
      <c r="V53" s="2">
        <v>67</v>
      </c>
      <c r="W53" s="2">
        <v>80</v>
      </c>
      <c r="X53" s="2">
        <v>89</v>
      </c>
      <c r="Y53" s="2">
        <v>86</v>
      </c>
      <c r="Z53" s="2">
        <v>81</v>
      </c>
      <c r="AA53" s="2">
        <v>83</v>
      </c>
      <c r="AC53" s="3">
        <f t="shared" si="0"/>
        <v>66.041666666666671</v>
      </c>
    </row>
    <row r="54" spans="2:29" x14ac:dyDescent="0.25">
      <c r="B54" s="4">
        <v>42419</v>
      </c>
      <c r="C54" s="3">
        <v>50</v>
      </c>
      <c r="D54" s="2">
        <v>84</v>
      </c>
      <c r="E54" s="2">
        <v>82</v>
      </c>
      <c r="F54" s="2">
        <v>94</v>
      </c>
      <c r="G54" s="2">
        <v>99</v>
      </c>
      <c r="H54" s="2">
        <v>100</v>
      </c>
      <c r="I54" s="2">
        <v>99</v>
      </c>
      <c r="J54" s="2">
        <v>100</v>
      </c>
      <c r="K54" s="2">
        <v>100</v>
      </c>
      <c r="L54" s="2">
        <v>97</v>
      </c>
      <c r="M54" s="2">
        <v>72</v>
      </c>
      <c r="N54" s="2">
        <v>60</v>
      </c>
      <c r="O54" s="2">
        <v>52</v>
      </c>
      <c r="P54" s="2">
        <v>45</v>
      </c>
      <c r="Q54" s="2">
        <v>43</v>
      </c>
      <c r="R54" s="2">
        <v>41</v>
      </c>
      <c r="S54" s="2">
        <v>37</v>
      </c>
      <c r="T54" s="2">
        <v>37</v>
      </c>
      <c r="U54" s="2">
        <v>45</v>
      </c>
      <c r="V54" s="2">
        <v>53</v>
      </c>
      <c r="W54" s="2">
        <v>67</v>
      </c>
      <c r="X54" s="2">
        <v>72</v>
      </c>
      <c r="Y54" s="2">
        <v>72</v>
      </c>
      <c r="Z54" s="2">
        <v>79</v>
      </c>
      <c r="AA54" s="2">
        <v>78</v>
      </c>
      <c r="AC54" s="3">
        <f t="shared" si="0"/>
        <v>71.166666666666671</v>
      </c>
    </row>
    <row r="55" spans="2:29" x14ac:dyDescent="0.25">
      <c r="B55" s="4">
        <v>42420</v>
      </c>
      <c r="C55" s="3">
        <v>51</v>
      </c>
      <c r="D55" s="2">
        <v>75</v>
      </c>
      <c r="E55" s="2">
        <v>78</v>
      </c>
      <c r="F55" s="2">
        <v>91</v>
      </c>
      <c r="G55" s="2">
        <v>88</v>
      </c>
      <c r="H55" s="2">
        <v>95</v>
      </c>
      <c r="I55" s="2">
        <v>96</v>
      </c>
      <c r="J55" s="2">
        <v>95</v>
      </c>
      <c r="K55" s="2">
        <v>96</v>
      </c>
      <c r="L55" s="2">
        <v>89</v>
      </c>
      <c r="M55" s="2">
        <v>66</v>
      </c>
      <c r="N55" s="2">
        <v>48</v>
      </c>
      <c r="O55" s="2">
        <v>44</v>
      </c>
      <c r="P55" s="2">
        <v>39</v>
      </c>
      <c r="Q55" s="2">
        <v>46</v>
      </c>
      <c r="R55" s="2">
        <v>28</v>
      </c>
      <c r="S55" s="2">
        <v>35</v>
      </c>
      <c r="T55" s="2">
        <v>39</v>
      </c>
      <c r="U55" s="2">
        <v>38</v>
      </c>
      <c r="V55" s="2">
        <v>49</v>
      </c>
      <c r="W55" s="2">
        <v>79</v>
      </c>
      <c r="X55" s="2">
        <v>95</v>
      </c>
      <c r="Y55" s="2">
        <v>87</v>
      </c>
      <c r="Z55" s="2">
        <v>76</v>
      </c>
      <c r="AA55" s="2">
        <v>72</v>
      </c>
      <c r="AC55" s="3">
        <f t="shared" si="0"/>
        <v>68.5</v>
      </c>
    </row>
    <row r="56" spans="2:29" x14ac:dyDescent="0.25">
      <c r="B56" s="4">
        <v>42421</v>
      </c>
      <c r="C56" s="3">
        <v>52</v>
      </c>
      <c r="D56" s="2">
        <v>72</v>
      </c>
      <c r="E56" s="2">
        <v>73</v>
      </c>
      <c r="F56" s="2">
        <v>77</v>
      </c>
      <c r="G56" s="2">
        <v>78</v>
      </c>
      <c r="H56" s="2">
        <v>83</v>
      </c>
      <c r="I56" s="2">
        <v>81</v>
      </c>
      <c r="J56" s="2">
        <v>89</v>
      </c>
      <c r="K56" s="2">
        <v>85</v>
      </c>
      <c r="L56" s="2">
        <v>64</v>
      </c>
      <c r="M56" s="2">
        <v>51</v>
      </c>
      <c r="N56" s="2">
        <v>42</v>
      </c>
      <c r="O56" s="2">
        <v>35</v>
      </c>
      <c r="P56" s="2">
        <v>31</v>
      </c>
      <c r="Q56" s="2">
        <v>28</v>
      </c>
      <c r="R56" s="2">
        <v>32</v>
      </c>
      <c r="S56" s="2">
        <v>35</v>
      </c>
      <c r="T56" s="2">
        <v>34</v>
      </c>
      <c r="U56" s="2">
        <v>42</v>
      </c>
      <c r="V56" s="2">
        <v>55</v>
      </c>
      <c r="W56" s="2">
        <v>72</v>
      </c>
      <c r="X56" s="2">
        <v>79</v>
      </c>
      <c r="Y56" s="2">
        <v>77</v>
      </c>
      <c r="Z56" s="2">
        <v>83</v>
      </c>
      <c r="AA56" s="2">
        <v>68</v>
      </c>
      <c r="AC56" s="3">
        <f t="shared" si="0"/>
        <v>61.083333333333336</v>
      </c>
    </row>
    <row r="57" spans="2:29" x14ac:dyDescent="0.25">
      <c r="B57" s="4">
        <v>42422</v>
      </c>
      <c r="C57" s="3">
        <v>53</v>
      </c>
      <c r="D57" s="2">
        <v>73</v>
      </c>
      <c r="E57" s="2">
        <v>64</v>
      </c>
      <c r="F57" s="2">
        <v>65</v>
      </c>
      <c r="G57" s="2">
        <v>65</v>
      </c>
      <c r="H57" s="2">
        <v>57</v>
      </c>
      <c r="I57" s="2">
        <v>74</v>
      </c>
      <c r="J57" s="2">
        <v>71</v>
      </c>
      <c r="K57" s="2">
        <v>73</v>
      </c>
      <c r="L57" s="2">
        <v>62</v>
      </c>
      <c r="M57" s="2">
        <v>69</v>
      </c>
      <c r="N57" s="2">
        <v>54</v>
      </c>
      <c r="O57" s="2">
        <v>43</v>
      </c>
      <c r="P57" s="2">
        <v>40</v>
      </c>
      <c r="Q57" s="2">
        <v>41</v>
      </c>
      <c r="R57" s="2">
        <v>41</v>
      </c>
      <c r="S57" s="2">
        <v>39</v>
      </c>
      <c r="T57" s="2">
        <v>39</v>
      </c>
      <c r="U57" s="2">
        <v>42</v>
      </c>
      <c r="V57" s="2">
        <v>45</v>
      </c>
      <c r="W57" s="2">
        <v>47</v>
      </c>
      <c r="X57" s="2">
        <v>57</v>
      </c>
      <c r="Y57" s="2">
        <v>60</v>
      </c>
      <c r="Z57" s="2">
        <v>61</v>
      </c>
      <c r="AA57" s="2">
        <v>57</v>
      </c>
      <c r="AC57" s="3">
        <f t="shared" si="0"/>
        <v>55.791666666666664</v>
      </c>
    </row>
    <row r="58" spans="2:29" x14ac:dyDescent="0.25">
      <c r="B58" s="4">
        <v>42423</v>
      </c>
      <c r="C58" s="3">
        <v>54</v>
      </c>
      <c r="D58" s="2">
        <v>60</v>
      </c>
      <c r="E58" s="2">
        <v>71</v>
      </c>
      <c r="F58" s="2">
        <v>83</v>
      </c>
      <c r="G58" s="2">
        <v>79</v>
      </c>
      <c r="H58" s="2">
        <v>81</v>
      </c>
      <c r="I58" s="2">
        <v>83</v>
      </c>
      <c r="J58" s="2">
        <v>70</v>
      </c>
      <c r="K58" s="2">
        <v>70</v>
      </c>
      <c r="L58" s="2">
        <v>66</v>
      </c>
      <c r="M58" s="2">
        <v>53</v>
      </c>
      <c r="N58" s="2">
        <v>44</v>
      </c>
      <c r="O58" s="2">
        <v>37</v>
      </c>
      <c r="P58" s="2">
        <v>38</v>
      </c>
      <c r="Q58" s="2">
        <v>39</v>
      </c>
      <c r="R58" s="2">
        <v>40</v>
      </c>
      <c r="S58" s="2">
        <v>39</v>
      </c>
      <c r="T58" s="2">
        <v>38</v>
      </c>
      <c r="U58" s="2">
        <v>39</v>
      </c>
      <c r="V58" s="2">
        <v>43</v>
      </c>
      <c r="W58" s="2">
        <v>53</v>
      </c>
      <c r="X58" s="2">
        <v>60</v>
      </c>
      <c r="Y58" s="2">
        <v>50</v>
      </c>
      <c r="Z58" s="2">
        <v>50</v>
      </c>
      <c r="AA58" s="2">
        <v>52</v>
      </c>
      <c r="AC58" s="3">
        <f t="shared" si="0"/>
        <v>55.75</v>
      </c>
    </row>
    <row r="59" spans="2:29" x14ac:dyDescent="0.25">
      <c r="B59" s="4">
        <v>42424</v>
      </c>
      <c r="C59" s="3">
        <v>55</v>
      </c>
      <c r="D59" s="2">
        <v>57</v>
      </c>
      <c r="E59" s="2">
        <v>57</v>
      </c>
      <c r="F59" s="2">
        <v>59</v>
      </c>
      <c r="G59" s="2">
        <v>63</v>
      </c>
      <c r="H59" s="2">
        <v>73</v>
      </c>
      <c r="I59" s="2">
        <v>77</v>
      </c>
      <c r="J59" s="2">
        <v>77</v>
      </c>
      <c r="K59" s="2">
        <v>76</v>
      </c>
      <c r="L59" s="2">
        <v>80</v>
      </c>
      <c r="M59" s="2">
        <v>61</v>
      </c>
      <c r="N59" s="2">
        <v>54</v>
      </c>
      <c r="O59" s="2">
        <v>47</v>
      </c>
      <c r="P59" s="2">
        <v>50</v>
      </c>
      <c r="Q59" s="2">
        <v>50</v>
      </c>
      <c r="R59" s="2">
        <v>51</v>
      </c>
      <c r="S59" s="2">
        <v>46</v>
      </c>
      <c r="T59" s="2">
        <v>47</v>
      </c>
      <c r="U59" s="2">
        <v>56</v>
      </c>
      <c r="V59" s="2">
        <v>72</v>
      </c>
      <c r="W59" s="2">
        <v>88</v>
      </c>
      <c r="X59" s="2">
        <v>100</v>
      </c>
      <c r="Y59" s="2">
        <v>97</v>
      </c>
      <c r="Z59" s="2">
        <v>98</v>
      </c>
      <c r="AA59" s="2">
        <v>96</v>
      </c>
      <c r="AC59" s="3">
        <f t="shared" si="0"/>
        <v>68</v>
      </c>
    </row>
    <row r="60" spans="2:29" x14ac:dyDescent="0.25">
      <c r="B60" s="4">
        <v>42425</v>
      </c>
      <c r="C60" s="3">
        <v>56</v>
      </c>
      <c r="D60" s="2">
        <v>96</v>
      </c>
      <c r="E60" s="2">
        <v>69</v>
      </c>
      <c r="F60" s="2">
        <v>79</v>
      </c>
      <c r="G60" s="2">
        <v>58</v>
      </c>
      <c r="H60" s="2">
        <v>54</v>
      </c>
      <c r="I60" s="2">
        <v>54</v>
      </c>
      <c r="J60" s="2">
        <v>57</v>
      </c>
      <c r="K60" s="2">
        <v>60</v>
      </c>
      <c r="L60" s="2">
        <v>60</v>
      </c>
      <c r="M60" s="2">
        <v>57</v>
      </c>
      <c r="N60" s="2">
        <v>53</v>
      </c>
      <c r="O60" s="2">
        <v>53</v>
      </c>
      <c r="P60" s="2">
        <v>53</v>
      </c>
      <c r="Q60" s="2">
        <v>46</v>
      </c>
      <c r="R60" s="2">
        <v>41</v>
      </c>
      <c r="S60" s="2">
        <v>39</v>
      </c>
      <c r="T60" s="2">
        <v>37</v>
      </c>
      <c r="U60" s="2">
        <v>39</v>
      </c>
      <c r="V60" s="2">
        <v>40</v>
      </c>
      <c r="W60" s="2">
        <v>45</v>
      </c>
      <c r="X60" s="2">
        <v>45</v>
      </c>
      <c r="Y60" s="2">
        <v>53</v>
      </c>
      <c r="Z60" s="2">
        <v>50</v>
      </c>
      <c r="AA60" s="2">
        <v>45</v>
      </c>
      <c r="AC60" s="3">
        <f t="shared" si="0"/>
        <v>53.458333333333336</v>
      </c>
    </row>
    <row r="61" spans="2:29" x14ac:dyDescent="0.25">
      <c r="B61" s="4">
        <v>42426</v>
      </c>
      <c r="C61" s="3">
        <v>57</v>
      </c>
      <c r="D61" s="2">
        <v>47</v>
      </c>
      <c r="E61" s="2">
        <v>49</v>
      </c>
      <c r="F61" s="2">
        <v>51</v>
      </c>
      <c r="G61" s="2">
        <v>59</v>
      </c>
      <c r="H61" s="2">
        <v>59</v>
      </c>
      <c r="I61" s="2">
        <v>72</v>
      </c>
      <c r="J61" s="2">
        <v>68</v>
      </c>
      <c r="K61" s="2">
        <v>84</v>
      </c>
      <c r="L61" s="2">
        <v>78</v>
      </c>
      <c r="M61" s="2">
        <v>68</v>
      </c>
      <c r="N61" s="2">
        <v>57</v>
      </c>
      <c r="O61" s="2">
        <v>54</v>
      </c>
      <c r="P61" s="2">
        <v>49</v>
      </c>
      <c r="Q61" s="2">
        <v>48</v>
      </c>
      <c r="R61" s="2">
        <v>50</v>
      </c>
      <c r="S61" s="2">
        <v>52</v>
      </c>
      <c r="T61" s="2">
        <v>56</v>
      </c>
      <c r="U61" s="2">
        <v>62</v>
      </c>
      <c r="V61" s="2">
        <v>70</v>
      </c>
      <c r="W61" s="2">
        <v>80</v>
      </c>
      <c r="X61" s="2">
        <v>79</v>
      </c>
      <c r="Y61" s="2">
        <v>78</v>
      </c>
      <c r="Z61" s="2">
        <v>77</v>
      </c>
      <c r="AA61" s="2">
        <v>87</v>
      </c>
      <c r="AC61" s="3">
        <f t="shared" si="0"/>
        <v>63.916666666666664</v>
      </c>
    </row>
    <row r="62" spans="2:29" x14ac:dyDescent="0.25">
      <c r="B62" s="4">
        <v>42427</v>
      </c>
      <c r="C62" s="3">
        <v>58</v>
      </c>
      <c r="D62" s="2">
        <v>89</v>
      </c>
      <c r="E62" s="2">
        <v>96</v>
      </c>
      <c r="F62" s="2">
        <v>98</v>
      </c>
      <c r="G62" s="2">
        <v>95</v>
      </c>
      <c r="H62" s="2">
        <v>99</v>
      </c>
      <c r="I62" s="2">
        <v>100</v>
      </c>
      <c r="J62" s="2">
        <v>97</v>
      </c>
      <c r="K62" s="2">
        <v>96</v>
      </c>
      <c r="L62" s="2">
        <v>98</v>
      </c>
      <c r="M62" s="2">
        <v>89</v>
      </c>
      <c r="N62" s="2">
        <v>76</v>
      </c>
      <c r="O62" s="2">
        <v>72</v>
      </c>
      <c r="P62" s="2">
        <v>82</v>
      </c>
      <c r="Q62" s="2">
        <v>74</v>
      </c>
      <c r="R62" s="2">
        <v>76</v>
      </c>
      <c r="S62" s="2">
        <v>80</v>
      </c>
      <c r="T62" s="2">
        <v>70</v>
      </c>
      <c r="U62" s="2">
        <v>91</v>
      </c>
      <c r="V62" s="2">
        <v>87</v>
      </c>
      <c r="W62" s="2">
        <v>74</v>
      </c>
      <c r="X62" s="2">
        <v>74</v>
      </c>
      <c r="Y62" s="2">
        <v>74</v>
      </c>
      <c r="Z62" s="2">
        <v>84</v>
      </c>
      <c r="AA62" s="2">
        <v>97</v>
      </c>
      <c r="AC62" s="3">
        <f t="shared" si="0"/>
        <v>86.166666666666671</v>
      </c>
    </row>
    <row r="63" spans="2:29" x14ac:dyDescent="0.25">
      <c r="B63" s="4">
        <v>42428</v>
      </c>
      <c r="C63" s="3">
        <v>59</v>
      </c>
      <c r="D63" s="2">
        <v>94</v>
      </c>
      <c r="E63" s="2">
        <v>93</v>
      </c>
      <c r="F63" s="2">
        <v>75</v>
      </c>
      <c r="G63" s="2">
        <v>68</v>
      </c>
      <c r="H63" s="2">
        <v>65</v>
      </c>
      <c r="I63" s="2">
        <v>63</v>
      </c>
      <c r="J63" s="2">
        <v>76</v>
      </c>
      <c r="K63" s="2">
        <v>64</v>
      </c>
      <c r="L63" s="2">
        <v>63</v>
      </c>
      <c r="M63" s="2">
        <v>61</v>
      </c>
      <c r="N63" s="2">
        <v>58</v>
      </c>
      <c r="O63" s="2">
        <v>57</v>
      </c>
      <c r="P63" s="2">
        <v>57</v>
      </c>
      <c r="Q63" s="2">
        <v>53</v>
      </c>
      <c r="R63" s="2">
        <v>53</v>
      </c>
      <c r="S63" s="2">
        <v>68</v>
      </c>
      <c r="T63" s="2">
        <v>62</v>
      </c>
      <c r="U63" s="2">
        <v>64</v>
      </c>
      <c r="V63" s="2">
        <v>69</v>
      </c>
      <c r="W63" s="2">
        <v>73</v>
      </c>
      <c r="X63" s="2">
        <v>86</v>
      </c>
      <c r="Y63" s="2">
        <v>96</v>
      </c>
      <c r="Z63" s="2">
        <v>95</v>
      </c>
      <c r="AA63" s="2">
        <v>56</v>
      </c>
      <c r="AC63" s="3">
        <f t="shared" si="0"/>
        <v>69.541666666666671</v>
      </c>
    </row>
    <row r="64" spans="2:29" x14ac:dyDescent="0.25">
      <c r="B64" s="4">
        <v>42429</v>
      </c>
      <c r="C64" s="3">
        <v>60</v>
      </c>
      <c r="D64" s="2">
        <v>51</v>
      </c>
      <c r="E64" s="2">
        <v>51</v>
      </c>
      <c r="F64" s="2">
        <v>55</v>
      </c>
      <c r="G64" s="2">
        <v>55</v>
      </c>
      <c r="H64" s="2">
        <v>55</v>
      </c>
      <c r="I64" s="2">
        <v>60</v>
      </c>
      <c r="J64" s="2">
        <v>50</v>
      </c>
      <c r="K64" s="2">
        <v>48</v>
      </c>
      <c r="L64" s="2">
        <v>50</v>
      </c>
      <c r="M64" s="2">
        <v>48</v>
      </c>
      <c r="N64" s="2">
        <v>38</v>
      </c>
      <c r="O64" s="2">
        <v>41</v>
      </c>
      <c r="P64" s="2">
        <v>40</v>
      </c>
      <c r="Q64" s="2">
        <v>42</v>
      </c>
      <c r="R64" s="2">
        <v>40</v>
      </c>
      <c r="S64" s="2">
        <v>38</v>
      </c>
      <c r="T64" s="2">
        <v>42</v>
      </c>
      <c r="U64" s="2">
        <v>43</v>
      </c>
      <c r="V64" s="2">
        <v>42</v>
      </c>
      <c r="W64" s="2">
        <v>44</v>
      </c>
      <c r="X64" s="2">
        <v>45</v>
      </c>
      <c r="Y64" s="2">
        <v>45</v>
      </c>
      <c r="Z64" s="2">
        <v>44</v>
      </c>
      <c r="AA64" s="2">
        <v>49</v>
      </c>
      <c r="AC64" s="3">
        <f t="shared" si="0"/>
        <v>46.5</v>
      </c>
    </row>
    <row r="65" spans="2:29" x14ac:dyDescent="0.25">
      <c r="B65" s="4">
        <v>42430</v>
      </c>
      <c r="C65" s="3">
        <v>61</v>
      </c>
      <c r="D65" s="2">
        <v>47</v>
      </c>
      <c r="E65" s="2">
        <v>49</v>
      </c>
      <c r="F65" s="2">
        <v>54</v>
      </c>
      <c r="G65" s="2">
        <v>50</v>
      </c>
      <c r="H65" s="2">
        <v>53</v>
      </c>
      <c r="I65" s="2">
        <v>53</v>
      </c>
      <c r="J65" s="2">
        <v>61</v>
      </c>
      <c r="K65" s="2">
        <v>78</v>
      </c>
      <c r="L65" s="2">
        <v>70</v>
      </c>
      <c r="M65" s="2">
        <v>48</v>
      </c>
      <c r="N65" s="2">
        <v>45</v>
      </c>
      <c r="O65" s="2">
        <v>41</v>
      </c>
      <c r="P65" s="2">
        <v>39</v>
      </c>
      <c r="Q65" s="2">
        <v>38</v>
      </c>
      <c r="R65" s="2">
        <v>37</v>
      </c>
      <c r="S65" s="2">
        <v>36</v>
      </c>
      <c r="T65" s="2">
        <v>37</v>
      </c>
      <c r="U65" s="2">
        <v>36</v>
      </c>
      <c r="V65" s="2">
        <v>42</v>
      </c>
      <c r="W65" s="2">
        <v>47</v>
      </c>
      <c r="X65" s="2">
        <v>54</v>
      </c>
      <c r="Y65" s="2">
        <v>56</v>
      </c>
      <c r="Z65" s="2">
        <v>60</v>
      </c>
      <c r="AA65" s="2">
        <v>69</v>
      </c>
      <c r="AC65" s="3">
        <f t="shared" si="0"/>
        <v>50</v>
      </c>
    </row>
    <row r="66" spans="2:29" x14ac:dyDescent="0.25">
      <c r="B66" s="4">
        <v>42431</v>
      </c>
      <c r="C66" s="3">
        <v>62</v>
      </c>
      <c r="D66" s="2">
        <v>73</v>
      </c>
      <c r="E66" s="2">
        <v>73</v>
      </c>
      <c r="F66" s="2">
        <v>69</v>
      </c>
      <c r="G66" s="2">
        <v>79</v>
      </c>
      <c r="H66" s="2">
        <v>65</v>
      </c>
      <c r="I66" s="2">
        <v>53</v>
      </c>
      <c r="J66" s="2">
        <v>41</v>
      </c>
      <c r="K66" s="2">
        <v>41</v>
      </c>
      <c r="L66" s="2">
        <v>41</v>
      </c>
      <c r="M66" s="2">
        <v>39</v>
      </c>
      <c r="N66" s="2">
        <v>43</v>
      </c>
      <c r="O66" s="2">
        <v>38</v>
      </c>
      <c r="P66" s="2">
        <v>42</v>
      </c>
      <c r="Q66" s="2">
        <v>43</v>
      </c>
      <c r="R66" s="2">
        <v>43</v>
      </c>
      <c r="S66" s="2">
        <v>38</v>
      </c>
      <c r="T66" s="2">
        <v>34</v>
      </c>
      <c r="U66" s="2">
        <v>37</v>
      </c>
      <c r="V66" s="2">
        <v>41</v>
      </c>
      <c r="W66" s="2">
        <v>38</v>
      </c>
      <c r="X66" s="2">
        <v>35</v>
      </c>
      <c r="Y66" s="2">
        <v>32</v>
      </c>
      <c r="Z66" s="2">
        <v>30</v>
      </c>
      <c r="AA66" s="2">
        <v>31</v>
      </c>
      <c r="AC66" s="3">
        <f t="shared" si="0"/>
        <v>45.791666666666664</v>
      </c>
    </row>
    <row r="67" spans="2:29" x14ac:dyDescent="0.25">
      <c r="B67" s="4">
        <v>42432</v>
      </c>
      <c r="C67" s="3">
        <v>63</v>
      </c>
      <c r="D67" s="2">
        <v>37</v>
      </c>
      <c r="E67" s="2">
        <v>36</v>
      </c>
      <c r="F67" s="2">
        <v>37</v>
      </c>
      <c r="G67" s="2">
        <v>40</v>
      </c>
      <c r="H67" s="2">
        <v>41</v>
      </c>
      <c r="I67" s="2">
        <v>42</v>
      </c>
      <c r="J67" s="2">
        <v>43</v>
      </c>
      <c r="K67" s="2">
        <v>46</v>
      </c>
      <c r="L67" s="2">
        <v>50</v>
      </c>
      <c r="M67" s="2">
        <v>51</v>
      </c>
      <c r="N67" s="2">
        <v>48</v>
      </c>
      <c r="O67" s="2">
        <v>43</v>
      </c>
      <c r="P67" s="2">
        <v>41</v>
      </c>
      <c r="Q67" s="2">
        <v>37</v>
      </c>
      <c r="R67" s="2">
        <v>36</v>
      </c>
      <c r="S67" s="2">
        <v>36</v>
      </c>
      <c r="T67" s="2">
        <v>37</v>
      </c>
      <c r="U67" s="2">
        <v>37</v>
      </c>
      <c r="V67" s="2">
        <v>40</v>
      </c>
      <c r="W67" s="2">
        <v>45</v>
      </c>
      <c r="X67" s="2">
        <v>46</v>
      </c>
      <c r="Y67" s="2">
        <v>50</v>
      </c>
      <c r="Z67" s="2">
        <v>55</v>
      </c>
      <c r="AA67" s="2">
        <v>55</v>
      </c>
      <c r="AC67" s="3">
        <f t="shared" si="0"/>
        <v>42.875</v>
      </c>
    </row>
    <row r="68" spans="2:29" x14ac:dyDescent="0.25">
      <c r="B68" s="4">
        <v>42433</v>
      </c>
      <c r="C68" s="3">
        <v>64</v>
      </c>
      <c r="D68" s="2">
        <v>53</v>
      </c>
      <c r="E68" s="2">
        <v>57</v>
      </c>
      <c r="F68" s="2">
        <v>65</v>
      </c>
      <c r="G68" s="2">
        <v>72</v>
      </c>
      <c r="H68" s="2">
        <v>77</v>
      </c>
      <c r="I68" s="2">
        <v>84</v>
      </c>
      <c r="J68" s="2">
        <v>77</v>
      </c>
      <c r="K68" s="2">
        <v>82</v>
      </c>
      <c r="L68" s="2">
        <v>77</v>
      </c>
      <c r="M68" s="2">
        <v>65</v>
      </c>
      <c r="N68" s="2">
        <v>55</v>
      </c>
      <c r="O68" s="2">
        <v>57</v>
      </c>
      <c r="P68" s="2">
        <v>58</v>
      </c>
      <c r="Q68" s="2">
        <v>49</v>
      </c>
      <c r="R68" s="2">
        <v>50</v>
      </c>
      <c r="S68" s="2">
        <v>57</v>
      </c>
      <c r="T68" s="2">
        <v>58</v>
      </c>
      <c r="U68" s="2">
        <v>67</v>
      </c>
      <c r="V68" s="2">
        <v>72</v>
      </c>
      <c r="W68" s="2">
        <v>79</v>
      </c>
      <c r="X68" s="2">
        <v>92</v>
      </c>
      <c r="Y68" s="2">
        <v>100</v>
      </c>
      <c r="Z68" s="2">
        <v>99</v>
      </c>
      <c r="AA68" s="2">
        <v>97</v>
      </c>
      <c r="AC68" s="3">
        <f t="shared" si="0"/>
        <v>70.791666666666671</v>
      </c>
    </row>
    <row r="69" spans="2:29" x14ac:dyDescent="0.25">
      <c r="B69" s="4">
        <v>42434</v>
      </c>
      <c r="C69" s="3">
        <v>65</v>
      </c>
      <c r="D69" s="2">
        <v>66</v>
      </c>
      <c r="E69" s="2">
        <v>58</v>
      </c>
      <c r="F69" s="2">
        <v>54</v>
      </c>
      <c r="G69" s="2">
        <v>47</v>
      </c>
      <c r="H69" s="2">
        <v>49</v>
      </c>
      <c r="I69" s="2">
        <v>46</v>
      </c>
      <c r="J69" s="2">
        <v>56</v>
      </c>
      <c r="K69" s="2">
        <v>54</v>
      </c>
      <c r="L69" s="2">
        <v>49</v>
      </c>
      <c r="M69" s="2">
        <v>45</v>
      </c>
      <c r="N69" s="2">
        <v>40</v>
      </c>
      <c r="O69" s="2">
        <v>40</v>
      </c>
      <c r="P69" s="2">
        <v>38</v>
      </c>
      <c r="Q69" s="2">
        <v>37</v>
      </c>
      <c r="R69" s="2">
        <v>37</v>
      </c>
      <c r="S69" s="2">
        <v>35</v>
      </c>
      <c r="T69" s="2">
        <v>35</v>
      </c>
      <c r="U69" s="2">
        <v>37</v>
      </c>
      <c r="V69" s="2">
        <v>39</v>
      </c>
      <c r="W69" s="2">
        <v>44</v>
      </c>
      <c r="X69" s="2">
        <v>46</v>
      </c>
      <c r="Y69" s="2">
        <v>46</v>
      </c>
      <c r="Z69" s="2">
        <v>46</v>
      </c>
      <c r="AA69" s="2">
        <v>47</v>
      </c>
      <c r="AC69" s="3">
        <f t="shared" si="0"/>
        <v>45.458333333333336</v>
      </c>
    </row>
    <row r="70" spans="2:29" x14ac:dyDescent="0.25">
      <c r="B70" s="4">
        <v>42435</v>
      </c>
      <c r="C70" s="3">
        <v>66</v>
      </c>
      <c r="D70" s="2">
        <v>46</v>
      </c>
      <c r="E70" s="2">
        <v>49</v>
      </c>
      <c r="F70" s="2">
        <v>51</v>
      </c>
      <c r="G70" s="2">
        <v>52</v>
      </c>
      <c r="H70" s="2">
        <v>55</v>
      </c>
      <c r="I70" s="2">
        <v>60</v>
      </c>
      <c r="J70" s="2">
        <v>56</v>
      </c>
      <c r="K70" s="2">
        <v>60</v>
      </c>
      <c r="L70" s="2">
        <v>53</v>
      </c>
      <c r="M70" s="2">
        <v>48</v>
      </c>
      <c r="N70" s="2">
        <v>45</v>
      </c>
      <c r="O70" s="2">
        <v>44</v>
      </c>
      <c r="P70" s="2">
        <v>40</v>
      </c>
      <c r="Q70" s="2">
        <v>32</v>
      </c>
      <c r="R70" s="2">
        <v>28</v>
      </c>
      <c r="S70" s="2">
        <v>28</v>
      </c>
      <c r="T70" s="2">
        <v>25</v>
      </c>
      <c r="U70" s="2">
        <v>30</v>
      </c>
      <c r="V70" s="2">
        <v>38</v>
      </c>
      <c r="W70" s="2">
        <v>43</v>
      </c>
      <c r="X70" s="2">
        <v>45</v>
      </c>
      <c r="Y70" s="2">
        <v>46</v>
      </c>
      <c r="Z70" s="2">
        <v>47</v>
      </c>
      <c r="AA70" s="2">
        <v>48</v>
      </c>
      <c r="AC70" s="3">
        <f t="shared" ref="AC70:AC133" si="1">(SUM((D70:AA70))/24)</f>
        <v>44.541666666666664</v>
      </c>
    </row>
    <row r="71" spans="2:29" x14ac:dyDescent="0.25">
      <c r="B71" s="4">
        <v>42436</v>
      </c>
      <c r="C71" s="3">
        <v>67</v>
      </c>
      <c r="D71" s="2">
        <v>47</v>
      </c>
      <c r="E71" s="2">
        <v>47</v>
      </c>
      <c r="F71" s="2">
        <v>51</v>
      </c>
      <c r="G71" s="2">
        <v>55</v>
      </c>
      <c r="H71" s="2">
        <v>56</v>
      </c>
      <c r="I71" s="2">
        <v>57</v>
      </c>
      <c r="J71" s="2">
        <v>59</v>
      </c>
      <c r="K71" s="2">
        <v>64</v>
      </c>
      <c r="L71" s="2">
        <v>64</v>
      </c>
      <c r="M71" s="2">
        <v>56</v>
      </c>
      <c r="N71" s="2">
        <v>48</v>
      </c>
      <c r="O71" s="2">
        <v>45</v>
      </c>
      <c r="P71" s="2">
        <v>46</v>
      </c>
      <c r="Q71" s="2">
        <v>48</v>
      </c>
      <c r="R71" s="2">
        <v>50</v>
      </c>
      <c r="S71" s="2">
        <v>48</v>
      </c>
      <c r="T71" s="2">
        <v>47</v>
      </c>
      <c r="U71" s="2">
        <v>41</v>
      </c>
      <c r="V71" s="2">
        <v>45</v>
      </c>
      <c r="W71" s="2">
        <v>56</v>
      </c>
      <c r="X71" s="2">
        <v>74</v>
      </c>
      <c r="Y71" s="2">
        <v>84</v>
      </c>
      <c r="Z71" s="2">
        <v>83</v>
      </c>
      <c r="AA71" s="2">
        <v>87</v>
      </c>
      <c r="AC71" s="3">
        <f t="shared" si="1"/>
        <v>56.583333333333336</v>
      </c>
    </row>
    <row r="72" spans="2:29" x14ac:dyDescent="0.25">
      <c r="B72" s="4">
        <v>42437</v>
      </c>
      <c r="C72" s="3">
        <v>68</v>
      </c>
      <c r="D72" s="2">
        <v>82</v>
      </c>
      <c r="E72" s="2">
        <v>82</v>
      </c>
      <c r="F72" s="2">
        <v>80</v>
      </c>
      <c r="G72" s="2">
        <v>66</v>
      </c>
      <c r="H72" s="2">
        <v>68</v>
      </c>
      <c r="I72" s="2">
        <v>61</v>
      </c>
      <c r="J72" s="2">
        <v>70</v>
      </c>
      <c r="K72" s="2">
        <v>88</v>
      </c>
      <c r="L72" s="2">
        <v>91</v>
      </c>
      <c r="M72" s="2">
        <v>72</v>
      </c>
      <c r="N72" s="2">
        <v>54</v>
      </c>
      <c r="O72" s="2">
        <v>53</v>
      </c>
      <c r="P72" s="2">
        <v>44</v>
      </c>
      <c r="Q72" s="2">
        <v>37</v>
      </c>
      <c r="R72" s="2">
        <v>20</v>
      </c>
      <c r="S72" s="2">
        <v>20</v>
      </c>
      <c r="T72" s="2">
        <v>20</v>
      </c>
      <c r="U72" s="2">
        <v>19</v>
      </c>
      <c r="V72" s="2">
        <v>22</v>
      </c>
      <c r="W72" s="2">
        <v>33</v>
      </c>
      <c r="X72" s="2">
        <v>34</v>
      </c>
      <c r="Y72" s="2">
        <v>37</v>
      </c>
      <c r="Z72" s="2">
        <v>42</v>
      </c>
      <c r="AA72" s="2">
        <v>44</v>
      </c>
      <c r="AC72" s="3">
        <f t="shared" si="1"/>
        <v>51.625</v>
      </c>
    </row>
    <row r="73" spans="2:29" x14ac:dyDescent="0.25">
      <c r="B73" s="4">
        <v>42438</v>
      </c>
      <c r="C73" s="3">
        <v>69</v>
      </c>
      <c r="D73" s="2">
        <v>45</v>
      </c>
      <c r="E73" s="2">
        <v>47</v>
      </c>
      <c r="F73" s="2">
        <v>56</v>
      </c>
      <c r="G73" s="2">
        <v>65</v>
      </c>
      <c r="H73" s="2">
        <v>69</v>
      </c>
      <c r="I73" s="2">
        <v>71</v>
      </c>
      <c r="J73" s="2">
        <v>75</v>
      </c>
      <c r="K73" s="2">
        <v>76</v>
      </c>
      <c r="L73" s="2">
        <v>70</v>
      </c>
      <c r="M73" s="2">
        <v>65</v>
      </c>
      <c r="N73" s="2">
        <v>64</v>
      </c>
      <c r="O73" s="2">
        <v>60</v>
      </c>
      <c r="P73" s="2">
        <v>55</v>
      </c>
      <c r="Q73" s="2">
        <v>65</v>
      </c>
      <c r="R73" s="2">
        <v>79</v>
      </c>
      <c r="S73" s="2">
        <v>74</v>
      </c>
      <c r="T73" s="2">
        <v>60</v>
      </c>
      <c r="U73" s="2">
        <v>47</v>
      </c>
      <c r="V73" s="2">
        <v>46</v>
      </c>
      <c r="W73" s="2">
        <v>47</v>
      </c>
      <c r="X73" s="2">
        <v>48</v>
      </c>
      <c r="Y73" s="2">
        <v>46</v>
      </c>
      <c r="Z73" s="2">
        <v>50</v>
      </c>
      <c r="AA73" s="2">
        <v>52</v>
      </c>
      <c r="AC73" s="3">
        <f t="shared" si="1"/>
        <v>59.666666666666664</v>
      </c>
    </row>
    <row r="74" spans="2:29" x14ac:dyDescent="0.25">
      <c r="B74" s="4">
        <v>42439</v>
      </c>
      <c r="C74" s="3">
        <v>70</v>
      </c>
      <c r="D74" s="2">
        <v>55</v>
      </c>
      <c r="E74" s="2">
        <v>57</v>
      </c>
      <c r="F74" s="2">
        <v>57</v>
      </c>
      <c r="G74" s="2">
        <v>52</v>
      </c>
      <c r="H74" s="2">
        <v>54</v>
      </c>
      <c r="I74" s="2">
        <v>55</v>
      </c>
      <c r="J74" s="2">
        <v>54</v>
      </c>
      <c r="K74" s="2">
        <v>58</v>
      </c>
      <c r="L74" s="2">
        <v>53</v>
      </c>
      <c r="M74" s="2">
        <v>47</v>
      </c>
      <c r="N74" s="2">
        <v>42</v>
      </c>
      <c r="O74" s="2">
        <v>34</v>
      </c>
      <c r="P74" s="2">
        <v>24</v>
      </c>
      <c r="Q74" s="2">
        <v>23</v>
      </c>
      <c r="R74" s="2">
        <v>27</v>
      </c>
      <c r="S74" s="2">
        <v>24</v>
      </c>
      <c r="T74" s="2">
        <v>21</v>
      </c>
      <c r="U74" s="2">
        <v>24</v>
      </c>
      <c r="V74" s="2">
        <v>27</v>
      </c>
      <c r="W74" s="2">
        <v>42</v>
      </c>
      <c r="X74" s="2">
        <v>74</v>
      </c>
      <c r="Y74" s="2">
        <v>73</v>
      </c>
      <c r="Z74" s="2">
        <v>62</v>
      </c>
      <c r="AA74" s="2">
        <v>66</v>
      </c>
      <c r="AC74" s="3">
        <f t="shared" si="1"/>
        <v>46.041666666666664</v>
      </c>
    </row>
    <row r="75" spans="2:29" x14ac:dyDescent="0.25">
      <c r="B75" s="4">
        <v>42440</v>
      </c>
      <c r="C75" s="3">
        <v>71</v>
      </c>
      <c r="D75" s="2">
        <v>72</v>
      </c>
      <c r="E75" s="2">
        <v>76</v>
      </c>
      <c r="F75" s="2">
        <v>74</v>
      </c>
      <c r="G75" s="2">
        <v>90</v>
      </c>
      <c r="H75" s="2">
        <v>78</v>
      </c>
      <c r="I75" s="2">
        <v>70</v>
      </c>
      <c r="J75" s="2">
        <v>87</v>
      </c>
      <c r="K75" s="2">
        <v>87</v>
      </c>
      <c r="L75" s="2">
        <v>68</v>
      </c>
      <c r="M75" s="2">
        <v>55</v>
      </c>
      <c r="N75" s="2">
        <v>47</v>
      </c>
      <c r="O75" s="2">
        <v>44</v>
      </c>
      <c r="P75" s="2">
        <v>40</v>
      </c>
      <c r="Q75" s="2">
        <v>36</v>
      </c>
      <c r="R75" s="2">
        <v>35</v>
      </c>
      <c r="S75" s="2">
        <v>34</v>
      </c>
      <c r="T75" s="2">
        <v>33</v>
      </c>
      <c r="U75" s="2">
        <v>33</v>
      </c>
      <c r="V75" s="2">
        <v>34</v>
      </c>
      <c r="W75" s="2">
        <v>38</v>
      </c>
      <c r="X75" s="2">
        <v>71</v>
      </c>
      <c r="Y75" s="2">
        <v>73</v>
      </c>
      <c r="Z75" s="2">
        <v>60</v>
      </c>
      <c r="AA75" s="2">
        <v>54</v>
      </c>
      <c r="AC75" s="3">
        <f t="shared" si="1"/>
        <v>57.875</v>
      </c>
    </row>
    <row r="76" spans="2:29" x14ac:dyDescent="0.25">
      <c r="B76" s="4">
        <v>42441</v>
      </c>
      <c r="C76" s="3">
        <v>72</v>
      </c>
      <c r="D76" s="2">
        <v>57</v>
      </c>
      <c r="E76" s="2">
        <v>58</v>
      </c>
      <c r="F76" s="2">
        <v>58</v>
      </c>
      <c r="G76" s="2">
        <v>65</v>
      </c>
      <c r="H76" s="2">
        <v>69</v>
      </c>
      <c r="I76" s="2">
        <v>83</v>
      </c>
      <c r="J76" s="2">
        <v>94</v>
      </c>
      <c r="K76" s="2">
        <v>80</v>
      </c>
      <c r="L76" s="2">
        <v>70</v>
      </c>
      <c r="M76" s="2">
        <v>57</v>
      </c>
      <c r="N76" s="2">
        <v>48</v>
      </c>
      <c r="O76" s="2">
        <v>46</v>
      </c>
      <c r="P76" s="2">
        <v>40</v>
      </c>
      <c r="Q76" s="2">
        <v>39</v>
      </c>
      <c r="R76" s="2">
        <v>36</v>
      </c>
      <c r="S76" s="2">
        <v>33</v>
      </c>
      <c r="T76" s="2">
        <v>32</v>
      </c>
      <c r="U76" s="2">
        <v>32</v>
      </c>
      <c r="V76" s="2">
        <v>40</v>
      </c>
      <c r="W76" s="2">
        <v>65</v>
      </c>
      <c r="X76" s="2">
        <v>71</v>
      </c>
      <c r="Y76" s="2">
        <v>78</v>
      </c>
      <c r="Z76" s="2">
        <v>77</v>
      </c>
      <c r="AA76" s="2">
        <v>83</v>
      </c>
      <c r="AC76" s="3">
        <f t="shared" si="1"/>
        <v>58.791666666666664</v>
      </c>
    </row>
    <row r="77" spans="2:29" x14ac:dyDescent="0.25">
      <c r="B77" s="4">
        <v>42442</v>
      </c>
      <c r="C77" s="3">
        <v>73</v>
      </c>
      <c r="D77" s="2">
        <v>86</v>
      </c>
      <c r="E77" s="2">
        <v>83</v>
      </c>
      <c r="F77" s="2">
        <v>71</v>
      </c>
      <c r="G77" s="2">
        <v>83</v>
      </c>
      <c r="H77" s="2">
        <v>91</v>
      </c>
      <c r="I77" s="2">
        <v>93</v>
      </c>
      <c r="J77" s="2">
        <v>93</v>
      </c>
      <c r="K77" s="2">
        <v>97</v>
      </c>
      <c r="L77" s="2">
        <v>72</v>
      </c>
      <c r="M77" s="2">
        <v>56</v>
      </c>
      <c r="N77" s="2">
        <v>47</v>
      </c>
      <c r="O77" s="2">
        <v>42</v>
      </c>
      <c r="P77" s="2">
        <v>37</v>
      </c>
      <c r="Q77" s="2">
        <v>35</v>
      </c>
      <c r="R77" s="2">
        <v>34</v>
      </c>
      <c r="S77" s="2">
        <v>34</v>
      </c>
      <c r="T77" s="2">
        <v>44</v>
      </c>
      <c r="U77" s="2">
        <v>54</v>
      </c>
      <c r="V77" s="2">
        <v>56</v>
      </c>
      <c r="W77" s="2">
        <v>71</v>
      </c>
      <c r="X77" s="2">
        <v>67</v>
      </c>
      <c r="Y77" s="2">
        <v>82</v>
      </c>
      <c r="Z77" s="2">
        <v>74</v>
      </c>
      <c r="AA77" s="2">
        <v>72</v>
      </c>
      <c r="AC77" s="3">
        <f t="shared" si="1"/>
        <v>65.583333333333329</v>
      </c>
    </row>
    <row r="78" spans="2:29" x14ac:dyDescent="0.25">
      <c r="B78" s="4">
        <v>42443</v>
      </c>
      <c r="C78" s="3">
        <v>74</v>
      </c>
      <c r="D78" s="2">
        <v>74</v>
      </c>
      <c r="E78" s="2">
        <v>74</v>
      </c>
      <c r="F78" s="2">
        <v>80</v>
      </c>
      <c r="G78" s="2">
        <v>74</v>
      </c>
      <c r="H78" s="2">
        <v>70</v>
      </c>
      <c r="I78" s="2">
        <v>74</v>
      </c>
      <c r="J78" s="2">
        <v>78</v>
      </c>
      <c r="K78" s="2">
        <v>77</v>
      </c>
      <c r="L78" s="2">
        <v>70</v>
      </c>
      <c r="M78" s="2">
        <v>64</v>
      </c>
      <c r="N78" s="2">
        <v>67</v>
      </c>
      <c r="O78" s="2">
        <v>61</v>
      </c>
      <c r="P78" s="2">
        <v>81</v>
      </c>
      <c r="Q78" s="2">
        <v>84</v>
      </c>
      <c r="R78" s="2">
        <v>85</v>
      </c>
      <c r="S78" s="2">
        <v>95</v>
      </c>
      <c r="T78" s="2">
        <v>99</v>
      </c>
      <c r="U78" s="2">
        <v>78</v>
      </c>
      <c r="V78" s="2">
        <v>73</v>
      </c>
      <c r="W78" s="2">
        <v>83</v>
      </c>
      <c r="X78" s="2">
        <v>91</v>
      </c>
      <c r="Y78" s="2">
        <v>93</v>
      </c>
      <c r="Z78" s="2">
        <v>94</v>
      </c>
      <c r="AA78" s="2">
        <v>94</v>
      </c>
      <c r="AC78" s="3">
        <f t="shared" si="1"/>
        <v>79.708333333333329</v>
      </c>
    </row>
    <row r="79" spans="2:29" x14ac:dyDescent="0.25">
      <c r="B79" s="4">
        <v>42444</v>
      </c>
      <c r="C79" s="3">
        <v>75</v>
      </c>
      <c r="D79" s="2">
        <v>90</v>
      </c>
      <c r="E79" s="2">
        <v>89</v>
      </c>
      <c r="F79" s="2">
        <v>100</v>
      </c>
      <c r="G79" s="2">
        <v>90</v>
      </c>
      <c r="H79" s="2">
        <v>87</v>
      </c>
      <c r="I79" s="2">
        <v>80</v>
      </c>
      <c r="J79" s="2">
        <v>85</v>
      </c>
      <c r="K79" s="2">
        <v>98</v>
      </c>
      <c r="L79" s="2">
        <v>100</v>
      </c>
      <c r="M79" s="2">
        <v>100</v>
      </c>
      <c r="N79" s="2">
        <v>100</v>
      </c>
      <c r="O79" s="2">
        <v>100</v>
      </c>
      <c r="P79" s="2">
        <v>100</v>
      </c>
      <c r="Q79" s="2">
        <v>83</v>
      </c>
      <c r="R79" s="2">
        <v>76</v>
      </c>
      <c r="S79" s="2">
        <v>75</v>
      </c>
      <c r="T79" s="2">
        <v>69</v>
      </c>
      <c r="U79" s="2">
        <v>70</v>
      </c>
      <c r="V79" s="2">
        <v>68</v>
      </c>
      <c r="W79" s="2">
        <v>78</v>
      </c>
      <c r="X79" s="2">
        <v>99</v>
      </c>
      <c r="Y79" s="2">
        <v>99</v>
      </c>
      <c r="Z79" s="2">
        <v>95</v>
      </c>
      <c r="AA79" s="2">
        <v>98</v>
      </c>
      <c r="AC79" s="3">
        <f t="shared" si="1"/>
        <v>88.708333333333329</v>
      </c>
    </row>
    <row r="80" spans="2:29" x14ac:dyDescent="0.25">
      <c r="B80" s="4">
        <v>42445</v>
      </c>
      <c r="C80" s="3">
        <v>76</v>
      </c>
      <c r="D80" s="2">
        <v>99</v>
      </c>
      <c r="E80" s="2">
        <v>100</v>
      </c>
      <c r="F80" s="2">
        <v>100</v>
      </c>
      <c r="G80" s="2">
        <v>100</v>
      </c>
      <c r="H80" s="2">
        <v>100</v>
      </c>
      <c r="I80" s="2">
        <v>100</v>
      </c>
      <c r="J80" s="2">
        <v>100</v>
      </c>
      <c r="K80" s="2">
        <v>95</v>
      </c>
      <c r="L80" s="2">
        <v>96</v>
      </c>
      <c r="M80" s="2">
        <v>74</v>
      </c>
      <c r="N80" s="2">
        <v>69</v>
      </c>
      <c r="O80" s="2">
        <v>64</v>
      </c>
      <c r="P80" s="2">
        <v>55</v>
      </c>
      <c r="Q80" s="2">
        <v>58</v>
      </c>
      <c r="R80" s="2">
        <v>55</v>
      </c>
      <c r="S80" s="2">
        <v>52</v>
      </c>
      <c r="T80" s="2">
        <v>49</v>
      </c>
      <c r="U80" s="2">
        <v>55</v>
      </c>
      <c r="V80" s="2">
        <v>57</v>
      </c>
      <c r="W80" s="2">
        <v>74</v>
      </c>
      <c r="X80" s="2">
        <v>75</v>
      </c>
      <c r="Y80" s="2">
        <v>77</v>
      </c>
      <c r="Z80" s="2">
        <v>88</v>
      </c>
      <c r="AA80" s="2">
        <v>100</v>
      </c>
      <c r="AC80" s="3">
        <f t="shared" si="1"/>
        <v>78.833333333333329</v>
      </c>
    </row>
    <row r="81" spans="2:29" x14ac:dyDescent="0.25">
      <c r="B81" s="4">
        <v>42446</v>
      </c>
      <c r="C81" s="3">
        <v>77</v>
      </c>
      <c r="D81" s="2">
        <v>100</v>
      </c>
      <c r="E81" s="2">
        <v>100</v>
      </c>
      <c r="F81" s="2">
        <v>100</v>
      </c>
      <c r="G81" s="2">
        <v>91</v>
      </c>
      <c r="H81" s="2">
        <v>85</v>
      </c>
      <c r="I81" s="2">
        <v>91</v>
      </c>
      <c r="J81" s="2">
        <v>89</v>
      </c>
      <c r="K81" s="2">
        <v>97</v>
      </c>
      <c r="L81" s="2">
        <v>98</v>
      </c>
      <c r="M81" s="2">
        <v>91</v>
      </c>
      <c r="N81" s="2">
        <v>64</v>
      </c>
      <c r="O81" s="2">
        <v>59</v>
      </c>
      <c r="P81" s="2">
        <v>55</v>
      </c>
      <c r="Q81" s="2">
        <v>58</v>
      </c>
      <c r="R81" s="2">
        <v>57</v>
      </c>
      <c r="S81" s="2">
        <v>60</v>
      </c>
      <c r="T81" s="2">
        <v>63</v>
      </c>
      <c r="U81" s="2">
        <v>66</v>
      </c>
      <c r="V81" s="2">
        <v>70</v>
      </c>
      <c r="W81" s="2">
        <v>73</v>
      </c>
      <c r="X81" s="2">
        <v>78</v>
      </c>
      <c r="Y81" s="2">
        <v>81</v>
      </c>
      <c r="Z81" s="2">
        <v>89</v>
      </c>
      <c r="AA81" s="2">
        <v>92</v>
      </c>
      <c r="AC81" s="3">
        <f t="shared" si="1"/>
        <v>79.458333333333329</v>
      </c>
    </row>
    <row r="82" spans="2:29" x14ac:dyDescent="0.25">
      <c r="B82" s="4">
        <v>42447</v>
      </c>
      <c r="C82" s="3">
        <v>78</v>
      </c>
      <c r="D82" s="2">
        <v>92</v>
      </c>
      <c r="E82" s="2">
        <v>94</v>
      </c>
      <c r="F82" s="2">
        <v>89</v>
      </c>
      <c r="G82" s="2">
        <v>96</v>
      </c>
      <c r="H82" s="2">
        <v>94</v>
      </c>
      <c r="I82" s="2">
        <v>99</v>
      </c>
      <c r="J82" s="2">
        <v>100</v>
      </c>
      <c r="K82" s="2">
        <v>100</v>
      </c>
      <c r="L82" s="2">
        <v>90</v>
      </c>
      <c r="M82" s="2">
        <v>73</v>
      </c>
      <c r="N82" s="2">
        <v>69</v>
      </c>
      <c r="O82" s="2">
        <v>70</v>
      </c>
      <c r="P82" s="2">
        <v>68</v>
      </c>
      <c r="Q82" s="2">
        <v>71</v>
      </c>
      <c r="R82" s="2">
        <v>75</v>
      </c>
      <c r="S82" s="2">
        <v>70</v>
      </c>
      <c r="T82" s="2">
        <v>71</v>
      </c>
      <c r="U82" s="2">
        <v>73</v>
      </c>
      <c r="V82" s="2">
        <v>77</v>
      </c>
      <c r="W82" s="2">
        <v>80</v>
      </c>
      <c r="X82" s="2">
        <v>86</v>
      </c>
      <c r="Y82" s="2">
        <v>89</v>
      </c>
      <c r="Z82" s="2">
        <v>88</v>
      </c>
      <c r="AA82" s="2">
        <v>90</v>
      </c>
      <c r="AC82" s="3">
        <f t="shared" si="1"/>
        <v>83.5</v>
      </c>
    </row>
    <row r="83" spans="2:29" x14ac:dyDescent="0.25">
      <c r="B83" s="4">
        <v>42448</v>
      </c>
      <c r="C83" s="3">
        <v>79</v>
      </c>
      <c r="D83" s="2">
        <v>96</v>
      </c>
      <c r="E83" s="2">
        <v>99</v>
      </c>
      <c r="F83" s="2">
        <v>100</v>
      </c>
      <c r="G83" s="2">
        <v>100</v>
      </c>
      <c r="H83" s="2">
        <v>100</v>
      </c>
      <c r="I83" s="2">
        <v>100</v>
      </c>
      <c r="J83" s="2">
        <v>100</v>
      </c>
      <c r="K83" s="2">
        <v>100</v>
      </c>
      <c r="L83" s="2">
        <v>100</v>
      </c>
      <c r="M83" s="2">
        <v>100</v>
      </c>
      <c r="N83" s="2">
        <v>100</v>
      </c>
      <c r="O83" s="2">
        <v>100</v>
      </c>
      <c r="P83" s="2">
        <v>100</v>
      </c>
      <c r="Q83" s="2">
        <v>97</v>
      </c>
      <c r="R83" s="2">
        <v>84</v>
      </c>
      <c r="S83" s="2">
        <v>73</v>
      </c>
      <c r="T83" s="2">
        <v>73</v>
      </c>
      <c r="U83" s="2">
        <v>78</v>
      </c>
      <c r="V83" s="2">
        <v>85</v>
      </c>
      <c r="W83" s="2">
        <v>91</v>
      </c>
      <c r="X83" s="2">
        <v>91</v>
      </c>
      <c r="Y83" s="2">
        <v>85</v>
      </c>
      <c r="Z83" s="2">
        <v>98</v>
      </c>
      <c r="AA83" s="2">
        <v>98</v>
      </c>
      <c r="AC83" s="3">
        <f t="shared" si="1"/>
        <v>93.666666666666671</v>
      </c>
    </row>
    <row r="84" spans="2:29" x14ac:dyDescent="0.25">
      <c r="B84" s="4">
        <v>42449</v>
      </c>
      <c r="C84" s="3">
        <v>80</v>
      </c>
      <c r="D84" s="2">
        <v>99</v>
      </c>
      <c r="E84" s="2">
        <v>100</v>
      </c>
      <c r="F84" s="2">
        <v>99</v>
      </c>
      <c r="G84" s="2">
        <v>100</v>
      </c>
      <c r="H84" s="2">
        <v>97</v>
      </c>
      <c r="I84" s="2">
        <v>100</v>
      </c>
      <c r="J84" s="2">
        <v>98</v>
      </c>
      <c r="K84" s="2">
        <v>100</v>
      </c>
      <c r="L84" s="2">
        <v>93</v>
      </c>
      <c r="M84" s="2">
        <v>84</v>
      </c>
      <c r="N84" s="2">
        <v>76</v>
      </c>
      <c r="O84" s="2">
        <v>67</v>
      </c>
      <c r="P84" s="2">
        <v>66</v>
      </c>
      <c r="Q84" s="2">
        <v>63</v>
      </c>
      <c r="R84" s="2">
        <v>63</v>
      </c>
      <c r="S84" s="2">
        <v>68</v>
      </c>
      <c r="T84" s="2">
        <v>69</v>
      </c>
      <c r="U84" s="2">
        <v>68</v>
      </c>
      <c r="V84" s="2">
        <v>74</v>
      </c>
      <c r="W84" s="2">
        <v>88</v>
      </c>
      <c r="X84" s="2">
        <v>100</v>
      </c>
      <c r="Y84" s="2">
        <v>100</v>
      </c>
      <c r="Z84" s="2">
        <v>100</v>
      </c>
      <c r="AA84" s="2">
        <v>100</v>
      </c>
      <c r="AC84" s="3">
        <f t="shared" si="1"/>
        <v>86.333333333333329</v>
      </c>
    </row>
    <row r="85" spans="2:29" x14ac:dyDescent="0.25">
      <c r="B85" s="4">
        <v>42450</v>
      </c>
      <c r="C85" s="3">
        <v>81</v>
      </c>
      <c r="D85" s="2">
        <v>100</v>
      </c>
      <c r="E85" s="2">
        <v>100</v>
      </c>
      <c r="F85" s="2">
        <v>100</v>
      </c>
      <c r="G85" s="2">
        <v>100</v>
      </c>
      <c r="H85" s="2">
        <v>100</v>
      </c>
      <c r="I85" s="2">
        <v>100</v>
      </c>
      <c r="J85" s="2">
        <v>100</v>
      </c>
      <c r="K85" s="2">
        <v>100</v>
      </c>
      <c r="L85" s="2">
        <v>90</v>
      </c>
      <c r="M85" s="2">
        <v>75</v>
      </c>
      <c r="N85" s="2">
        <v>73</v>
      </c>
      <c r="O85" s="2">
        <v>72</v>
      </c>
      <c r="P85" s="2">
        <v>70</v>
      </c>
      <c r="Q85" s="2">
        <v>72</v>
      </c>
      <c r="R85" s="2">
        <v>73</v>
      </c>
      <c r="S85" s="2">
        <v>68</v>
      </c>
      <c r="T85" s="2">
        <v>66</v>
      </c>
      <c r="U85" s="2">
        <v>63</v>
      </c>
      <c r="V85" s="2">
        <v>67</v>
      </c>
      <c r="W85" s="2">
        <v>86</v>
      </c>
      <c r="X85" s="2">
        <v>99</v>
      </c>
      <c r="Y85" s="2">
        <v>100</v>
      </c>
      <c r="Z85" s="2">
        <v>96</v>
      </c>
      <c r="AA85" s="2">
        <v>90</v>
      </c>
      <c r="AC85" s="3">
        <f t="shared" si="1"/>
        <v>85.833333333333329</v>
      </c>
    </row>
    <row r="86" spans="2:29" x14ac:dyDescent="0.25">
      <c r="B86" s="4">
        <v>42451</v>
      </c>
      <c r="C86" s="3">
        <v>82</v>
      </c>
      <c r="D86" s="2">
        <v>90</v>
      </c>
      <c r="E86" s="2">
        <v>87</v>
      </c>
      <c r="F86" s="2">
        <v>84</v>
      </c>
      <c r="G86" s="2">
        <v>93</v>
      </c>
      <c r="H86" s="2">
        <v>90</v>
      </c>
      <c r="I86" s="2">
        <v>92</v>
      </c>
      <c r="J86" s="2">
        <v>100</v>
      </c>
      <c r="K86" s="2">
        <v>100</v>
      </c>
      <c r="L86" s="2">
        <v>90</v>
      </c>
      <c r="M86" s="2">
        <v>73</v>
      </c>
      <c r="N86" s="2">
        <v>63</v>
      </c>
      <c r="O86" s="2">
        <v>52</v>
      </c>
      <c r="P86" s="2">
        <v>51</v>
      </c>
      <c r="Q86" s="2">
        <v>49</v>
      </c>
      <c r="R86" s="2">
        <v>52</v>
      </c>
      <c r="S86" s="2">
        <v>51</v>
      </c>
      <c r="T86" s="2">
        <v>48</v>
      </c>
      <c r="U86" s="2">
        <v>47</v>
      </c>
      <c r="V86" s="2">
        <v>50</v>
      </c>
      <c r="W86" s="2">
        <v>52</v>
      </c>
      <c r="X86" s="2">
        <v>54</v>
      </c>
      <c r="Y86" s="2">
        <v>54</v>
      </c>
      <c r="Z86" s="2">
        <v>54</v>
      </c>
      <c r="AA86" s="2">
        <v>53</v>
      </c>
      <c r="AC86" s="3">
        <f t="shared" si="1"/>
        <v>67.875</v>
      </c>
    </row>
    <row r="87" spans="2:29" x14ac:dyDescent="0.25">
      <c r="B87" s="4">
        <v>42452</v>
      </c>
      <c r="C87" s="3">
        <v>83</v>
      </c>
      <c r="D87" s="2">
        <v>55</v>
      </c>
      <c r="E87" s="2">
        <v>56</v>
      </c>
      <c r="F87" s="2">
        <v>58</v>
      </c>
      <c r="G87" s="2">
        <v>55</v>
      </c>
      <c r="H87" s="2">
        <v>51</v>
      </c>
      <c r="I87" s="2">
        <v>53</v>
      </c>
      <c r="J87" s="2">
        <v>57</v>
      </c>
      <c r="K87" s="2">
        <v>53</v>
      </c>
      <c r="L87" s="2">
        <v>61</v>
      </c>
      <c r="M87" s="2">
        <v>52</v>
      </c>
      <c r="N87" s="2">
        <v>48</v>
      </c>
      <c r="O87" s="2">
        <v>40</v>
      </c>
      <c r="P87" s="2">
        <v>36</v>
      </c>
      <c r="Q87" s="2">
        <v>34</v>
      </c>
      <c r="R87" s="2">
        <v>36</v>
      </c>
      <c r="S87" s="2">
        <v>31</v>
      </c>
      <c r="T87" s="2">
        <v>28</v>
      </c>
      <c r="U87" s="2">
        <v>31</v>
      </c>
      <c r="V87" s="2">
        <v>32</v>
      </c>
      <c r="W87" s="2">
        <v>40</v>
      </c>
      <c r="X87" s="2">
        <v>42</v>
      </c>
      <c r="Y87" s="2">
        <v>34</v>
      </c>
      <c r="Z87" s="2">
        <v>30</v>
      </c>
      <c r="AA87" s="2">
        <v>35</v>
      </c>
      <c r="AC87" s="3">
        <f t="shared" si="1"/>
        <v>43.666666666666664</v>
      </c>
    </row>
    <row r="88" spans="2:29" x14ac:dyDescent="0.25">
      <c r="B88" s="4">
        <v>42453</v>
      </c>
      <c r="C88" s="3">
        <v>84</v>
      </c>
      <c r="D88" s="2">
        <v>35</v>
      </c>
      <c r="E88" s="2">
        <v>57</v>
      </c>
      <c r="F88" s="2">
        <v>64</v>
      </c>
      <c r="G88" s="2">
        <v>51</v>
      </c>
      <c r="H88" s="2">
        <v>44</v>
      </c>
      <c r="I88" s="2">
        <v>54</v>
      </c>
      <c r="J88" s="2">
        <v>56</v>
      </c>
      <c r="K88" s="2">
        <v>64</v>
      </c>
      <c r="L88" s="2">
        <v>53</v>
      </c>
      <c r="M88" s="2">
        <v>53</v>
      </c>
      <c r="N88" s="2">
        <v>46</v>
      </c>
      <c r="O88" s="2">
        <v>43</v>
      </c>
      <c r="P88" s="2">
        <v>39</v>
      </c>
      <c r="Q88" s="2">
        <v>37</v>
      </c>
      <c r="R88" s="2">
        <v>36</v>
      </c>
      <c r="S88" s="2">
        <v>48</v>
      </c>
      <c r="T88" s="2">
        <v>48</v>
      </c>
      <c r="U88" s="2">
        <v>59</v>
      </c>
      <c r="V88" s="2">
        <v>66</v>
      </c>
      <c r="W88" s="2">
        <v>73</v>
      </c>
      <c r="X88" s="2">
        <v>89</v>
      </c>
      <c r="Y88" s="2">
        <v>100</v>
      </c>
      <c r="Z88" s="2">
        <v>100</v>
      </c>
      <c r="AA88" s="2">
        <v>100</v>
      </c>
      <c r="AC88" s="3">
        <f t="shared" si="1"/>
        <v>58.958333333333336</v>
      </c>
    </row>
    <row r="89" spans="2:29" x14ac:dyDescent="0.25">
      <c r="B89" s="4">
        <v>42454</v>
      </c>
      <c r="C89" s="3">
        <v>85</v>
      </c>
      <c r="D89" s="2">
        <v>100</v>
      </c>
      <c r="E89" s="2">
        <v>100</v>
      </c>
      <c r="F89" s="2">
        <v>100</v>
      </c>
      <c r="G89" s="2">
        <v>100</v>
      </c>
      <c r="H89" s="2">
        <v>96</v>
      </c>
      <c r="I89" s="2">
        <v>95</v>
      </c>
      <c r="J89" s="2">
        <v>98</v>
      </c>
      <c r="K89" s="2">
        <v>100</v>
      </c>
      <c r="L89" s="2">
        <v>60</v>
      </c>
      <c r="M89" s="2">
        <v>54</v>
      </c>
      <c r="N89" s="2">
        <v>45</v>
      </c>
      <c r="O89" s="2">
        <v>44</v>
      </c>
      <c r="P89" s="2">
        <v>43</v>
      </c>
      <c r="Q89" s="2">
        <v>47</v>
      </c>
      <c r="R89" s="2">
        <v>54</v>
      </c>
      <c r="S89" s="2">
        <v>60</v>
      </c>
      <c r="T89" s="2">
        <v>63</v>
      </c>
      <c r="U89" s="2">
        <v>74</v>
      </c>
      <c r="V89" s="2">
        <v>77</v>
      </c>
      <c r="W89" s="2">
        <v>76</v>
      </c>
      <c r="X89" s="2">
        <v>82</v>
      </c>
      <c r="Y89" s="2">
        <v>94</v>
      </c>
      <c r="Z89" s="2">
        <v>100</v>
      </c>
      <c r="AA89" s="2">
        <v>100</v>
      </c>
      <c r="AC89" s="3">
        <f t="shared" si="1"/>
        <v>77.583333333333329</v>
      </c>
    </row>
    <row r="90" spans="2:29" x14ac:dyDescent="0.25">
      <c r="B90" s="4">
        <v>42455</v>
      </c>
      <c r="C90" s="3">
        <v>86</v>
      </c>
      <c r="D90" s="2">
        <v>100</v>
      </c>
      <c r="E90" s="2">
        <v>100</v>
      </c>
      <c r="F90" s="2">
        <v>100</v>
      </c>
      <c r="G90" s="2">
        <v>100</v>
      </c>
      <c r="H90" s="2">
        <v>100</v>
      </c>
      <c r="I90" s="2">
        <v>100</v>
      </c>
      <c r="J90" s="2">
        <v>100</v>
      </c>
      <c r="K90" s="2">
        <v>100</v>
      </c>
      <c r="L90" s="2">
        <v>100</v>
      </c>
      <c r="M90" s="2">
        <v>87</v>
      </c>
      <c r="N90" s="2">
        <v>74</v>
      </c>
      <c r="O90" s="2">
        <v>66</v>
      </c>
      <c r="P90" s="2">
        <v>63</v>
      </c>
      <c r="Q90" s="2">
        <v>63</v>
      </c>
      <c r="R90" s="2">
        <v>64</v>
      </c>
      <c r="S90" s="2">
        <v>62</v>
      </c>
      <c r="T90" s="2">
        <v>59</v>
      </c>
      <c r="U90" s="2">
        <v>57</v>
      </c>
      <c r="V90" s="2">
        <v>67</v>
      </c>
      <c r="W90" s="2">
        <v>76</v>
      </c>
      <c r="X90" s="2">
        <v>86</v>
      </c>
      <c r="Y90" s="2">
        <v>88</v>
      </c>
      <c r="Z90" s="2">
        <v>98</v>
      </c>
      <c r="AA90" s="2">
        <v>96</v>
      </c>
      <c r="AC90" s="3">
        <f t="shared" si="1"/>
        <v>83.583333333333329</v>
      </c>
    </row>
    <row r="91" spans="2:29" x14ac:dyDescent="0.25">
      <c r="B91" s="4">
        <v>42456</v>
      </c>
      <c r="C91" s="3">
        <v>87</v>
      </c>
      <c r="D91" s="2">
        <v>95</v>
      </c>
      <c r="E91" s="2">
        <v>100</v>
      </c>
      <c r="G91" s="2">
        <v>100</v>
      </c>
      <c r="H91" s="2">
        <v>100</v>
      </c>
      <c r="I91" s="2">
        <v>100</v>
      </c>
      <c r="J91" s="2">
        <v>86</v>
      </c>
      <c r="K91" s="2">
        <v>82</v>
      </c>
      <c r="L91" s="2">
        <v>58</v>
      </c>
      <c r="M91" s="2">
        <v>55</v>
      </c>
      <c r="N91" s="2">
        <v>60</v>
      </c>
      <c r="O91" s="2">
        <v>49</v>
      </c>
      <c r="P91" s="2">
        <v>44</v>
      </c>
      <c r="Q91" s="2">
        <v>47</v>
      </c>
      <c r="R91" s="2">
        <v>37</v>
      </c>
      <c r="S91" s="2">
        <v>31</v>
      </c>
      <c r="T91" s="2">
        <v>25</v>
      </c>
      <c r="U91" s="2">
        <v>70</v>
      </c>
      <c r="V91" s="2">
        <v>71</v>
      </c>
      <c r="W91" s="2">
        <v>76</v>
      </c>
      <c r="X91" s="2">
        <v>85</v>
      </c>
      <c r="Y91" s="2">
        <v>99</v>
      </c>
      <c r="Z91" s="2">
        <v>100</v>
      </c>
      <c r="AA91" s="2">
        <v>100</v>
      </c>
      <c r="AC91" s="3">
        <f t="shared" si="1"/>
        <v>69.583333333333329</v>
      </c>
    </row>
    <row r="92" spans="2:29" x14ac:dyDescent="0.25">
      <c r="B92" s="4">
        <v>42457</v>
      </c>
      <c r="C92" s="3">
        <v>88</v>
      </c>
      <c r="D92" s="2">
        <v>100</v>
      </c>
      <c r="E92" s="2">
        <v>100</v>
      </c>
      <c r="F92" s="2">
        <v>100</v>
      </c>
      <c r="G92" s="2">
        <v>100</v>
      </c>
      <c r="H92" s="2">
        <v>100</v>
      </c>
      <c r="I92" s="2">
        <v>100</v>
      </c>
      <c r="J92" s="2">
        <v>100</v>
      </c>
      <c r="K92" s="2">
        <v>100</v>
      </c>
      <c r="L92" s="2">
        <v>82</v>
      </c>
      <c r="M92" s="2">
        <v>65</v>
      </c>
      <c r="N92" s="2">
        <v>49</v>
      </c>
      <c r="O92" s="2">
        <v>43</v>
      </c>
      <c r="P92" s="2">
        <v>40</v>
      </c>
      <c r="Q92" s="2">
        <v>38</v>
      </c>
      <c r="R92" s="2">
        <v>39</v>
      </c>
      <c r="S92" s="2">
        <v>42</v>
      </c>
      <c r="T92" s="2">
        <v>44</v>
      </c>
      <c r="U92" s="2">
        <v>43</v>
      </c>
      <c r="V92" s="2">
        <v>44</v>
      </c>
      <c r="W92" s="2">
        <v>46</v>
      </c>
      <c r="X92" s="2">
        <v>48</v>
      </c>
      <c r="Y92" s="2">
        <v>53</v>
      </c>
      <c r="Z92" s="2">
        <v>53</v>
      </c>
      <c r="AA92" s="2">
        <v>66</v>
      </c>
      <c r="AC92" s="3">
        <f t="shared" si="1"/>
        <v>66.458333333333329</v>
      </c>
    </row>
    <row r="93" spans="2:29" x14ac:dyDescent="0.25">
      <c r="B93" s="4">
        <v>42458</v>
      </c>
      <c r="C93" s="3">
        <v>89</v>
      </c>
      <c r="D93" s="2">
        <v>75</v>
      </c>
      <c r="E93" s="2">
        <v>82</v>
      </c>
      <c r="F93" s="2">
        <v>87</v>
      </c>
      <c r="G93" s="2">
        <v>97</v>
      </c>
      <c r="H93" s="2">
        <v>89</v>
      </c>
      <c r="I93" s="2">
        <v>89</v>
      </c>
      <c r="J93" s="2">
        <v>74</v>
      </c>
      <c r="K93" s="2">
        <v>85</v>
      </c>
      <c r="L93" s="2">
        <v>82</v>
      </c>
      <c r="M93" s="2">
        <v>72</v>
      </c>
      <c r="N93" s="2">
        <v>60</v>
      </c>
      <c r="O93" s="2">
        <v>50</v>
      </c>
      <c r="P93" s="2">
        <v>45</v>
      </c>
      <c r="Q93" s="2">
        <v>42</v>
      </c>
      <c r="R93" s="2">
        <v>41</v>
      </c>
      <c r="S93" s="2">
        <v>45</v>
      </c>
      <c r="T93" s="2">
        <v>43</v>
      </c>
      <c r="U93" s="2">
        <v>43</v>
      </c>
      <c r="V93" s="2">
        <v>51</v>
      </c>
      <c r="W93" s="2">
        <v>56</v>
      </c>
      <c r="X93" s="2">
        <v>68</v>
      </c>
      <c r="Y93" s="2">
        <v>87</v>
      </c>
      <c r="Z93" s="2">
        <v>87</v>
      </c>
      <c r="AA93" s="2">
        <v>84</v>
      </c>
      <c r="AC93" s="3">
        <f t="shared" si="1"/>
        <v>68.083333333333329</v>
      </c>
    </row>
    <row r="94" spans="2:29" x14ac:dyDescent="0.25">
      <c r="B94" s="4">
        <v>42459</v>
      </c>
      <c r="C94" s="3">
        <v>90</v>
      </c>
      <c r="D94" s="2">
        <v>84</v>
      </c>
      <c r="E94" s="2">
        <v>75</v>
      </c>
      <c r="F94" s="2">
        <v>98</v>
      </c>
      <c r="G94" s="2">
        <v>97</v>
      </c>
      <c r="H94" s="2">
        <v>85</v>
      </c>
      <c r="I94" s="2">
        <v>85</v>
      </c>
      <c r="J94" s="2">
        <v>87</v>
      </c>
      <c r="K94" s="2">
        <v>96</v>
      </c>
      <c r="L94" s="2">
        <v>96</v>
      </c>
      <c r="M94" s="2">
        <v>80</v>
      </c>
      <c r="N94" s="2">
        <v>98</v>
      </c>
      <c r="O94" s="2">
        <v>94</v>
      </c>
      <c r="P94" s="2">
        <v>73</v>
      </c>
      <c r="Q94" s="2">
        <v>66</v>
      </c>
      <c r="R94" s="2">
        <v>70</v>
      </c>
      <c r="S94" s="2">
        <v>67</v>
      </c>
      <c r="T94" s="2">
        <v>65</v>
      </c>
      <c r="U94" s="2">
        <v>73</v>
      </c>
      <c r="V94" s="2">
        <v>75</v>
      </c>
      <c r="W94" s="2">
        <v>75</v>
      </c>
      <c r="X94" s="2">
        <v>83</v>
      </c>
      <c r="Y94" s="2">
        <v>91</v>
      </c>
      <c r="Z94" s="2">
        <v>100</v>
      </c>
      <c r="AA94" s="2">
        <v>100</v>
      </c>
      <c r="AC94" s="3">
        <f t="shared" si="1"/>
        <v>83.875</v>
      </c>
    </row>
    <row r="95" spans="2:29" x14ac:dyDescent="0.25">
      <c r="B95" s="4">
        <v>42460</v>
      </c>
      <c r="C95" s="3">
        <v>91</v>
      </c>
      <c r="D95" s="2">
        <v>100</v>
      </c>
      <c r="E95" s="2">
        <v>100</v>
      </c>
      <c r="F95" s="2">
        <v>100</v>
      </c>
      <c r="G95" s="2">
        <v>100</v>
      </c>
      <c r="H95" s="2">
        <v>93</v>
      </c>
      <c r="I95" s="2">
        <v>90</v>
      </c>
      <c r="J95" s="2">
        <v>89</v>
      </c>
      <c r="K95" s="2">
        <v>88</v>
      </c>
      <c r="L95" s="2">
        <v>89</v>
      </c>
      <c r="M95" s="2">
        <v>77</v>
      </c>
      <c r="N95" s="2">
        <v>77</v>
      </c>
      <c r="O95" s="2">
        <v>75</v>
      </c>
      <c r="P95" s="2">
        <v>72</v>
      </c>
      <c r="Q95" s="2">
        <v>68</v>
      </c>
      <c r="R95" s="2">
        <v>40</v>
      </c>
      <c r="S95" s="2">
        <v>31</v>
      </c>
      <c r="T95" s="2">
        <v>30</v>
      </c>
      <c r="U95" s="2">
        <v>34</v>
      </c>
      <c r="V95" s="2">
        <v>44</v>
      </c>
      <c r="W95" s="2">
        <v>47</v>
      </c>
      <c r="X95" s="2">
        <v>45</v>
      </c>
      <c r="Y95" s="2">
        <v>45</v>
      </c>
      <c r="Z95" s="2">
        <v>49</v>
      </c>
      <c r="AA95" s="2">
        <v>48</v>
      </c>
      <c r="AC95" s="3">
        <f t="shared" si="1"/>
        <v>67.958333333333329</v>
      </c>
    </row>
    <row r="96" spans="2:29" x14ac:dyDescent="0.25">
      <c r="B96" s="4">
        <v>42461</v>
      </c>
      <c r="C96" s="3">
        <v>92</v>
      </c>
      <c r="D96" s="2">
        <v>48</v>
      </c>
      <c r="E96" s="2">
        <v>54</v>
      </c>
      <c r="F96" s="2">
        <v>58</v>
      </c>
      <c r="G96" s="2">
        <v>62</v>
      </c>
      <c r="H96" s="2">
        <v>59</v>
      </c>
      <c r="I96" s="2">
        <v>67</v>
      </c>
      <c r="J96" s="2">
        <v>79</v>
      </c>
      <c r="K96" s="2">
        <v>96</v>
      </c>
      <c r="L96" s="2">
        <v>94</v>
      </c>
      <c r="M96" s="2">
        <v>99</v>
      </c>
      <c r="N96" s="2">
        <v>82</v>
      </c>
      <c r="O96" s="2">
        <v>69</v>
      </c>
      <c r="P96" s="2">
        <v>66</v>
      </c>
      <c r="Q96" s="2">
        <v>62</v>
      </c>
      <c r="R96" s="2">
        <v>59</v>
      </c>
      <c r="S96" s="2">
        <v>54</v>
      </c>
      <c r="T96" s="2">
        <v>68</v>
      </c>
      <c r="U96" s="2">
        <v>70</v>
      </c>
      <c r="V96" s="2">
        <v>71</v>
      </c>
      <c r="W96" s="2">
        <v>70</v>
      </c>
      <c r="X96" s="2">
        <v>78</v>
      </c>
      <c r="Y96" s="2">
        <v>85</v>
      </c>
      <c r="Z96" s="2">
        <v>86</v>
      </c>
      <c r="AA96" s="2">
        <v>100</v>
      </c>
      <c r="AC96" s="3">
        <f t="shared" si="1"/>
        <v>72.333333333333329</v>
      </c>
    </row>
    <row r="97" spans="2:29" x14ac:dyDescent="0.25">
      <c r="B97" s="4">
        <v>42462</v>
      </c>
      <c r="C97" s="3">
        <v>93</v>
      </c>
      <c r="D97" s="2">
        <v>100</v>
      </c>
      <c r="E97" s="2">
        <v>100</v>
      </c>
      <c r="F97" s="2">
        <v>100</v>
      </c>
      <c r="G97" s="2">
        <v>100</v>
      </c>
      <c r="H97" s="2">
        <v>97</v>
      </c>
      <c r="I97" s="2">
        <v>97</v>
      </c>
      <c r="J97" s="2">
        <v>92</v>
      </c>
      <c r="K97" s="2">
        <v>74</v>
      </c>
      <c r="L97" s="2">
        <v>95</v>
      </c>
      <c r="M97" s="2">
        <v>69</v>
      </c>
      <c r="N97" s="2">
        <v>61</v>
      </c>
      <c r="O97" s="2">
        <v>57</v>
      </c>
      <c r="P97" s="2">
        <v>50</v>
      </c>
      <c r="Q97" s="2">
        <v>46</v>
      </c>
      <c r="R97" s="2">
        <v>46</v>
      </c>
      <c r="S97" s="2">
        <v>47</v>
      </c>
      <c r="T97" s="2">
        <v>47</v>
      </c>
      <c r="U97" s="2">
        <v>44</v>
      </c>
      <c r="V97" s="2">
        <v>47</v>
      </c>
      <c r="W97" s="2">
        <v>53</v>
      </c>
      <c r="X97" s="2">
        <v>70</v>
      </c>
      <c r="Y97" s="2">
        <v>84</v>
      </c>
      <c r="Z97" s="2">
        <v>97</v>
      </c>
      <c r="AA97" s="2">
        <v>100</v>
      </c>
      <c r="AC97" s="3">
        <f t="shared" si="1"/>
        <v>73.875</v>
      </c>
    </row>
    <row r="98" spans="2:29" x14ac:dyDescent="0.25">
      <c r="B98" s="4">
        <v>42463</v>
      </c>
      <c r="C98" s="3">
        <v>94</v>
      </c>
      <c r="D98" s="2">
        <v>100</v>
      </c>
      <c r="E98" s="2">
        <v>96</v>
      </c>
      <c r="F98" s="2">
        <v>100</v>
      </c>
      <c r="G98" s="2">
        <v>100</v>
      </c>
      <c r="H98" s="2">
        <v>100</v>
      </c>
      <c r="I98" s="2">
        <v>100</v>
      </c>
      <c r="J98" s="2">
        <v>97</v>
      </c>
      <c r="K98" s="2">
        <v>93</v>
      </c>
      <c r="L98" s="2">
        <v>100</v>
      </c>
      <c r="M98" s="2">
        <v>85</v>
      </c>
      <c r="N98" s="2">
        <v>78</v>
      </c>
      <c r="O98" s="2">
        <v>77</v>
      </c>
      <c r="P98" s="2">
        <v>77</v>
      </c>
      <c r="Q98" s="2">
        <v>81</v>
      </c>
      <c r="R98" s="2">
        <v>79</v>
      </c>
      <c r="S98" s="2">
        <v>74</v>
      </c>
      <c r="T98" s="2">
        <v>78</v>
      </c>
      <c r="U98" s="2">
        <v>76</v>
      </c>
      <c r="V98" s="2">
        <v>73</v>
      </c>
      <c r="W98" s="2">
        <v>79</v>
      </c>
      <c r="X98" s="2">
        <v>89</v>
      </c>
      <c r="Y98" s="2">
        <v>95</v>
      </c>
      <c r="Z98" s="2">
        <v>100</v>
      </c>
      <c r="AA98" s="2">
        <v>100</v>
      </c>
      <c r="AC98" s="3">
        <f t="shared" si="1"/>
        <v>88.625</v>
      </c>
    </row>
    <row r="99" spans="2:29" x14ac:dyDescent="0.25">
      <c r="B99" s="4">
        <v>42464</v>
      </c>
      <c r="C99" s="3">
        <v>95</v>
      </c>
      <c r="D99" s="2">
        <v>100</v>
      </c>
      <c r="E99" s="2">
        <v>100</v>
      </c>
      <c r="F99" s="2">
        <v>100</v>
      </c>
      <c r="G99" s="2">
        <v>100</v>
      </c>
      <c r="H99" s="2">
        <v>100</v>
      </c>
      <c r="I99" s="2">
        <v>100</v>
      </c>
      <c r="J99" s="2">
        <v>100</v>
      </c>
      <c r="K99" s="2">
        <v>100</v>
      </c>
      <c r="L99" s="2">
        <v>100</v>
      </c>
      <c r="M99" s="2">
        <v>100</v>
      </c>
      <c r="N99" s="2">
        <v>99</v>
      </c>
      <c r="O99" s="2">
        <v>79</v>
      </c>
      <c r="P99" s="2">
        <v>74</v>
      </c>
      <c r="Q99" s="2">
        <v>77</v>
      </c>
      <c r="R99" s="2">
        <v>82</v>
      </c>
      <c r="S99" s="2">
        <v>80</v>
      </c>
      <c r="T99" s="2">
        <v>85</v>
      </c>
      <c r="U99" s="2">
        <v>87</v>
      </c>
      <c r="V99" s="2">
        <v>97</v>
      </c>
      <c r="W99" s="2">
        <v>96</v>
      </c>
      <c r="X99" s="2">
        <v>100</v>
      </c>
      <c r="Y99" s="2">
        <v>100</v>
      </c>
      <c r="Z99" s="2">
        <v>100</v>
      </c>
      <c r="AA99" s="2">
        <v>100</v>
      </c>
      <c r="AC99" s="3">
        <f t="shared" si="1"/>
        <v>94</v>
      </c>
    </row>
    <row r="100" spans="2:29" x14ac:dyDescent="0.25">
      <c r="B100" s="4">
        <v>42465</v>
      </c>
      <c r="C100" s="3">
        <v>96</v>
      </c>
      <c r="D100" s="2">
        <v>100</v>
      </c>
      <c r="E100" s="2">
        <v>100</v>
      </c>
      <c r="F100" s="2">
        <v>100</v>
      </c>
      <c r="G100" s="2">
        <v>100</v>
      </c>
      <c r="H100" s="2">
        <v>100</v>
      </c>
      <c r="I100" s="2">
        <v>100</v>
      </c>
      <c r="J100" s="2">
        <v>100</v>
      </c>
      <c r="K100" s="2">
        <v>100</v>
      </c>
      <c r="L100" s="2">
        <v>100</v>
      </c>
      <c r="M100" s="2">
        <v>100</v>
      </c>
      <c r="N100" s="2">
        <v>100</v>
      </c>
      <c r="O100" s="2">
        <v>100</v>
      </c>
      <c r="P100" s="2">
        <v>100</v>
      </c>
      <c r="Q100" s="2">
        <v>100</v>
      </c>
      <c r="R100" s="2">
        <v>100</v>
      </c>
      <c r="S100" s="2">
        <v>100</v>
      </c>
      <c r="T100" s="2">
        <v>100</v>
      </c>
      <c r="U100" s="2">
        <v>92</v>
      </c>
      <c r="V100" s="2">
        <v>87</v>
      </c>
      <c r="W100" s="2">
        <v>88</v>
      </c>
      <c r="X100" s="2">
        <v>87</v>
      </c>
      <c r="Y100" s="2">
        <v>88</v>
      </c>
      <c r="Z100" s="2">
        <v>82</v>
      </c>
      <c r="AA100" s="2">
        <v>86</v>
      </c>
      <c r="AC100" s="3">
        <f t="shared" si="1"/>
        <v>96.25</v>
      </c>
    </row>
    <row r="101" spans="2:29" x14ac:dyDescent="0.25">
      <c r="B101" s="4">
        <v>42466</v>
      </c>
      <c r="C101" s="3">
        <v>97</v>
      </c>
      <c r="D101" s="2">
        <v>100</v>
      </c>
      <c r="E101" s="2">
        <v>100</v>
      </c>
      <c r="F101" s="2">
        <v>85</v>
      </c>
      <c r="G101" s="2">
        <v>83</v>
      </c>
      <c r="H101" s="2">
        <v>85</v>
      </c>
      <c r="I101" s="2">
        <v>96</v>
      </c>
      <c r="J101" s="2">
        <v>93</v>
      </c>
      <c r="K101" s="2">
        <v>97</v>
      </c>
      <c r="L101" s="2">
        <v>91</v>
      </c>
      <c r="M101" s="2">
        <v>72</v>
      </c>
      <c r="N101" s="2">
        <v>61</v>
      </c>
      <c r="O101" s="2">
        <v>57</v>
      </c>
      <c r="P101" s="2">
        <v>53</v>
      </c>
      <c r="Q101" s="2">
        <v>53</v>
      </c>
      <c r="R101" s="2">
        <v>51</v>
      </c>
      <c r="S101" s="2">
        <v>49</v>
      </c>
      <c r="T101" s="2">
        <v>48</v>
      </c>
      <c r="U101" s="2">
        <v>47</v>
      </c>
      <c r="V101" s="2">
        <v>50</v>
      </c>
      <c r="W101" s="2">
        <v>53</v>
      </c>
      <c r="X101" s="2">
        <v>58</v>
      </c>
      <c r="Y101" s="2">
        <v>70</v>
      </c>
      <c r="Z101" s="2">
        <v>59</v>
      </c>
      <c r="AA101" s="2">
        <v>81</v>
      </c>
      <c r="AC101" s="3">
        <f t="shared" si="1"/>
        <v>70.5</v>
      </c>
    </row>
    <row r="102" spans="2:29" x14ac:dyDescent="0.25">
      <c r="B102" s="4">
        <v>42467</v>
      </c>
      <c r="C102" s="3">
        <v>98</v>
      </c>
      <c r="D102" s="2">
        <v>87</v>
      </c>
      <c r="E102" s="2">
        <v>75</v>
      </c>
      <c r="F102" s="2">
        <v>63</v>
      </c>
      <c r="G102" s="2">
        <v>87</v>
      </c>
      <c r="H102" s="2">
        <v>94</v>
      </c>
      <c r="I102" s="2">
        <v>95</v>
      </c>
      <c r="J102" s="2">
        <v>89</v>
      </c>
      <c r="K102" s="2">
        <v>98</v>
      </c>
      <c r="L102" s="2">
        <v>82</v>
      </c>
      <c r="M102" s="2">
        <v>71</v>
      </c>
      <c r="N102" s="2">
        <v>56</v>
      </c>
      <c r="O102" s="2">
        <v>53</v>
      </c>
      <c r="P102" s="2">
        <v>50</v>
      </c>
      <c r="Q102" s="2">
        <v>49</v>
      </c>
      <c r="R102" s="2">
        <v>47</v>
      </c>
      <c r="S102" s="2">
        <v>45</v>
      </c>
      <c r="T102" s="2">
        <v>42</v>
      </c>
      <c r="U102" s="2">
        <v>41</v>
      </c>
      <c r="V102" s="2">
        <v>42</v>
      </c>
      <c r="W102" s="2">
        <v>44</v>
      </c>
      <c r="X102" s="2">
        <v>47</v>
      </c>
      <c r="Y102" s="2">
        <v>48</v>
      </c>
      <c r="Z102" s="2">
        <v>46</v>
      </c>
      <c r="AA102" s="2">
        <v>47</v>
      </c>
      <c r="AC102" s="3">
        <f t="shared" si="1"/>
        <v>62.416666666666664</v>
      </c>
    </row>
    <row r="103" spans="2:29" x14ac:dyDescent="0.25">
      <c r="B103" s="4">
        <v>42468</v>
      </c>
      <c r="C103" s="3">
        <v>99</v>
      </c>
      <c r="D103" s="2">
        <v>50</v>
      </c>
      <c r="E103" s="2">
        <v>54</v>
      </c>
      <c r="F103" s="2">
        <v>56</v>
      </c>
      <c r="G103" s="2">
        <v>57</v>
      </c>
      <c r="H103" s="2">
        <v>59</v>
      </c>
      <c r="I103" s="2">
        <v>59</v>
      </c>
      <c r="J103" s="2">
        <v>58</v>
      </c>
      <c r="K103" s="2">
        <v>60</v>
      </c>
      <c r="L103" s="2">
        <v>62</v>
      </c>
      <c r="M103" s="2">
        <v>54</v>
      </c>
      <c r="N103" s="2">
        <v>50</v>
      </c>
      <c r="O103" s="2">
        <v>48</v>
      </c>
      <c r="P103" s="2">
        <v>44</v>
      </c>
      <c r="Q103" s="2">
        <v>37</v>
      </c>
      <c r="R103" s="2">
        <v>57</v>
      </c>
      <c r="S103" s="2">
        <v>61</v>
      </c>
      <c r="T103" s="2">
        <v>63</v>
      </c>
      <c r="U103" s="2">
        <v>64</v>
      </c>
      <c r="V103" s="2">
        <v>63</v>
      </c>
      <c r="W103" s="2">
        <v>67</v>
      </c>
      <c r="X103" s="2">
        <v>69</v>
      </c>
      <c r="Y103" s="2">
        <v>83</v>
      </c>
      <c r="Z103" s="2">
        <v>83</v>
      </c>
      <c r="AA103" s="2">
        <v>53</v>
      </c>
      <c r="AC103" s="3">
        <f t="shared" si="1"/>
        <v>58.791666666666664</v>
      </c>
    </row>
    <row r="104" spans="2:29" x14ac:dyDescent="0.25">
      <c r="B104" s="4">
        <v>42469</v>
      </c>
      <c r="C104" s="3">
        <v>100</v>
      </c>
      <c r="D104" s="2">
        <v>54</v>
      </c>
      <c r="E104" s="2">
        <v>56</v>
      </c>
      <c r="F104" s="2">
        <v>57</v>
      </c>
      <c r="G104" s="2">
        <v>58</v>
      </c>
      <c r="H104" s="2">
        <v>61</v>
      </c>
      <c r="I104" s="2">
        <v>66</v>
      </c>
      <c r="J104" s="2">
        <v>61</v>
      </c>
      <c r="K104" s="2">
        <v>63</v>
      </c>
      <c r="L104" s="2">
        <v>61</v>
      </c>
      <c r="M104" s="2">
        <v>50</v>
      </c>
      <c r="N104" s="2">
        <v>50</v>
      </c>
      <c r="O104" s="2">
        <v>48</v>
      </c>
      <c r="P104" s="2">
        <v>44</v>
      </c>
      <c r="Q104" s="2">
        <v>40</v>
      </c>
      <c r="R104" s="2">
        <v>39</v>
      </c>
      <c r="S104" s="2">
        <v>38</v>
      </c>
      <c r="T104" s="2">
        <v>37</v>
      </c>
      <c r="U104" s="2">
        <v>45</v>
      </c>
      <c r="V104" s="2">
        <v>48</v>
      </c>
      <c r="W104" s="2">
        <v>53</v>
      </c>
      <c r="X104" s="2">
        <v>53</v>
      </c>
      <c r="Y104" s="2">
        <v>69</v>
      </c>
      <c r="Z104" s="2">
        <v>74</v>
      </c>
      <c r="AA104" s="2">
        <v>82</v>
      </c>
      <c r="AC104" s="3">
        <f t="shared" si="1"/>
        <v>54.458333333333336</v>
      </c>
    </row>
    <row r="105" spans="2:29" x14ac:dyDescent="0.25">
      <c r="B105" s="4">
        <v>42470</v>
      </c>
      <c r="C105" s="3">
        <v>101</v>
      </c>
      <c r="D105" s="2">
        <v>78</v>
      </c>
      <c r="E105" s="2">
        <v>78</v>
      </c>
      <c r="F105" s="2">
        <v>77</v>
      </c>
      <c r="G105" s="2">
        <v>79</v>
      </c>
      <c r="H105" s="2">
        <v>76</v>
      </c>
      <c r="I105" s="2">
        <v>80</v>
      </c>
      <c r="J105" s="2">
        <v>80</v>
      </c>
      <c r="K105" s="2">
        <v>90</v>
      </c>
      <c r="L105" s="2">
        <v>83</v>
      </c>
      <c r="M105" s="2">
        <v>79</v>
      </c>
      <c r="N105" s="2">
        <v>77</v>
      </c>
      <c r="O105" s="2">
        <v>72</v>
      </c>
      <c r="P105" s="2">
        <v>71</v>
      </c>
      <c r="Q105" s="2">
        <v>69</v>
      </c>
      <c r="R105" s="2">
        <v>72</v>
      </c>
      <c r="S105" s="2">
        <v>69</v>
      </c>
      <c r="T105" s="2">
        <v>73</v>
      </c>
      <c r="U105" s="2">
        <v>69</v>
      </c>
      <c r="V105" s="2">
        <v>70</v>
      </c>
      <c r="W105" s="2">
        <v>76</v>
      </c>
      <c r="X105" s="2">
        <v>85</v>
      </c>
      <c r="Y105" s="2">
        <v>89</v>
      </c>
      <c r="Z105" s="2">
        <v>100</v>
      </c>
      <c r="AA105" s="2">
        <v>94</v>
      </c>
      <c r="AC105" s="3">
        <f t="shared" si="1"/>
        <v>78.583333333333329</v>
      </c>
    </row>
    <row r="106" spans="2:29" x14ac:dyDescent="0.25">
      <c r="B106" s="4">
        <v>42471</v>
      </c>
      <c r="C106" s="3">
        <v>102</v>
      </c>
      <c r="D106" s="2">
        <v>92</v>
      </c>
      <c r="E106" s="2">
        <v>96</v>
      </c>
      <c r="F106" s="2">
        <v>91</v>
      </c>
      <c r="G106" s="2">
        <v>91</v>
      </c>
      <c r="H106" s="2">
        <v>95</v>
      </c>
      <c r="I106" s="2">
        <v>100</v>
      </c>
      <c r="J106" s="2">
        <v>100</v>
      </c>
      <c r="K106" s="2">
        <v>100</v>
      </c>
      <c r="L106" s="2">
        <v>100</v>
      </c>
      <c r="M106" s="2">
        <v>76</v>
      </c>
      <c r="N106" s="2">
        <v>70</v>
      </c>
      <c r="O106" s="2">
        <v>64</v>
      </c>
      <c r="P106" s="2">
        <v>61</v>
      </c>
      <c r="Q106" s="2">
        <v>56</v>
      </c>
      <c r="R106" s="2">
        <v>53</v>
      </c>
      <c r="S106" s="2">
        <v>58</v>
      </c>
      <c r="T106" s="2">
        <v>52</v>
      </c>
      <c r="U106" s="2">
        <v>60</v>
      </c>
      <c r="V106" s="2">
        <v>58</v>
      </c>
      <c r="W106" s="2">
        <v>60</v>
      </c>
      <c r="X106" s="2">
        <v>66</v>
      </c>
      <c r="Y106" s="2">
        <v>69</v>
      </c>
      <c r="Z106" s="2">
        <v>86</v>
      </c>
      <c r="AA106" s="2">
        <v>99</v>
      </c>
      <c r="AC106" s="3">
        <f t="shared" si="1"/>
        <v>77.208333333333329</v>
      </c>
    </row>
    <row r="107" spans="2:29" x14ac:dyDescent="0.25">
      <c r="B107" s="4">
        <v>42472</v>
      </c>
      <c r="C107" s="3">
        <v>103</v>
      </c>
      <c r="D107" s="2">
        <v>88</v>
      </c>
      <c r="E107" s="2">
        <v>93</v>
      </c>
      <c r="F107" s="2">
        <v>99</v>
      </c>
      <c r="G107" s="2">
        <v>100</v>
      </c>
      <c r="H107" s="2">
        <v>98</v>
      </c>
      <c r="I107" s="2">
        <v>96</v>
      </c>
      <c r="J107" s="2">
        <v>95</v>
      </c>
      <c r="K107" s="2">
        <v>100</v>
      </c>
      <c r="L107" s="2">
        <v>93</v>
      </c>
      <c r="M107" s="2">
        <v>80</v>
      </c>
      <c r="N107" s="2">
        <v>71</v>
      </c>
      <c r="O107" s="2">
        <v>66</v>
      </c>
      <c r="P107" s="2">
        <v>75</v>
      </c>
      <c r="Q107" s="2">
        <v>74</v>
      </c>
      <c r="R107" s="2">
        <v>70</v>
      </c>
      <c r="S107" s="2">
        <v>65</v>
      </c>
      <c r="T107" s="2">
        <v>64</v>
      </c>
      <c r="U107" s="2">
        <v>60</v>
      </c>
      <c r="V107" s="2">
        <v>53</v>
      </c>
      <c r="W107" s="2">
        <v>50</v>
      </c>
      <c r="X107" s="2">
        <v>71</v>
      </c>
      <c r="Y107" s="2">
        <v>83</v>
      </c>
      <c r="Z107" s="2">
        <v>84</v>
      </c>
      <c r="AA107" s="2">
        <v>78</v>
      </c>
      <c r="AC107" s="3">
        <f t="shared" si="1"/>
        <v>79.416666666666671</v>
      </c>
    </row>
    <row r="108" spans="2:29" x14ac:dyDescent="0.25">
      <c r="B108" s="4">
        <v>42473</v>
      </c>
      <c r="C108" s="3">
        <v>104</v>
      </c>
      <c r="D108" s="2">
        <v>97</v>
      </c>
      <c r="E108" s="2">
        <v>99</v>
      </c>
      <c r="F108" s="2">
        <v>82</v>
      </c>
      <c r="G108" s="2">
        <v>86</v>
      </c>
      <c r="H108" s="2">
        <v>99</v>
      </c>
      <c r="I108" s="2">
        <v>100</v>
      </c>
      <c r="J108" s="2">
        <v>100</v>
      </c>
      <c r="K108" s="2">
        <v>100</v>
      </c>
      <c r="L108" s="2">
        <v>95</v>
      </c>
      <c r="M108" s="2">
        <v>64</v>
      </c>
      <c r="N108" s="2">
        <v>47</v>
      </c>
      <c r="O108" s="2">
        <v>43</v>
      </c>
      <c r="P108" s="2">
        <v>41</v>
      </c>
      <c r="Q108" s="2">
        <v>37</v>
      </c>
      <c r="R108" s="2">
        <v>39</v>
      </c>
      <c r="S108" s="2">
        <v>36</v>
      </c>
      <c r="T108" s="2">
        <v>34</v>
      </c>
      <c r="U108" s="2">
        <v>30</v>
      </c>
      <c r="V108" s="2">
        <v>30</v>
      </c>
      <c r="W108" s="2">
        <v>30</v>
      </c>
      <c r="X108" s="2">
        <v>34</v>
      </c>
      <c r="Y108" s="2">
        <v>49</v>
      </c>
      <c r="Z108" s="2">
        <v>61</v>
      </c>
      <c r="AA108" s="2">
        <v>71</v>
      </c>
      <c r="AC108" s="3">
        <f t="shared" si="1"/>
        <v>62.666666666666664</v>
      </c>
    </row>
    <row r="109" spans="2:29" x14ac:dyDescent="0.25">
      <c r="B109" s="4">
        <v>42474</v>
      </c>
      <c r="C109" s="3">
        <v>105</v>
      </c>
      <c r="D109" s="2">
        <v>79</v>
      </c>
      <c r="E109" s="2">
        <v>72</v>
      </c>
      <c r="F109" s="2">
        <v>78</v>
      </c>
      <c r="G109" s="2">
        <v>76</v>
      </c>
      <c r="H109" s="2">
        <v>71</v>
      </c>
      <c r="I109" s="2">
        <v>68</v>
      </c>
      <c r="J109" s="2">
        <v>81</v>
      </c>
      <c r="K109" s="2">
        <v>91</v>
      </c>
      <c r="L109" s="2">
        <v>72</v>
      </c>
      <c r="M109" s="2">
        <v>57</v>
      </c>
      <c r="N109" s="2">
        <v>45</v>
      </c>
      <c r="O109" s="2">
        <v>38</v>
      </c>
      <c r="P109" s="2">
        <v>37</v>
      </c>
      <c r="Q109" s="2">
        <v>41</v>
      </c>
      <c r="R109" s="2">
        <v>37</v>
      </c>
      <c r="S109" s="2">
        <v>38</v>
      </c>
      <c r="T109" s="2">
        <v>42</v>
      </c>
      <c r="U109" s="2">
        <v>41</v>
      </c>
      <c r="V109" s="2">
        <v>43</v>
      </c>
      <c r="W109" s="2">
        <v>49</v>
      </c>
      <c r="X109" s="2">
        <v>65</v>
      </c>
      <c r="Y109" s="2">
        <v>77</v>
      </c>
      <c r="Z109" s="2">
        <v>90</v>
      </c>
      <c r="AA109" s="2">
        <v>100</v>
      </c>
      <c r="AC109" s="3">
        <f t="shared" si="1"/>
        <v>62</v>
      </c>
    </row>
    <row r="110" spans="2:29" x14ac:dyDescent="0.25">
      <c r="B110" s="4">
        <v>42475</v>
      </c>
      <c r="C110" s="3">
        <v>106</v>
      </c>
      <c r="D110" s="2">
        <v>100</v>
      </c>
      <c r="E110" s="2">
        <v>100</v>
      </c>
      <c r="F110" s="2">
        <v>100</v>
      </c>
      <c r="G110" s="2">
        <v>100</v>
      </c>
      <c r="H110" s="2">
        <v>100</v>
      </c>
      <c r="I110" s="2">
        <v>100</v>
      </c>
      <c r="J110" s="2">
        <v>100</v>
      </c>
      <c r="K110" s="2">
        <v>100</v>
      </c>
      <c r="L110" s="2">
        <v>100</v>
      </c>
      <c r="M110" s="2">
        <v>96</v>
      </c>
      <c r="N110" s="2">
        <v>77</v>
      </c>
      <c r="O110" s="2">
        <v>75</v>
      </c>
      <c r="P110" s="2">
        <v>73</v>
      </c>
      <c r="Q110" s="2">
        <v>71</v>
      </c>
      <c r="R110" s="2">
        <v>69</v>
      </c>
      <c r="S110" s="2">
        <v>69</v>
      </c>
      <c r="T110" s="2">
        <v>75</v>
      </c>
      <c r="U110" s="2">
        <v>72</v>
      </c>
      <c r="V110" s="2">
        <v>76</v>
      </c>
      <c r="W110" s="2">
        <v>80</v>
      </c>
      <c r="X110" s="2">
        <v>81</v>
      </c>
      <c r="Y110" s="2">
        <v>98</v>
      </c>
      <c r="Z110" s="2">
        <v>100</v>
      </c>
      <c r="AA110" s="2">
        <v>100</v>
      </c>
      <c r="AC110" s="3">
        <f t="shared" si="1"/>
        <v>88</v>
      </c>
    </row>
    <row r="111" spans="2:29" x14ac:dyDescent="0.25">
      <c r="B111" s="4">
        <v>42476</v>
      </c>
      <c r="C111" s="3">
        <v>107</v>
      </c>
      <c r="D111" s="2">
        <v>100</v>
      </c>
      <c r="E111" s="2">
        <v>100</v>
      </c>
      <c r="F111" s="2">
        <v>100</v>
      </c>
      <c r="G111" s="2">
        <v>100</v>
      </c>
      <c r="H111" s="2">
        <v>100</v>
      </c>
      <c r="I111" s="2">
        <v>100</v>
      </c>
      <c r="J111" s="2">
        <v>100</v>
      </c>
      <c r="K111" s="2">
        <v>100</v>
      </c>
      <c r="L111" s="2">
        <v>100</v>
      </c>
      <c r="M111" s="2">
        <v>81</v>
      </c>
      <c r="N111" s="2">
        <v>74</v>
      </c>
      <c r="O111" s="2">
        <v>60</v>
      </c>
      <c r="P111" s="2">
        <v>61</v>
      </c>
      <c r="Q111" s="2">
        <v>62</v>
      </c>
      <c r="R111" s="2">
        <v>48</v>
      </c>
      <c r="S111" s="2">
        <v>49</v>
      </c>
      <c r="T111" s="2">
        <v>58</v>
      </c>
      <c r="U111" s="2">
        <v>49</v>
      </c>
      <c r="V111" s="2">
        <v>64</v>
      </c>
      <c r="W111" s="2">
        <v>64</v>
      </c>
      <c r="X111" s="2">
        <v>70</v>
      </c>
      <c r="Y111" s="2">
        <v>62</v>
      </c>
      <c r="Z111" s="2">
        <v>63</v>
      </c>
      <c r="AA111" s="2">
        <v>66</v>
      </c>
      <c r="AC111" s="3">
        <f t="shared" si="1"/>
        <v>76.291666666666671</v>
      </c>
    </row>
    <row r="112" spans="2:29" x14ac:dyDescent="0.25">
      <c r="B112" s="4">
        <v>42477</v>
      </c>
      <c r="C112" s="3">
        <v>108</v>
      </c>
      <c r="D112" s="2">
        <v>75</v>
      </c>
      <c r="E112" s="2">
        <v>79</v>
      </c>
      <c r="F112" s="2">
        <v>78</v>
      </c>
      <c r="G112" s="2">
        <v>79</v>
      </c>
      <c r="H112" s="2">
        <v>75</v>
      </c>
      <c r="I112" s="2">
        <v>85</v>
      </c>
      <c r="J112" s="2">
        <v>92</v>
      </c>
      <c r="K112" s="2">
        <v>97</v>
      </c>
      <c r="L112" s="2">
        <v>77</v>
      </c>
      <c r="M112" s="2">
        <v>56</v>
      </c>
      <c r="N112" s="2">
        <v>50</v>
      </c>
      <c r="O112" s="2">
        <v>45</v>
      </c>
      <c r="P112" s="2">
        <v>41</v>
      </c>
      <c r="Q112" s="2">
        <v>37</v>
      </c>
      <c r="R112" s="2">
        <v>31</v>
      </c>
      <c r="S112" s="2">
        <v>30</v>
      </c>
      <c r="T112" s="2">
        <v>32</v>
      </c>
      <c r="U112" s="2">
        <v>49</v>
      </c>
      <c r="V112" s="2">
        <v>49</v>
      </c>
      <c r="W112" s="2">
        <v>59</v>
      </c>
      <c r="X112" s="2">
        <v>67</v>
      </c>
      <c r="Y112" s="2">
        <v>79</v>
      </c>
      <c r="Z112" s="2">
        <v>83</v>
      </c>
      <c r="AA112" s="2">
        <v>73</v>
      </c>
      <c r="AC112" s="3">
        <f t="shared" si="1"/>
        <v>63.25</v>
      </c>
    </row>
    <row r="113" spans="2:29" x14ac:dyDescent="0.25">
      <c r="B113" s="4">
        <v>42478</v>
      </c>
      <c r="C113" s="3">
        <v>109</v>
      </c>
      <c r="D113" s="2">
        <v>74</v>
      </c>
      <c r="E113" s="2">
        <v>79</v>
      </c>
      <c r="F113" s="2">
        <v>78</v>
      </c>
      <c r="G113" s="2">
        <v>73</v>
      </c>
      <c r="H113" s="2">
        <v>81</v>
      </c>
      <c r="I113" s="2">
        <v>90</v>
      </c>
      <c r="J113" s="2">
        <v>91</v>
      </c>
      <c r="K113" s="2">
        <v>99</v>
      </c>
      <c r="L113" s="2">
        <v>99</v>
      </c>
      <c r="M113" s="2">
        <v>73</v>
      </c>
      <c r="N113" s="2">
        <v>62</v>
      </c>
      <c r="O113" s="2">
        <v>59</v>
      </c>
      <c r="P113" s="2">
        <v>54</v>
      </c>
      <c r="Q113" s="2">
        <v>49</v>
      </c>
      <c r="R113" s="2">
        <v>56</v>
      </c>
      <c r="S113" s="2">
        <v>63</v>
      </c>
      <c r="T113" s="2">
        <v>62</v>
      </c>
      <c r="U113" s="2">
        <v>62</v>
      </c>
      <c r="V113" s="2">
        <v>61</v>
      </c>
      <c r="W113" s="2">
        <v>69</v>
      </c>
      <c r="X113" s="2">
        <v>77</v>
      </c>
      <c r="Y113" s="2">
        <v>84</v>
      </c>
      <c r="Z113" s="2">
        <v>91</v>
      </c>
      <c r="AA113" s="2">
        <v>81</v>
      </c>
      <c r="AC113" s="3">
        <f t="shared" si="1"/>
        <v>73.625</v>
      </c>
    </row>
    <row r="114" spans="2:29" x14ac:dyDescent="0.25">
      <c r="B114" s="4">
        <v>42479</v>
      </c>
      <c r="C114" s="3">
        <v>110</v>
      </c>
      <c r="D114" s="2">
        <v>79</v>
      </c>
      <c r="E114" s="2">
        <v>99</v>
      </c>
      <c r="F114" s="2">
        <v>98</v>
      </c>
      <c r="G114" s="2">
        <v>98</v>
      </c>
      <c r="H114" s="2">
        <v>99</v>
      </c>
      <c r="I114" s="2">
        <v>100</v>
      </c>
      <c r="J114" s="2">
        <v>100</v>
      </c>
      <c r="K114" s="2">
        <v>97</v>
      </c>
      <c r="L114" s="2">
        <v>75</v>
      </c>
      <c r="M114" s="2">
        <v>73</v>
      </c>
      <c r="N114" s="2">
        <v>63</v>
      </c>
      <c r="O114" s="2">
        <v>59</v>
      </c>
      <c r="P114" s="2">
        <v>57</v>
      </c>
      <c r="Q114" s="2">
        <v>55</v>
      </c>
      <c r="R114" s="2">
        <v>55</v>
      </c>
      <c r="S114" s="2">
        <v>55</v>
      </c>
      <c r="T114" s="2">
        <v>57</v>
      </c>
      <c r="U114" s="2">
        <v>60</v>
      </c>
      <c r="V114" s="2">
        <v>64</v>
      </c>
      <c r="W114" s="2">
        <v>61</v>
      </c>
      <c r="X114" s="2">
        <v>59</v>
      </c>
      <c r="Y114" s="2">
        <v>72</v>
      </c>
      <c r="Z114" s="2">
        <v>74</v>
      </c>
      <c r="AA114" s="2">
        <v>80</v>
      </c>
      <c r="AC114" s="3">
        <f t="shared" si="1"/>
        <v>74.541666666666671</v>
      </c>
    </row>
    <row r="115" spans="2:29" x14ac:dyDescent="0.25">
      <c r="B115" s="4">
        <v>42480</v>
      </c>
      <c r="C115" s="3">
        <v>111</v>
      </c>
      <c r="D115" s="2">
        <v>77</v>
      </c>
      <c r="E115" s="2">
        <v>81</v>
      </c>
      <c r="F115" s="2">
        <v>73</v>
      </c>
      <c r="G115" s="2">
        <v>48</v>
      </c>
      <c r="H115" s="2">
        <v>43</v>
      </c>
      <c r="I115" s="2">
        <v>41</v>
      </c>
      <c r="J115" s="2">
        <v>43</v>
      </c>
      <c r="K115" s="2">
        <v>45</v>
      </c>
      <c r="L115" s="2">
        <v>47</v>
      </c>
      <c r="M115" s="2">
        <v>42</v>
      </c>
      <c r="N115" s="2">
        <v>36</v>
      </c>
      <c r="O115" s="2">
        <v>33</v>
      </c>
      <c r="P115" s="2">
        <v>33</v>
      </c>
      <c r="Q115" s="2">
        <v>44</v>
      </c>
      <c r="R115" s="2">
        <v>56</v>
      </c>
      <c r="S115" s="2">
        <v>52</v>
      </c>
      <c r="T115" s="2">
        <v>49</v>
      </c>
      <c r="U115" s="2">
        <v>57</v>
      </c>
      <c r="V115" s="2">
        <v>62</v>
      </c>
      <c r="W115" s="2">
        <v>65</v>
      </c>
      <c r="X115" s="2">
        <v>68</v>
      </c>
      <c r="Y115" s="2">
        <v>82</v>
      </c>
      <c r="Z115" s="2">
        <v>80</v>
      </c>
      <c r="AA115" s="2">
        <v>70</v>
      </c>
      <c r="AC115" s="3">
        <f t="shared" si="1"/>
        <v>55.291666666666664</v>
      </c>
    </row>
    <row r="116" spans="2:29" x14ac:dyDescent="0.25">
      <c r="B116" s="4">
        <v>42481</v>
      </c>
      <c r="C116" s="3">
        <v>112</v>
      </c>
      <c r="D116" s="2">
        <v>66</v>
      </c>
      <c r="E116" s="2">
        <v>67</v>
      </c>
      <c r="F116" s="2">
        <v>70</v>
      </c>
      <c r="G116" s="2">
        <v>68</v>
      </c>
      <c r="H116" s="2">
        <v>70</v>
      </c>
      <c r="I116" s="2">
        <v>82</v>
      </c>
      <c r="J116" s="2">
        <v>85</v>
      </c>
      <c r="K116" s="2">
        <v>91</v>
      </c>
      <c r="L116" s="2">
        <v>100</v>
      </c>
      <c r="M116" s="2">
        <v>100</v>
      </c>
      <c r="N116" s="2">
        <v>89</v>
      </c>
      <c r="O116" s="2">
        <v>75</v>
      </c>
      <c r="P116" s="2">
        <v>73</v>
      </c>
      <c r="Q116" s="2">
        <v>73</v>
      </c>
      <c r="R116" s="2">
        <v>71</v>
      </c>
      <c r="S116" s="2">
        <v>70</v>
      </c>
      <c r="T116" s="2">
        <v>72</v>
      </c>
      <c r="U116" s="2">
        <v>72</v>
      </c>
      <c r="V116" s="2">
        <v>75</v>
      </c>
      <c r="W116" s="2">
        <v>76</v>
      </c>
      <c r="X116" s="2">
        <v>84</v>
      </c>
      <c r="Y116" s="2">
        <v>98</v>
      </c>
      <c r="Z116" s="2">
        <v>100</v>
      </c>
      <c r="AA116" s="2">
        <v>100</v>
      </c>
      <c r="AC116" s="3">
        <f t="shared" si="1"/>
        <v>80.291666666666671</v>
      </c>
    </row>
    <row r="117" spans="2:29" x14ac:dyDescent="0.25">
      <c r="B117" s="4">
        <v>42482</v>
      </c>
      <c r="C117" s="3">
        <v>113</v>
      </c>
      <c r="D117" s="2">
        <v>100</v>
      </c>
      <c r="E117" s="2">
        <v>100</v>
      </c>
      <c r="F117" s="2">
        <v>100</v>
      </c>
      <c r="G117" s="2">
        <v>100</v>
      </c>
      <c r="H117" s="2">
        <v>100</v>
      </c>
      <c r="I117" s="2">
        <v>100</v>
      </c>
      <c r="J117" s="2">
        <v>100</v>
      </c>
      <c r="K117" s="2">
        <v>100</v>
      </c>
      <c r="L117" s="2">
        <v>100</v>
      </c>
      <c r="M117" s="2">
        <v>98</v>
      </c>
      <c r="N117" s="2">
        <v>91</v>
      </c>
      <c r="O117" s="2">
        <v>87</v>
      </c>
      <c r="P117" s="2">
        <v>73</v>
      </c>
      <c r="Q117" s="2">
        <v>70</v>
      </c>
      <c r="R117" s="2">
        <v>71</v>
      </c>
      <c r="S117" s="2">
        <v>57</v>
      </c>
      <c r="T117" s="2">
        <v>75</v>
      </c>
      <c r="U117" s="2">
        <v>69</v>
      </c>
      <c r="V117" s="2">
        <v>74</v>
      </c>
      <c r="W117" s="2">
        <v>66</v>
      </c>
      <c r="X117" s="2">
        <v>67</v>
      </c>
      <c r="Y117" s="2">
        <v>81</v>
      </c>
      <c r="Z117" s="2">
        <v>91</v>
      </c>
      <c r="AA117" s="2">
        <v>100</v>
      </c>
      <c r="AC117" s="3">
        <f t="shared" si="1"/>
        <v>86.25</v>
      </c>
    </row>
    <row r="118" spans="2:29" x14ac:dyDescent="0.25">
      <c r="B118" s="4">
        <v>42483</v>
      </c>
      <c r="C118" s="3">
        <v>114</v>
      </c>
      <c r="D118" s="2">
        <v>97</v>
      </c>
      <c r="E118" s="2">
        <v>100</v>
      </c>
      <c r="F118" s="2">
        <v>100</v>
      </c>
      <c r="G118" s="2">
        <v>98</v>
      </c>
      <c r="H118" s="2">
        <v>99</v>
      </c>
      <c r="I118" s="2">
        <v>100</v>
      </c>
      <c r="J118" s="2">
        <v>100</v>
      </c>
      <c r="K118" s="2">
        <v>100</v>
      </c>
      <c r="L118" s="2">
        <v>94</v>
      </c>
      <c r="M118" s="2">
        <v>68</v>
      </c>
      <c r="N118" s="2">
        <v>61</v>
      </c>
      <c r="O118" s="2">
        <v>53</v>
      </c>
      <c r="P118" s="2">
        <v>46</v>
      </c>
      <c r="Q118" s="2">
        <v>40</v>
      </c>
      <c r="R118" s="2">
        <v>38</v>
      </c>
      <c r="S118" s="2">
        <v>35</v>
      </c>
      <c r="T118" s="2">
        <v>51</v>
      </c>
      <c r="U118" s="2">
        <v>59</v>
      </c>
      <c r="V118" s="2">
        <v>59</v>
      </c>
      <c r="W118" s="2">
        <v>78</v>
      </c>
      <c r="X118" s="2">
        <v>69</v>
      </c>
      <c r="Y118" s="2">
        <v>82</v>
      </c>
      <c r="Z118" s="2">
        <v>99</v>
      </c>
      <c r="AA118" s="2">
        <v>100</v>
      </c>
      <c r="AC118" s="3">
        <f t="shared" si="1"/>
        <v>76.083333333333329</v>
      </c>
    </row>
    <row r="119" spans="2:29" x14ac:dyDescent="0.25">
      <c r="B119" s="4">
        <v>42484</v>
      </c>
      <c r="C119" s="3">
        <v>115</v>
      </c>
      <c r="D119" s="2">
        <v>100</v>
      </c>
      <c r="E119" s="2">
        <v>100</v>
      </c>
      <c r="F119" s="2">
        <v>100</v>
      </c>
      <c r="G119" s="2">
        <v>100</v>
      </c>
      <c r="H119" s="2">
        <v>100</v>
      </c>
      <c r="I119" s="2">
        <v>100</v>
      </c>
      <c r="J119" s="2">
        <v>100</v>
      </c>
      <c r="K119" s="2">
        <v>93</v>
      </c>
      <c r="L119" s="2">
        <v>72</v>
      </c>
      <c r="M119" s="2">
        <v>55</v>
      </c>
      <c r="N119" s="2">
        <v>49</v>
      </c>
      <c r="O119" s="2">
        <v>48</v>
      </c>
      <c r="P119" s="2">
        <v>45</v>
      </c>
      <c r="Q119" s="2">
        <v>39</v>
      </c>
      <c r="R119" s="2">
        <v>32</v>
      </c>
      <c r="S119" s="2">
        <v>30</v>
      </c>
      <c r="T119" s="2">
        <v>28</v>
      </c>
      <c r="U119" s="2">
        <v>28</v>
      </c>
      <c r="V119" s="2">
        <v>28</v>
      </c>
      <c r="W119" s="2">
        <v>30</v>
      </c>
      <c r="X119" s="2">
        <v>31</v>
      </c>
      <c r="Y119" s="2">
        <v>33</v>
      </c>
      <c r="Z119" s="2">
        <v>36</v>
      </c>
      <c r="AA119" s="2">
        <v>39</v>
      </c>
      <c r="AC119" s="3">
        <f t="shared" si="1"/>
        <v>59</v>
      </c>
    </row>
    <row r="120" spans="2:29" x14ac:dyDescent="0.25">
      <c r="B120" s="4">
        <v>42485</v>
      </c>
      <c r="C120" s="3">
        <v>116</v>
      </c>
      <c r="D120" s="2">
        <v>43</v>
      </c>
      <c r="E120" s="2">
        <v>46</v>
      </c>
      <c r="F120" s="2">
        <v>49</v>
      </c>
      <c r="G120" s="2">
        <v>53</v>
      </c>
      <c r="H120" s="2">
        <v>53</v>
      </c>
      <c r="I120" s="2">
        <v>54</v>
      </c>
      <c r="J120" s="2">
        <v>63</v>
      </c>
      <c r="K120" s="2">
        <v>72</v>
      </c>
      <c r="L120" s="2">
        <v>66</v>
      </c>
      <c r="M120" s="2">
        <v>52</v>
      </c>
      <c r="N120" s="2">
        <v>47</v>
      </c>
      <c r="O120" s="2">
        <v>42</v>
      </c>
      <c r="P120" s="2">
        <v>41</v>
      </c>
      <c r="Q120" s="2">
        <v>39</v>
      </c>
      <c r="R120" s="2">
        <v>42</v>
      </c>
      <c r="S120" s="2">
        <v>40</v>
      </c>
      <c r="T120" s="2">
        <v>48</v>
      </c>
      <c r="U120" s="2">
        <v>51</v>
      </c>
      <c r="V120" s="2">
        <v>53</v>
      </c>
      <c r="W120" s="2">
        <v>55</v>
      </c>
      <c r="X120" s="2">
        <v>63</v>
      </c>
      <c r="Y120" s="2">
        <v>70</v>
      </c>
      <c r="Z120" s="2">
        <v>77</v>
      </c>
      <c r="AA120" s="2">
        <v>90</v>
      </c>
      <c r="AC120" s="3">
        <f t="shared" si="1"/>
        <v>54.541666666666664</v>
      </c>
    </row>
    <row r="121" spans="2:29" x14ac:dyDescent="0.25">
      <c r="B121" s="4">
        <v>42486</v>
      </c>
      <c r="C121" s="3">
        <v>117</v>
      </c>
      <c r="D121" s="2">
        <v>85</v>
      </c>
      <c r="E121" s="2">
        <v>84</v>
      </c>
      <c r="F121" s="2">
        <v>84</v>
      </c>
      <c r="G121" s="2">
        <v>98</v>
      </c>
      <c r="H121" s="2">
        <v>94</v>
      </c>
      <c r="I121" s="2">
        <v>93</v>
      </c>
      <c r="J121" s="2">
        <v>99</v>
      </c>
      <c r="K121" s="2">
        <v>100</v>
      </c>
      <c r="L121" s="2">
        <v>78</v>
      </c>
      <c r="M121" s="2">
        <v>55</v>
      </c>
      <c r="N121" s="2">
        <v>49</v>
      </c>
      <c r="O121" s="2">
        <v>41</v>
      </c>
      <c r="P121" s="2">
        <v>36</v>
      </c>
      <c r="Q121" s="2">
        <v>42</v>
      </c>
      <c r="R121" s="2">
        <v>44</v>
      </c>
      <c r="S121" s="2">
        <v>57</v>
      </c>
      <c r="T121" s="2">
        <v>58</v>
      </c>
      <c r="U121" s="2">
        <v>51</v>
      </c>
      <c r="V121" s="2">
        <v>60</v>
      </c>
      <c r="W121" s="2">
        <v>71</v>
      </c>
      <c r="X121" s="2">
        <v>82</v>
      </c>
      <c r="Y121" s="2">
        <v>92</v>
      </c>
      <c r="Z121" s="2">
        <v>100</v>
      </c>
      <c r="AA121" s="2">
        <v>100</v>
      </c>
      <c r="AC121" s="3">
        <f t="shared" si="1"/>
        <v>73.041666666666671</v>
      </c>
    </row>
    <row r="122" spans="2:29" x14ac:dyDescent="0.25">
      <c r="B122" s="4">
        <v>42487</v>
      </c>
      <c r="C122" s="3">
        <v>118</v>
      </c>
      <c r="D122" s="2">
        <v>100</v>
      </c>
      <c r="E122" s="2">
        <v>100</v>
      </c>
      <c r="F122" s="2">
        <v>100</v>
      </c>
      <c r="G122" s="2">
        <v>100</v>
      </c>
      <c r="H122" s="2">
        <v>100</v>
      </c>
      <c r="I122" s="2">
        <v>100</v>
      </c>
      <c r="J122" s="2">
        <v>100</v>
      </c>
      <c r="K122" s="2">
        <v>100</v>
      </c>
      <c r="L122" s="2">
        <v>95</v>
      </c>
      <c r="M122" s="2">
        <v>82</v>
      </c>
      <c r="N122" s="2">
        <v>81</v>
      </c>
      <c r="O122" s="2">
        <v>80</v>
      </c>
      <c r="P122" s="2">
        <v>79</v>
      </c>
      <c r="Q122" s="2">
        <v>75</v>
      </c>
      <c r="R122" s="2">
        <v>77</v>
      </c>
      <c r="S122" s="2">
        <v>75</v>
      </c>
      <c r="T122" s="2">
        <v>78</v>
      </c>
      <c r="U122" s="2">
        <v>75</v>
      </c>
      <c r="V122" s="2">
        <v>77</v>
      </c>
      <c r="W122" s="2">
        <v>81</v>
      </c>
      <c r="X122" s="2">
        <v>82</v>
      </c>
      <c r="Y122" s="2">
        <v>83</v>
      </c>
      <c r="Z122" s="2">
        <v>98</v>
      </c>
      <c r="AA122" s="2">
        <v>100</v>
      </c>
      <c r="AC122" s="3">
        <f t="shared" si="1"/>
        <v>88.25</v>
      </c>
    </row>
    <row r="123" spans="2:29" x14ac:dyDescent="0.25">
      <c r="B123" s="4">
        <v>42488</v>
      </c>
      <c r="C123" s="3">
        <v>119</v>
      </c>
      <c r="D123" s="2">
        <v>100</v>
      </c>
      <c r="E123" s="2">
        <v>100</v>
      </c>
      <c r="F123" s="2">
        <v>100</v>
      </c>
      <c r="G123" s="2">
        <v>100</v>
      </c>
      <c r="H123" s="2">
        <v>100</v>
      </c>
      <c r="I123" s="2">
        <v>100</v>
      </c>
      <c r="J123" s="2">
        <v>100</v>
      </c>
      <c r="K123" s="2">
        <v>100</v>
      </c>
      <c r="L123" s="2">
        <v>100</v>
      </c>
      <c r="M123" s="2">
        <v>100</v>
      </c>
      <c r="N123" s="2">
        <v>100</v>
      </c>
      <c r="O123" s="2">
        <v>100</v>
      </c>
      <c r="P123" s="2">
        <v>100</v>
      </c>
      <c r="Q123" s="2">
        <v>100</v>
      </c>
      <c r="R123" s="2">
        <v>100</v>
      </c>
      <c r="S123" s="2">
        <v>100</v>
      </c>
      <c r="T123" s="2">
        <v>100</v>
      </c>
      <c r="U123" s="2">
        <v>96</v>
      </c>
      <c r="V123" s="2">
        <v>90</v>
      </c>
      <c r="W123" s="2">
        <v>72</v>
      </c>
      <c r="X123" s="2">
        <v>78</v>
      </c>
      <c r="Y123" s="2">
        <v>87</v>
      </c>
      <c r="Z123" s="2">
        <v>100</v>
      </c>
      <c r="AA123" s="2">
        <v>100</v>
      </c>
      <c r="AC123" s="3">
        <f t="shared" si="1"/>
        <v>96.791666666666671</v>
      </c>
    </row>
    <row r="124" spans="2:29" x14ac:dyDescent="0.25">
      <c r="B124" s="4">
        <v>42489</v>
      </c>
      <c r="C124" s="3">
        <v>120</v>
      </c>
      <c r="D124" s="2">
        <v>100</v>
      </c>
      <c r="E124" s="2">
        <v>100</v>
      </c>
      <c r="F124" s="2">
        <v>100</v>
      </c>
      <c r="G124" s="2">
        <v>100</v>
      </c>
      <c r="H124" s="2">
        <v>100</v>
      </c>
      <c r="I124" s="2">
        <v>100</v>
      </c>
      <c r="J124" s="2">
        <v>100</v>
      </c>
      <c r="K124" s="2">
        <v>100</v>
      </c>
      <c r="L124" s="2">
        <v>100</v>
      </c>
      <c r="M124" s="2">
        <v>74</v>
      </c>
      <c r="N124" s="2">
        <v>62</v>
      </c>
      <c r="O124" s="2">
        <v>59</v>
      </c>
      <c r="P124" s="2">
        <v>54</v>
      </c>
      <c r="Q124" s="2">
        <v>50</v>
      </c>
      <c r="R124" s="2">
        <v>46</v>
      </c>
      <c r="S124" s="2">
        <v>54</v>
      </c>
      <c r="T124" s="2">
        <v>53</v>
      </c>
      <c r="U124" s="2">
        <v>58</v>
      </c>
      <c r="V124" s="2">
        <v>63</v>
      </c>
      <c r="W124" s="2">
        <v>70</v>
      </c>
      <c r="X124" s="2">
        <v>76</v>
      </c>
      <c r="Y124" s="2">
        <v>83</v>
      </c>
      <c r="Z124" s="2">
        <v>86</v>
      </c>
      <c r="AA124" s="2">
        <v>86</v>
      </c>
      <c r="AC124" s="3">
        <f t="shared" si="1"/>
        <v>78.083333333333329</v>
      </c>
    </row>
    <row r="125" spans="2:29" x14ac:dyDescent="0.25">
      <c r="B125" s="4">
        <v>42490</v>
      </c>
      <c r="C125" s="3">
        <v>121</v>
      </c>
      <c r="D125" s="2">
        <v>89</v>
      </c>
      <c r="E125" s="2">
        <v>96</v>
      </c>
      <c r="F125" s="2">
        <v>100</v>
      </c>
      <c r="G125" s="2">
        <v>98</v>
      </c>
      <c r="H125" s="2">
        <v>99</v>
      </c>
      <c r="I125" s="2">
        <v>100</v>
      </c>
      <c r="J125" s="2">
        <v>100</v>
      </c>
      <c r="K125" s="2">
        <v>100</v>
      </c>
      <c r="L125" s="2">
        <v>100</v>
      </c>
      <c r="M125" s="2">
        <v>99</v>
      </c>
      <c r="N125" s="2">
        <v>84</v>
      </c>
      <c r="O125" s="2">
        <v>79</v>
      </c>
      <c r="P125" s="2">
        <v>62</v>
      </c>
      <c r="Q125" s="2">
        <v>51</v>
      </c>
      <c r="R125" s="2">
        <v>35</v>
      </c>
      <c r="S125" s="2">
        <v>36</v>
      </c>
      <c r="T125" s="2">
        <v>34</v>
      </c>
      <c r="U125" s="2">
        <v>33</v>
      </c>
      <c r="V125" s="2">
        <v>31</v>
      </c>
      <c r="W125" s="2">
        <v>31</v>
      </c>
      <c r="X125" s="2">
        <v>78</v>
      </c>
      <c r="Y125" s="2">
        <v>92</v>
      </c>
      <c r="Z125" s="2">
        <v>100</v>
      </c>
      <c r="AA125" s="2">
        <v>86</v>
      </c>
      <c r="AC125" s="3">
        <f t="shared" si="1"/>
        <v>75.541666666666671</v>
      </c>
    </row>
    <row r="126" spans="2:29" x14ac:dyDescent="0.25">
      <c r="B126" s="4">
        <v>42491</v>
      </c>
      <c r="C126" s="3">
        <v>122</v>
      </c>
      <c r="D126" s="2">
        <v>51</v>
      </c>
      <c r="E126" s="2">
        <v>53</v>
      </c>
      <c r="F126" s="2">
        <v>50</v>
      </c>
      <c r="G126" s="2">
        <v>49</v>
      </c>
      <c r="H126" s="2">
        <v>52</v>
      </c>
      <c r="I126" s="2">
        <v>51</v>
      </c>
      <c r="J126" s="2">
        <v>48</v>
      </c>
      <c r="K126" s="2">
        <v>49</v>
      </c>
      <c r="L126" s="2">
        <v>48</v>
      </c>
      <c r="M126" s="2">
        <v>35</v>
      </c>
      <c r="N126" s="2">
        <v>29</v>
      </c>
      <c r="O126" s="2">
        <v>23</v>
      </c>
      <c r="P126" s="2">
        <v>23</v>
      </c>
      <c r="Q126" s="2">
        <v>21</v>
      </c>
      <c r="R126" s="2">
        <v>19</v>
      </c>
      <c r="S126" s="2">
        <v>19</v>
      </c>
      <c r="T126" s="2">
        <v>17</v>
      </c>
      <c r="U126" s="2">
        <v>16</v>
      </c>
      <c r="V126" s="2">
        <v>17</v>
      </c>
      <c r="W126" s="2">
        <v>18</v>
      </c>
      <c r="X126" s="2">
        <v>20</v>
      </c>
      <c r="Y126" s="2">
        <v>23</v>
      </c>
      <c r="Z126" s="2">
        <v>28</v>
      </c>
      <c r="AA126" s="2">
        <v>32</v>
      </c>
      <c r="AC126" s="3">
        <f t="shared" si="1"/>
        <v>32.958333333333336</v>
      </c>
    </row>
    <row r="127" spans="2:29" x14ac:dyDescent="0.25">
      <c r="B127" s="4">
        <v>42492</v>
      </c>
      <c r="C127" s="3">
        <v>123</v>
      </c>
      <c r="D127" s="2">
        <v>35</v>
      </c>
      <c r="E127" s="2">
        <v>41</v>
      </c>
      <c r="F127" s="2">
        <v>46</v>
      </c>
      <c r="G127" s="2">
        <v>47</v>
      </c>
      <c r="H127" s="2">
        <v>53</v>
      </c>
      <c r="I127" s="2">
        <v>49</v>
      </c>
      <c r="J127" s="2">
        <v>61</v>
      </c>
      <c r="K127" s="2">
        <v>82</v>
      </c>
      <c r="L127" s="2">
        <v>50</v>
      </c>
      <c r="M127" s="2">
        <v>41</v>
      </c>
      <c r="N127" s="2">
        <v>39</v>
      </c>
      <c r="O127" s="2">
        <v>34</v>
      </c>
      <c r="P127" s="2">
        <v>35</v>
      </c>
      <c r="Q127" s="2">
        <v>33</v>
      </c>
      <c r="R127" s="2">
        <v>32</v>
      </c>
      <c r="S127" s="2">
        <v>29</v>
      </c>
      <c r="T127" s="2">
        <v>29</v>
      </c>
      <c r="U127" s="2">
        <v>27</v>
      </c>
      <c r="V127" s="2">
        <v>25</v>
      </c>
      <c r="W127" s="2">
        <v>42</v>
      </c>
      <c r="X127" s="2">
        <v>56</v>
      </c>
      <c r="Y127" s="2">
        <v>62</v>
      </c>
      <c r="Z127" s="2">
        <v>82</v>
      </c>
      <c r="AA127" s="2">
        <v>92</v>
      </c>
      <c r="AC127" s="3">
        <f t="shared" si="1"/>
        <v>46.75</v>
      </c>
    </row>
    <row r="128" spans="2:29" x14ac:dyDescent="0.25">
      <c r="B128" s="4">
        <v>42493</v>
      </c>
      <c r="C128" s="3">
        <v>124</v>
      </c>
      <c r="D128" s="2">
        <v>84</v>
      </c>
      <c r="E128" s="2">
        <v>79</v>
      </c>
      <c r="F128" s="2">
        <v>88</v>
      </c>
      <c r="G128" s="2">
        <v>80</v>
      </c>
      <c r="H128" s="2">
        <v>76</v>
      </c>
      <c r="I128" s="2">
        <v>86</v>
      </c>
      <c r="J128" s="2">
        <v>100</v>
      </c>
      <c r="K128" s="2">
        <v>100</v>
      </c>
      <c r="L128" s="2">
        <v>67</v>
      </c>
      <c r="M128" s="2">
        <v>54</v>
      </c>
      <c r="N128" s="2">
        <v>44</v>
      </c>
      <c r="O128" s="2">
        <v>40</v>
      </c>
      <c r="P128" s="2">
        <v>37</v>
      </c>
      <c r="Q128" s="2">
        <v>38</v>
      </c>
      <c r="R128" s="2">
        <v>39</v>
      </c>
      <c r="S128" s="2">
        <v>40</v>
      </c>
      <c r="T128" s="2">
        <v>41</v>
      </c>
      <c r="U128" s="2">
        <v>49</v>
      </c>
      <c r="V128" s="2">
        <v>50</v>
      </c>
      <c r="W128" s="2">
        <v>49</v>
      </c>
      <c r="X128" s="2">
        <v>57</v>
      </c>
      <c r="Y128" s="2">
        <v>73</v>
      </c>
      <c r="Z128" s="2">
        <v>84</v>
      </c>
      <c r="AA128" s="2">
        <v>86</v>
      </c>
      <c r="AC128" s="3">
        <f t="shared" si="1"/>
        <v>64.208333333333329</v>
      </c>
    </row>
    <row r="129" spans="2:29" x14ac:dyDescent="0.25">
      <c r="B129" s="4">
        <v>42494</v>
      </c>
      <c r="C129" s="3">
        <v>125</v>
      </c>
      <c r="D129" s="2">
        <v>84</v>
      </c>
      <c r="E129" s="2">
        <v>87</v>
      </c>
      <c r="F129" s="2">
        <v>93</v>
      </c>
      <c r="G129" s="2">
        <v>92</v>
      </c>
      <c r="H129" s="2">
        <v>100</v>
      </c>
      <c r="I129" s="2">
        <v>97</v>
      </c>
      <c r="J129" s="2">
        <v>99</v>
      </c>
      <c r="K129" s="2">
        <v>97</v>
      </c>
      <c r="L129" s="2">
        <v>72</v>
      </c>
      <c r="M129" s="2">
        <v>51</v>
      </c>
      <c r="N129" s="2">
        <v>44</v>
      </c>
      <c r="O129" s="2">
        <v>41</v>
      </c>
      <c r="P129" s="2">
        <v>41</v>
      </c>
      <c r="Q129" s="2">
        <v>40</v>
      </c>
      <c r="R129" s="2">
        <v>39</v>
      </c>
      <c r="S129" s="2">
        <v>37</v>
      </c>
      <c r="T129" s="2">
        <v>39</v>
      </c>
      <c r="U129" s="2">
        <v>43</v>
      </c>
      <c r="V129" s="2">
        <v>46</v>
      </c>
      <c r="W129" s="2">
        <v>52</v>
      </c>
      <c r="X129" s="2">
        <v>65</v>
      </c>
      <c r="Y129" s="2">
        <v>78</v>
      </c>
      <c r="Z129" s="2">
        <v>93</v>
      </c>
      <c r="AA129" s="2">
        <v>100</v>
      </c>
      <c r="AC129" s="3">
        <f t="shared" si="1"/>
        <v>67.916666666666671</v>
      </c>
    </row>
    <row r="130" spans="2:29" x14ac:dyDescent="0.25">
      <c r="B130" s="4">
        <v>42495</v>
      </c>
      <c r="C130" s="3">
        <v>126</v>
      </c>
      <c r="D130" s="2">
        <v>100</v>
      </c>
      <c r="E130" s="2">
        <v>100</v>
      </c>
      <c r="F130" s="2">
        <v>100</v>
      </c>
      <c r="G130" s="2">
        <v>100</v>
      </c>
      <c r="H130" s="2">
        <v>100</v>
      </c>
      <c r="I130" s="2">
        <v>100</v>
      </c>
      <c r="J130" s="2">
        <v>100</v>
      </c>
      <c r="K130" s="2">
        <v>100</v>
      </c>
      <c r="L130" s="2">
        <v>79</v>
      </c>
      <c r="M130" s="2">
        <v>65</v>
      </c>
      <c r="N130" s="2">
        <v>44</v>
      </c>
      <c r="O130" s="2">
        <v>47</v>
      </c>
      <c r="P130" s="2">
        <v>46</v>
      </c>
      <c r="Q130" s="2">
        <v>46</v>
      </c>
      <c r="R130" s="2">
        <v>55</v>
      </c>
      <c r="S130" s="2">
        <v>54</v>
      </c>
      <c r="T130" s="2">
        <v>64</v>
      </c>
      <c r="U130" s="2">
        <v>69</v>
      </c>
      <c r="V130" s="2">
        <v>62</v>
      </c>
      <c r="W130" s="2">
        <v>62</v>
      </c>
      <c r="X130" s="2">
        <v>67</v>
      </c>
      <c r="Y130" s="2">
        <v>81</v>
      </c>
      <c r="Z130" s="2">
        <v>85</v>
      </c>
      <c r="AA130" s="2">
        <v>95</v>
      </c>
      <c r="AC130" s="3">
        <f t="shared" si="1"/>
        <v>75.875</v>
      </c>
    </row>
    <row r="131" spans="2:29" x14ac:dyDescent="0.25">
      <c r="B131" s="4">
        <v>42496</v>
      </c>
      <c r="C131" s="3">
        <v>127</v>
      </c>
      <c r="D131" s="2">
        <v>79</v>
      </c>
      <c r="E131" s="2">
        <v>76</v>
      </c>
      <c r="F131" s="2">
        <v>76</v>
      </c>
      <c r="G131" s="2">
        <v>77</v>
      </c>
      <c r="H131" s="2">
        <v>79</v>
      </c>
      <c r="I131" s="2">
        <v>78</v>
      </c>
      <c r="J131" s="2">
        <v>81</v>
      </c>
      <c r="K131" s="2">
        <v>80</v>
      </c>
      <c r="L131" s="2">
        <v>83</v>
      </c>
      <c r="M131" s="2">
        <v>80</v>
      </c>
      <c r="N131" s="2">
        <v>85</v>
      </c>
      <c r="O131" s="2">
        <v>78</v>
      </c>
      <c r="P131" s="2">
        <v>72</v>
      </c>
      <c r="Q131" s="2">
        <v>63</v>
      </c>
      <c r="R131" s="2">
        <v>55</v>
      </c>
      <c r="S131" s="2">
        <v>53</v>
      </c>
      <c r="T131" s="2">
        <v>53</v>
      </c>
      <c r="U131" s="2">
        <v>52</v>
      </c>
      <c r="V131" s="2">
        <v>65</v>
      </c>
      <c r="W131" s="2">
        <v>69</v>
      </c>
      <c r="X131" s="2">
        <v>72</v>
      </c>
      <c r="Y131" s="2">
        <v>78</v>
      </c>
      <c r="Z131" s="2">
        <v>84</v>
      </c>
      <c r="AA131" s="2">
        <v>81</v>
      </c>
      <c r="AC131" s="3">
        <f t="shared" si="1"/>
        <v>72.875</v>
      </c>
    </row>
    <row r="132" spans="2:29" x14ac:dyDescent="0.25">
      <c r="B132" s="4">
        <v>42497</v>
      </c>
      <c r="C132" s="3">
        <v>128</v>
      </c>
      <c r="D132" s="2">
        <v>79</v>
      </c>
      <c r="E132" s="2">
        <v>79</v>
      </c>
      <c r="F132" s="2">
        <v>78</v>
      </c>
      <c r="G132" s="2">
        <v>77</v>
      </c>
      <c r="H132" s="2">
        <v>78</v>
      </c>
      <c r="I132" s="2">
        <v>82</v>
      </c>
      <c r="J132" s="2">
        <v>88</v>
      </c>
      <c r="K132" s="2">
        <v>90</v>
      </c>
      <c r="L132" s="2">
        <v>80</v>
      </c>
      <c r="M132" s="2">
        <v>66</v>
      </c>
      <c r="N132" s="2">
        <v>67</v>
      </c>
      <c r="O132" s="2">
        <v>71</v>
      </c>
      <c r="P132" s="2">
        <v>94</v>
      </c>
      <c r="Q132" s="2">
        <v>77</v>
      </c>
      <c r="R132" s="2">
        <v>62</v>
      </c>
      <c r="S132" s="2">
        <v>55</v>
      </c>
      <c r="T132" s="2">
        <v>47</v>
      </c>
      <c r="U132" s="2">
        <v>54</v>
      </c>
      <c r="V132" s="2">
        <v>47</v>
      </c>
      <c r="W132" s="2">
        <v>66</v>
      </c>
      <c r="X132" s="2">
        <v>78</v>
      </c>
      <c r="Y132" s="2">
        <v>98</v>
      </c>
      <c r="Z132" s="2">
        <v>96</v>
      </c>
      <c r="AA132" s="2">
        <v>99</v>
      </c>
      <c r="AC132" s="3">
        <f t="shared" si="1"/>
        <v>75.333333333333329</v>
      </c>
    </row>
    <row r="133" spans="2:29" x14ac:dyDescent="0.25">
      <c r="B133" s="4">
        <v>42498</v>
      </c>
      <c r="C133" s="3">
        <v>129</v>
      </c>
      <c r="D133" s="2">
        <v>100</v>
      </c>
      <c r="E133" s="2">
        <v>100</v>
      </c>
      <c r="F133" s="2">
        <v>100</v>
      </c>
      <c r="G133" s="2">
        <v>100</v>
      </c>
      <c r="H133" s="2">
        <v>100</v>
      </c>
      <c r="I133" s="2">
        <v>88</v>
      </c>
      <c r="J133" s="2">
        <v>82</v>
      </c>
      <c r="K133" s="2">
        <v>81</v>
      </c>
      <c r="L133" s="2">
        <v>79</v>
      </c>
      <c r="M133" s="2">
        <v>79</v>
      </c>
      <c r="N133" s="2">
        <v>78</v>
      </c>
      <c r="O133" s="2">
        <v>78</v>
      </c>
      <c r="P133" s="2">
        <v>79</v>
      </c>
      <c r="Q133" s="2">
        <v>82</v>
      </c>
      <c r="R133" s="2">
        <v>78</v>
      </c>
      <c r="S133" s="2">
        <v>76</v>
      </c>
      <c r="T133" s="2">
        <v>95</v>
      </c>
      <c r="U133" s="2">
        <v>96</v>
      </c>
      <c r="V133" s="2">
        <v>95</v>
      </c>
      <c r="W133" s="2">
        <v>97</v>
      </c>
      <c r="X133" s="2">
        <v>98</v>
      </c>
      <c r="Y133" s="2">
        <v>98</v>
      </c>
      <c r="Z133" s="2">
        <v>100</v>
      </c>
      <c r="AA133" s="2">
        <v>100</v>
      </c>
      <c r="AC133" s="3">
        <f t="shared" si="1"/>
        <v>89.958333333333329</v>
      </c>
    </row>
    <row r="134" spans="2:29" x14ac:dyDescent="0.25">
      <c r="B134" s="4">
        <v>42499</v>
      </c>
      <c r="C134" s="3">
        <v>130</v>
      </c>
      <c r="D134" s="2">
        <v>97</v>
      </c>
      <c r="E134" s="2">
        <v>91</v>
      </c>
      <c r="F134" s="2">
        <v>96</v>
      </c>
      <c r="G134" s="2">
        <v>91</v>
      </c>
      <c r="H134" s="2">
        <v>88</v>
      </c>
      <c r="I134" s="2">
        <v>90</v>
      </c>
      <c r="J134" s="2">
        <v>98</v>
      </c>
      <c r="K134" s="2">
        <v>100</v>
      </c>
      <c r="L134" s="2">
        <v>93</v>
      </c>
      <c r="M134" s="2">
        <v>90</v>
      </c>
      <c r="N134" s="2">
        <v>85</v>
      </c>
      <c r="O134" s="2">
        <v>86</v>
      </c>
      <c r="P134" s="2">
        <v>92</v>
      </c>
      <c r="Q134" s="2">
        <v>87</v>
      </c>
      <c r="R134" s="2">
        <v>93</v>
      </c>
      <c r="S134" s="2">
        <v>86</v>
      </c>
      <c r="T134" s="2">
        <v>76</v>
      </c>
      <c r="U134" s="2">
        <v>68</v>
      </c>
      <c r="V134" s="2">
        <v>83</v>
      </c>
      <c r="W134" s="2">
        <v>94</v>
      </c>
      <c r="X134" s="2">
        <v>93</v>
      </c>
      <c r="Y134" s="2">
        <v>100</v>
      </c>
      <c r="Z134" s="2">
        <v>100</v>
      </c>
      <c r="AA134" s="2">
        <v>100</v>
      </c>
      <c r="AC134" s="3">
        <f t="shared" ref="AC134:AC197" si="2">(SUM((D134:AA134))/24)</f>
        <v>90.708333333333329</v>
      </c>
    </row>
    <row r="135" spans="2:29" x14ac:dyDescent="0.25">
      <c r="B135" s="4">
        <v>42500</v>
      </c>
      <c r="C135" s="3">
        <v>131</v>
      </c>
      <c r="D135" s="2">
        <v>100</v>
      </c>
      <c r="E135" s="2">
        <v>100</v>
      </c>
      <c r="F135" s="2">
        <v>100</v>
      </c>
      <c r="G135" s="2">
        <v>100</v>
      </c>
      <c r="H135" s="2">
        <v>100</v>
      </c>
      <c r="I135" s="2">
        <v>100</v>
      </c>
      <c r="J135" s="2">
        <v>100</v>
      </c>
      <c r="K135" s="2">
        <v>100</v>
      </c>
      <c r="L135" s="2">
        <v>100</v>
      </c>
      <c r="M135" s="2">
        <v>100</v>
      </c>
      <c r="N135" s="2">
        <v>79</v>
      </c>
      <c r="O135" s="2">
        <v>74</v>
      </c>
      <c r="P135" s="2">
        <v>68</v>
      </c>
      <c r="Q135" s="2">
        <v>71</v>
      </c>
      <c r="R135" s="2">
        <v>72</v>
      </c>
      <c r="S135" s="2">
        <v>69</v>
      </c>
      <c r="T135" s="2">
        <v>80</v>
      </c>
      <c r="U135" s="2">
        <v>83</v>
      </c>
      <c r="V135" s="2">
        <v>100</v>
      </c>
      <c r="W135" s="2">
        <v>100</v>
      </c>
      <c r="X135" s="2">
        <v>100</v>
      </c>
      <c r="Y135" s="2">
        <v>100</v>
      </c>
      <c r="Z135" s="2">
        <v>100</v>
      </c>
      <c r="AA135" s="2">
        <v>100</v>
      </c>
      <c r="AC135" s="3">
        <f t="shared" si="2"/>
        <v>91.5</v>
      </c>
    </row>
    <row r="136" spans="2:29" x14ac:dyDescent="0.25">
      <c r="B136" s="4">
        <v>42501</v>
      </c>
      <c r="C136" s="3">
        <v>132</v>
      </c>
      <c r="D136" s="2">
        <v>100</v>
      </c>
      <c r="E136" s="2">
        <v>100</v>
      </c>
      <c r="F136" s="2">
        <v>100</v>
      </c>
      <c r="G136" s="2">
        <v>100</v>
      </c>
      <c r="H136" s="2">
        <v>100</v>
      </c>
      <c r="I136" s="2">
        <v>100</v>
      </c>
      <c r="J136" s="2">
        <v>100</v>
      </c>
      <c r="K136" s="2">
        <v>100</v>
      </c>
      <c r="L136" s="2">
        <v>100</v>
      </c>
      <c r="M136" s="2">
        <v>100</v>
      </c>
      <c r="N136" s="2">
        <v>95</v>
      </c>
      <c r="O136" s="2">
        <v>80</v>
      </c>
      <c r="P136" s="2">
        <v>54</v>
      </c>
      <c r="Q136" s="2">
        <v>48</v>
      </c>
      <c r="R136" s="2">
        <v>46</v>
      </c>
      <c r="S136" s="2">
        <v>62</v>
      </c>
      <c r="T136" s="2">
        <v>65</v>
      </c>
      <c r="U136" s="2">
        <v>69</v>
      </c>
      <c r="V136" s="2">
        <v>60</v>
      </c>
      <c r="W136" s="2">
        <v>58</v>
      </c>
      <c r="X136" s="2">
        <v>66</v>
      </c>
      <c r="Y136" s="2">
        <v>86</v>
      </c>
      <c r="Z136" s="2">
        <v>99</v>
      </c>
      <c r="AA136" s="2">
        <v>100</v>
      </c>
      <c r="AC136" s="3">
        <f t="shared" si="2"/>
        <v>82.833333333333329</v>
      </c>
    </row>
    <row r="137" spans="2:29" x14ac:dyDescent="0.25">
      <c r="B137" s="4">
        <v>42502</v>
      </c>
      <c r="C137" s="3">
        <v>133</v>
      </c>
      <c r="D137" s="2">
        <v>95</v>
      </c>
      <c r="E137" s="2">
        <v>94</v>
      </c>
      <c r="F137" s="2">
        <v>98</v>
      </c>
      <c r="G137" s="2">
        <v>91</v>
      </c>
      <c r="H137" s="2">
        <v>95</v>
      </c>
      <c r="I137" s="2">
        <v>100</v>
      </c>
      <c r="J137" s="2">
        <v>100</v>
      </c>
      <c r="K137" s="2">
        <v>100</v>
      </c>
      <c r="L137" s="2">
        <v>71</v>
      </c>
      <c r="M137" s="2">
        <v>72</v>
      </c>
      <c r="N137" s="2">
        <v>68</v>
      </c>
      <c r="O137" s="2">
        <v>50</v>
      </c>
      <c r="P137" s="2">
        <v>50</v>
      </c>
      <c r="Q137" s="2">
        <v>49</v>
      </c>
      <c r="R137" s="2">
        <v>46</v>
      </c>
      <c r="S137" s="2">
        <v>43</v>
      </c>
      <c r="T137" s="2">
        <v>44</v>
      </c>
      <c r="U137" s="2">
        <v>59</v>
      </c>
      <c r="V137" s="2">
        <v>64</v>
      </c>
      <c r="W137" s="2">
        <v>71</v>
      </c>
      <c r="X137" s="2">
        <v>70</v>
      </c>
      <c r="Y137" s="2">
        <v>85</v>
      </c>
      <c r="Z137" s="2">
        <v>100</v>
      </c>
      <c r="AA137" s="2">
        <v>100</v>
      </c>
      <c r="AC137" s="3">
        <f t="shared" si="2"/>
        <v>75.625</v>
      </c>
    </row>
    <row r="138" spans="2:29" x14ac:dyDescent="0.25">
      <c r="B138" s="4">
        <v>42503</v>
      </c>
      <c r="C138" s="3">
        <v>134</v>
      </c>
      <c r="D138" s="2">
        <v>100</v>
      </c>
      <c r="E138" s="2">
        <v>100</v>
      </c>
      <c r="F138" s="2">
        <v>78</v>
      </c>
      <c r="G138" s="2">
        <v>87</v>
      </c>
      <c r="H138" s="2">
        <v>92</v>
      </c>
      <c r="I138" s="2">
        <v>93</v>
      </c>
      <c r="J138" s="2">
        <v>100</v>
      </c>
      <c r="K138" s="2">
        <v>99</v>
      </c>
      <c r="L138" s="2">
        <v>79</v>
      </c>
      <c r="M138" s="2">
        <v>60</v>
      </c>
      <c r="N138" s="2">
        <v>51</v>
      </c>
      <c r="O138" s="2">
        <v>42</v>
      </c>
      <c r="P138" s="2">
        <v>43</v>
      </c>
      <c r="Q138" s="2">
        <v>42</v>
      </c>
      <c r="R138" s="2">
        <v>40</v>
      </c>
      <c r="S138" s="2">
        <v>38</v>
      </c>
      <c r="T138" s="2">
        <v>37</v>
      </c>
      <c r="U138" s="2">
        <v>39</v>
      </c>
      <c r="V138" s="2">
        <v>51</v>
      </c>
      <c r="W138" s="2">
        <v>54</v>
      </c>
      <c r="X138" s="2">
        <v>46</v>
      </c>
      <c r="Y138" s="2">
        <v>50</v>
      </c>
      <c r="Z138" s="2">
        <v>51</v>
      </c>
      <c r="AA138" s="2">
        <v>53</v>
      </c>
      <c r="AC138" s="3">
        <f t="shared" si="2"/>
        <v>63.541666666666664</v>
      </c>
    </row>
    <row r="139" spans="2:29" x14ac:dyDescent="0.25">
      <c r="B139" s="4">
        <v>42504</v>
      </c>
      <c r="C139" s="3">
        <v>135</v>
      </c>
      <c r="D139" s="2">
        <v>54</v>
      </c>
      <c r="E139" s="2">
        <v>57</v>
      </c>
      <c r="F139" s="2">
        <v>54</v>
      </c>
      <c r="G139" s="2">
        <v>57</v>
      </c>
      <c r="H139" s="2">
        <v>57</v>
      </c>
      <c r="I139" s="2">
        <v>62</v>
      </c>
      <c r="J139" s="2">
        <v>69</v>
      </c>
      <c r="K139" s="2">
        <v>83</v>
      </c>
      <c r="L139" s="2">
        <v>66</v>
      </c>
      <c r="M139" s="2">
        <v>54</v>
      </c>
      <c r="N139" s="2">
        <v>49</v>
      </c>
      <c r="O139" s="2">
        <v>46</v>
      </c>
      <c r="P139" s="2">
        <v>46</v>
      </c>
      <c r="Q139" s="2">
        <v>43</v>
      </c>
      <c r="R139" s="2">
        <v>40</v>
      </c>
      <c r="S139" s="2">
        <v>38</v>
      </c>
      <c r="T139" s="2">
        <v>35</v>
      </c>
      <c r="U139" s="2">
        <v>35</v>
      </c>
      <c r="V139" s="2">
        <v>37</v>
      </c>
      <c r="W139" s="2">
        <v>37</v>
      </c>
      <c r="X139" s="2">
        <v>41</v>
      </c>
      <c r="Y139" s="2">
        <v>46</v>
      </c>
      <c r="Z139" s="2">
        <v>53</v>
      </c>
      <c r="AA139" s="2">
        <v>79</v>
      </c>
      <c r="AC139" s="3">
        <f t="shared" si="2"/>
        <v>51.583333333333336</v>
      </c>
    </row>
    <row r="140" spans="2:29" x14ac:dyDescent="0.25">
      <c r="B140" s="4">
        <v>42505</v>
      </c>
      <c r="C140" s="3">
        <v>136</v>
      </c>
      <c r="D140" s="2">
        <v>89</v>
      </c>
      <c r="E140" s="2">
        <v>81</v>
      </c>
      <c r="F140" s="2">
        <v>100</v>
      </c>
      <c r="G140" s="2">
        <v>81</v>
      </c>
      <c r="H140" s="2">
        <v>80</v>
      </c>
      <c r="I140" s="2">
        <v>92</v>
      </c>
      <c r="J140" s="2">
        <v>100</v>
      </c>
      <c r="K140" s="2">
        <v>96</v>
      </c>
      <c r="L140" s="2">
        <v>73</v>
      </c>
      <c r="M140" s="2">
        <v>59</v>
      </c>
      <c r="N140" s="2">
        <v>53</v>
      </c>
      <c r="O140" s="2">
        <v>46</v>
      </c>
      <c r="P140" s="2">
        <v>42</v>
      </c>
      <c r="Q140" s="2">
        <v>43</v>
      </c>
      <c r="R140" s="2">
        <v>41</v>
      </c>
      <c r="S140" s="2">
        <v>44</v>
      </c>
      <c r="T140" s="2">
        <v>49</v>
      </c>
      <c r="U140" s="2">
        <v>58</v>
      </c>
      <c r="V140" s="2">
        <v>63</v>
      </c>
      <c r="W140" s="2">
        <v>66</v>
      </c>
      <c r="X140" s="2">
        <v>64</v>
      </c>
      <c r="Y140" s="2">
        <v>78</v>
      </c>
      <c r="Z140" s="2">
        <v>91</v>
      </c>
      <c r="AA140" s="2">
        <v>100</v>
      </c>
      <c r="AC140" s="3">
        <f t="shared" si="2"/>
        <v>70.375</v>
      </c>
    </row>
    <row r="141" spans="2:29" x14ac:dyDescent="0.25">
      <c r="B141" s="4">
        <v>42506</v>
      </c>
      <c r="C141" s="3">
        <v>137</v>
      </c>
      <c r="D141" s="2">
        <v>100</v>
      </c>
      <c r="E141" s="2">
        <v>100</v>
      </c>
      <c r="F141" s="2">
        <v>100</v>
      </c>
      <c r="G141" s="2">
        <v>100</v>
      </c>
      <c r="H141" s="2">
        <v>96</v>
      </c>
      <c r="I141" s="2">
        <v>93</v>
      </c>
      <c r="J141" s="2">
        <v>100</v>
      </c>
      <c r="K141" s="2">
        <v>91</v>
      </c>
      <c r="L141" s="2">
        <v>71</v>
      </c>
      <c r="M141" s="2">
        <v>57</v>
      </c>
      <c r="N141" s="2">
        <v>51</v>
      </c>
      <c r="O141" s="2">
        <v>44</v>
      </c>
      <c r="P141" s="2">
        <v>36</v>
      </c>
      <c r="Q141" s="2">
        <v>33</v>
      </c>
      <c r="R141" s="2">
        <v>40</v>
      </c>
      <c r="S141" s="2">
        <v>40</v>
      </c>
      <c r="T141" s="2">
        <v>41</v>
      </c>
      <c r="U141" s="2">
        <v>43</v>
      </c>
      <c r="V141" s="2">
        <v>47</v>
      </c>
      <c r="W141" s="2">
        <v>51</v>
      </c>
      <c r="X141" s="2">
        <v>55</v>
      </c>
      <c r="Y141" s="2">
        <v>65</v>
      </c>
      <c r="Z141" s="2">
        <v>91</v>
      </c>
      <c r="AA141" s="2">
        <v>100</v>
      </c>
      <c r="AC141" s="3">
        <f t="shared" si="2"/>
        <v>68.541666666666671</v>
      </c>
    </row>
    <row r="142" spans="2:29" x14ac:dyDescent="0.25">
      <c r="B142" s="4">
        <v>42507</v>
      </c>
      <c r="C142" s="3">
        <v>138</v>
      </c>
      <c r="D142" s="2">
        <v>100</v>
      </c>
      <c r="E142" s="2">
        <v>100</v>
      </c>
      <c r="F142" s="2">
        <v>100</v>
      </c>
      <c r="G142" s="2">
        <v>100</v>
      </c>
      <c r="H142" s="2">
        <v>100</v>
      </c>
      <c r="I142" s="2">
        <v>100</v>
      </c>
      <c r="J142" s="2">
        <v>100</v>
      </c>
      <c r="K142" s="2">
        <v>99</v>
      </c>
      <c r="L142" s="2">
        <v>82</v>
      </c>
      <c r="M142" s="2">
        <v>61</v>
      </c>
      <c r="N142" s="2">
        <v>55</v>
      </c>
      <c r="O142" s="2">
        <v>67</v>
      </c>
      <c r="P142" s="2">
        <v>60</v>
      </c>
      <c r="Q142" s="2">
        <v>55</v>
      </c>
      <c r="R142" s="2">
        <v>56</v>
      </c>
      <c r="S142" s="2">
        <v>56</v>
      </c>
      <c r="T142" s="2">
        <v>61</v>
      </c>
      <c r="U142" s="2">
        <v>63</v>
      </c>
      <c r="V142" s="2">
        <v>56</v>
      </c>
      <c r="W142" s="2">
        <v>58</v>
      </c>
      <c r="X142" s="2">
        <v>63</v>
      </c>
      <c r="Y142" s="2">
        <v>72</v>
      </c>
      <c r="Z142" s="2">
        <v>99</v>
      </c>
      <c r="AA142" s="2">
        <v>100</v>
      </c>
      <c r="AC142" s="3">
        <f t="shared" si="2"/>
        <v>77.625</v>
      </c>
    </row>
    <row r="143" spans="2:29" x14ac:dyDescent="0.25">
      <c r="B143" s="4">
        <v>42508</v>
      </c>
      <c r="C143" s="3">
        <v>139</v>
      </c>
      <c r="D143" s="2">
        <v>100</v>
      </c>
      <c r="E143" s="2">
        <v>100</v>
      </c>
      <c r="F143" s="2">
        <v>100</v>
      </c>
      <c r="G143" s="2">
        <v>100</v>
      </c>
      <c r="H143" s="2">
        <v>97</v>
      </c>
      <c r="I143" s="2">
        <v>98</v>
      </c>
      <c r="J143" s="2">
        <v>100</v>
      </c>
      <c r="K143" s="2">
        <v>100</v>
      </c>
      <c r="L143" s="2">
        <v>78</v>
      </c>
      <c r="M143" s="2">
        <v>78</v>
      </c>
      <c r="N143" s="2">
        <v>79</v>
      </c>
      <c r="O143" s="2">
        <v>80</v>
      </c>
      <c r="P143" s="2">
        <v>74</v>
      </c>
      <c r="Q143" s="2">
        <v>77</v>
      </c>
      <c r="R143" s="2">
        <v>77</v>
      </c>
      <c r="S143" s="2">
        <v>73</v>
      </c>
      <c r="T143" s="2">
        <v>68</v>
      </c>
      <c r="U143" s="2">
        <v>73</v>
      </c>
      <c r="V143" s="2">
        <v>74</v>
      </c>
      <c r="W143" s="2">
        <v>78</v>
      </c>
      <c r="X143" s="2">
        <v>87</v>
      </c>
      <c r="Y143" s="2">
        <v>94</v>
      </c>
      <c r="Z143" s="2">
        <v>83</v>
      </c>
      <c r="AA143" s="2">
        <v>86</v>
      </c>
      <c r="AC143" s="3">
        <f t="shared" si="2"/>
        <v>85.583333333333329</v>
      </c>
    </row>
    <row r="144" spans="2:29" x14ac:dyDescent="0.25">
      <c r="B144" s="4">
        <v>42509</v>
      </c>
      <c r="C144" s="3">
        <v>140</v>
      </c>
      <c r="D144" s="2">
        <v>94</v>
      </c>
      <c r="E144" s="2">
        <v>93</v>
      </c>
      <c r="F144" s="2">
        <v>99</v>
      </c>
      <c r="G144" s="2">
        <v>100</v>
      </c>
      <c r="H144" s="2">
        <v>98</v>
      </c>
      <c r="I144" s="2">
        <v>100</v>
      </c>
      <c r="J144" s="2">
        <v>100</v>
      </c>
      <c r="K144" s="2">
        <v>67</v>
      </c>
      <c r="L144" s="2">
        <v>49</v>
      </c>
      <c r="M144" s="2">
        <v>47</v>
      </c>
      <c r="N144" s="2">
        <v>44</v>
      </c>
      <c r="O144" s="2">
        <v>45</v>
      </c>
      <c r="P144" s="2">
        <v>40</v>
      </c>
      <c r="Q144" s="2">
        <v>42</v>
      </c>
      <c r="R144" s="2">
        <v>36</v>
      </c>
      <c r="S144" s="2">
        <v>36</v>
      </c>
      <c r="T144" s="2">
        <v>34</v>
      </c>
      <c r="U144" s="2">
        <v>32</v>
      </c>
      <c r="V144" s="2">
        <v>31</v>
      </c>
      <c r="W144" s="2">
        <v>50</v>
      </c>
      <c r="X144" s="2">
        <v>71</v>
      </c>
      <c r="Y144" s="2">
        <v>84</v>
      </c>
      <c r="Z144" s="2">
        <v>85</v>
      </c>
      <c r="AA144" s="2">
        <v>86</v>
      </c>
      <c r="AC144" s="3">
        <f t="shared" si="2"/>
        <v>65.125</v>
      </c>
    </row>
    <row r="145" spans="2:29" x14ac:dyDescent="0.25">
      <c r="B145" s="4">
        <v>42510</v>
      </c>
      <c r="C145" s="3">
        <v>141</v>
      </c>
      <c r="D145" s="2">
        <v>91</v>
      </c>
      <c r="E145" s="2">
        <v>87</v>
      </c>
      <c r="F145" s="2">
        <v>96</v>
      </c>
      <c r="G145" s="2">
        <v>97</v>
      </c>
      <c r="H145" s="2">
        <v>97</v>
      </c>
      <c r="I145" s="2">
        <v>73</v>
      </c>
      <c r="J145" s="2">
        <v>77</v>
      </c>
      <c r="K145" s="2">
        <v>83</v>
      </c>
      <c r="L145" s="2">
        <v>69</v>
      </c>
      <c r="M145" s="2">
        <v>61</v>
      </c>
      <c r="N145" s="2">
        <v>52</v>
      </c>
      <c r="O145" s="2">
        <v>51</v>
      </c>
      <c r="P145" s="2">
        <v>45</v>
      </c>
      <c r="Q145" s="2">
        <v>53</v>
      </c>
      <c r="R145" s="2">
        <v>53</v>
      </c>
      <c r="S145" s="2">
        <v>56</v>
      </c>
      <c r="T145" s="2">
        <v>58</v>
      </c>
      <c r="U145" s="2">
        <v>60</v>
      </c>
      <c r="V145" s="2">
        <v>58</v>
      </c>
      <c r="W145" s="2">
        <v>61</v>
      </c>
      <c r="X145" s="2">
        <v>72</v>
      </c>
      <c r="Y145" s="2">
        <v>85</v>
      </c>
      <c r="Z145" s="2">
        <v>100</v>
      </c>
      <c r="AA145" s="2">
        <v>100</v>
      </c>
      <c r="AC145" s="3">
        <f t="shared" si="2"/>
        <v>72.291666666666671</v>
      </c>
    </row>
    <row r="146" spans="2:29" x14ac:dyDescent="0.25">
      <c r="B146" s="4">
        <v>42511</v>
      </c>
      <c r="C146" s="3">
        <v>142</v>
      </c>
      <c r="D146" s="2">
        <v>100</v>
      </c>
      <c r="E146" s="2">
        <v>100</v>
      </c>
      <c r="F146" s="2">
        <v>100</v>
      </c>
      <c r="G146" s="2">
        <v>100</v>
      </c>
      <c r="H146" s="2">
        <v>100</v>
      </c>
      <c r="I146" s="2">
        <v>100</v>
      </c>
      <c r="J146" s="2">
        <v>100</v>
      </c>
      <c r="K146" s="2">
        <v>100</v>
      </c>
      <c r="L146" s="2">
        <v>81</v>
      </c>
      <c r="M146" s="2">
        <v>77</v>
      </c>
      <c r="N146" s="2">
        <v>70</v>
      </c>
      <c r="O146" s="2">
        <v>66</v>
      </c>
      <c r="P146" s="2">
        <v>64</v>
      </c>
      <c r="Q146" s="2">
        <v>69</v>
      </c>
      <c r="R146" s="2">
        <v>66</v>
      </c>
      <c r="S146" s="2">
        <v>64</v>
      </c>
      <c r="T146" s="2">
        <v>58</v>
      </c>
      <c r="U146" s="2">
        <v>59</v>
      </c>
      <c r="V146" s="2">
        <v>65</v>
      </c>
      <c r="W146" s="2">
        <v>72</v>
      </c>
      <c r="X146" s="2">
        <v>78</v>
      </c>
      <c r="Y146" s="2">
        <v>84</v>
      </c>
      <c r="Z146" s="2">
        <v>98</v>
      </c>
      <c r="AA146" s="2">
        <v>100</v>
      </c>
      <c r="AC146" s="3">
        <f t="shared" si="2"/>
        <v>82.125</v>
      </c>
    </row>
    <row r="147" spans="2:29" x14ac:dyDescent="0.25">
      <c r="B147" s="4">
        <v>42512</v>
      </c>
      <c r="C147" s="3">
        <v>143</v>
      </c>
      <c r="D147" s="2">
        <v>99</v>
      </c>
      <c r="E147" s="2">
        <v>100</v>
      </c>
      <c r="F147" s="2">
        <v>100</v>
      </c>
      <c r="G147" s="2">
        <v>100</v>
      </c>
      <c r="H147" s="2">
        <v>100</v>
      </c>
      <c r="I147" s="2">
        <v>100</v>
      </c>
      <c r="J147" s="2">
        <v>100</v>
      </c>
      <c r="K147" s="2">
        <v>100</v>
      </c>
      <c r="L147" s="2">
        <v>99</v>
      </c>
      <c r="M147" s="2">
        <v>83</v>
      </c>
      <c r="N147" s="2">
        <v>79</v>
      </c>
      <c r="O147" s="2">
        <v>77</v>
      </c>
      <c r="P147" s="2">
        <v>73</v>
      </c>
      <c r="Q147" s="2">
        <v>73</v>
      </c>
      <c r="R147" s="2">
        <v>67</v>
      </c>
      <c r="S147" s="2">
        <v>76</v>
      </c>
      <c r="T147" s="2">
        <v>74</v>
      </c>
      <c r="U147" s="2">
        <v>78</v>
      </c>
      <c r="V147" s="2">
        <v>71</v>
      </c>
      <c r="W147" s="2">
        <v>58</v>
      </c>
      <c r="X147" s="2">
        <v>46</v>
      </c>
      <c r="Y147" s="2">
        <v>40</v>
      </c>
      <c r="Z147" s="2">
        <v>36</v>
      </c>
      <c r="AA147" s="2">
        <v>37</v>
      </c>
      <c r="AC147" s="3">
        <f t="shared" si="2"/>
        <v>77.75</v>
      </c>
    </row>
    <row r="148" spans="2:29" x14ac:dyDescent="0.25">
      <c r="B148" s="4">
        <v>42513</v>
      </c>
      <c r="C148" s="3">
        <v>144</v>
      </c>
      <c r="D148" s="2">
        <v>37</v>
      </c>
      <c r="E148" s="2">
        <v>37</v>
      </c>
      <c r="F148" s="2">
        <v>42</v>
      </c>
      <c r="G148" s="2">
        <v>48</v>
      </c>
      <c r="H148" s="2">
        <v>51</v>
      </c>
      <c r="I148" s="2">
        <v>53</v>
      </c>
      <c r="J148" s="2">
        <v>50</v>
      </c>
      <c r="K148" s="2">
        <v>46</v>
      </c>
      <c r="L148" s="2">
        <v>51</v>
      </c>
      <c r="M148" s="2">
        <v>47</v>
      </c>
      <c r="N148" s="2">
        <v>42</v>
      </c>
      <c r="O148" s="2">
        <v>36</v>
      </c>
      <c r="P148" s="2">
        <v>35</v>
      </c>
      <c r="Q148" s="2">
        <v>35</v>
      </c>
      <c r="R148" s="2">
        <v>33</v>
      </c>
      <c r="S148" s="2">
        <v>30</v>
      </c>
      <c r="T148" s="2">
        <v>37</v>
      </c>
      <c r="U148" s="2">
        <v>41</v>
      </c>
      <c r="V148" s="2">
        <v>47</v>
      </c>
      <c r="W148" s="2">
        <v>48</v>
      </c>
      <c r="X148" s="2">
        <v>57</v>
      </c>
      <c r="Y148" s="2">
        <v>65</v>
      </c>
      <c r="Z148" s="2">
        <v>76</v>
      </c>
      <c r="AA148" s="2">
        <v>79</v>
      </c>
      <c r="AC148" s="3">
        <f t="shared" si="2"/>
        <v>46.791666666666664</v>
      </c>
    </row>
    <row r="149" spans="2:29" x14ac:dyDescent="0.25">
      <c r="B149" s="4">
        <v>42514</v>
      </c>
      <c r="C149" s="3">
        <v>145</v>
      </c>
      <c r="D149" s="2">
        <v>77</v>
      </c>
      <c r="E149" s="2">
        <v>79</v>
      </c>
      <c r="F149" s="2">
        <v>82</v>
      </c>
      <c r="G149" s="2">
        <v>79</v>
      </c>
      <c r="H149" s="2">
        <v>83</v>
      </c>
      <c r="I149" s="2">
        <v>83</v>
      </c>
      <c r="J149" s="2">
        <v>81</v>
      </c>
      <c r="K149" s="2">
        <v>80</v>
      </c>
      <c r="L149" s="2">
        <v>74</v>
      </c>
      <c r="M149" s="2">
        <v>71</v>
      </c>
      <c r="N149" s="2">
        <v>68</v>
      </c>
      <c r="O149" s="2">
        <v>62</v>
      </c>
      <c r="P149" s="2">
        <v>51</v>
      </c>
      <c r="Q149" s="2">
        <v>57</v>
      </c>
      <c r="R149" s="2">
        <v>60</v>
      </c>
      <c r="S149" s="2">
        <v>67</v>
      </c>
      <c r="T149" s="2">
        <v>67</v>
      </c>
      <c r="U149" s="2">
        <v>69</v>
      </c>
      <c r="V149" s="2">
        <v>71</v>
      </c>
      <c r="W149" s="2">
        <v>71</v>
      </c>
      <c r="X149" s="2">
        <v>76</v>
      </c>
      <c r="Y149" s="2">
        <v>81</v>
      </c>
      <c r="Z149" s="2">
        <v>92</v>
      </c>
      <c r="AA149" s="2">
        <v>100</v>
      </c>
      <c r="AC149" s="3">
        <f t="shared" si="2"/>
        <v>74.208333333333329</v>
      </c>
    </row>
    <row r="150" spans="2:29" x14ac:dyDescent="0.25">
      <c r="B150" s="4">
        <v>42515</v>
      </c>
      <c r="C150" s="3">
        <v>146</v>
      </c>
      <c r="D150" s="2">
        <v>100</v>
      </c>
      <c r="E150" s="2">
        <v>100</v>
      </c>
      <c r="F150" s="2">
        <v>100</v>
      </c>
      <c r="G150" s="2">
        <v>100</v>
      </c>
      <c r="H150" s="2">
        <v>100</v>
      </c>
      <c r="I150" s="2">
        <v>100</v>
      </c>
      <c r="J150" s="2">
        <v>100</v>
      </c>
      <c r="K150" s="2">
        <v>100</v>
      </c>
      <c r="L150" s="2">
        <v>88</v>
      </c>
      <c r="M150" s="2">
        <v>79</v>
      </c>
      <c r="N150" s="2">
        <v>70</v>
      </c>
      <c r="O150" s="2">
        <v>69</v>
      </c>
      <c r="P150" s="2">
        <v>71</v>
      </c>
      <c r="Q150" s="2">
        <v>70</v>
      </c>
      <c r="R150" s="2">
        <v>72</v>
      </c>
      <c r="S150" s="2">
        <v>71</v>
      </c>
      <c r="T150" s="2">
        <v>67</v>
      </c>
      <c r="U150" s="2">
        <v>70</v>
      </c>
      <c r="V150" s="2">
        <v>72</v>
      </c>
      <c r="W150" s="2">
        <v>73</v>
      </c>
      <c r="X150" s="2">
        <v>74</v>
      </c>
      <c r="Y150" s="2">
        <v>79</v>
      </c>
      <c r="Z150" s="2">
        <v>86</v>
      </c>
      <c r="AA150" s="2">
        <v>100</v>
      </c>
      <c r="AC150" s="3">
        <f t="shared" si="2"/>
        <v>83.791666666666671</v>
      </c>
    </row>
    <row r="151" spans="2:29" x14ac:dyDescent="0.25">
      <c r="B151" s="4">
        <v>42516</v>
      </c>
      <c r="C151" s="3">
        <v>147</v>
      </c>
      <c r="D151" s="2">
        <v>97</v>
      </c>
      <c r="E151" s="2">
        <v>100</v>
      </c>
      <c r="F151" s="2">
        <v>100</v>
      </c>
      <c r="G151" s="2">
        <v>100</v>
      </c>
      <c r="H151" s="2">
        <v>100</v>
      </c>
      <c r="I151" s="2">
        <v>100</v>
      </c>
      <c r="J151" s="2">
        <v>100</v>
      </c>
      <c r="K151" s="2">
        <v>100</v>
      </c>
      <c r="L151" s="2">
        <v>91</v>
      </c>
      <c r="M151" s="2">
        <v>78</v>
      </c>
      <c r="N151" s="2">
        <v>72</v>
      </c>
      <c r="O151" s="2">
        <v>73</v>
      </c>
      <c r="P151" s="2">
        <v>68</v>
      </c>
      <c r="Q151" s="2">
        <v>70</v>
      </c>
      <c r="R151" s="2">
        <v>70</v>
      </c>
      <c r="S151" s="2">
        <v>59</v>
      </c>
      <c r="T151" s="2">
        <v>59</v>
      </c>
      <c r="U151" s="2">
        <v>65</v>
      </c>
      <c r="V151" s="2">
        <v>72</v>
      </c>
      <c r="W151" s="2">
        <v>74</v>
      </c>
      <c r="X151" s="2">
        <v>79</v>
      </c>
      <c r="Y151" s="2">
        <v>82</v>
      </c>
      <c r="Z151" s="2">
        <v>100</v>
      </c>
      <c r="AA151" s="2">
        <v>99</v>
      </c>
      <c r="AC151" s="3">
        <f t="shared" si="2"/>
        <v>83.666666666666671</v>
      </c>
    </row>
    <row r="152" spans="2:29" x14ac:dyDescent="0.25">
      <c r="B152" s="4">
        <v>42517</v>
      </c>
      <c r="C152" s="3">
        <v>148</v>
      </c>
      <c r="D152" s="2">
        <v>100</v>
      </c>
      <c r="E152" s="2">
        <v>100</v>
      </c>
      <c r="F152" s="2">
        <v>100</v>
      </c>
      <c r="G152" s="2">
        <v>100</v>
      </c>
      <c r="H152" s="2">
        <v>100</v>
      </c>
      <c r="I152" s="2">
        <v>100</v>
      </c>
      <c r="J152" s="2">
        <v>100</v>
      </c>
      <c r="K152" s="2">
        <v>100</v>
      </c>
      <c r="L152" s="2">
        <v>100</v>
      </c>
      <c r="M152" s="2">
        <v>89</v>
      </c>
      <c r="N152" s="2">
        <v>72</v>
      </c>
      <c r="O152" s="2">
        <v>63</v>
      </c>
      <c r="P152" s="2">
        <v>64</v>
      </c>
      <c r="Q152" s="2">
        <v>63</v>
      </c>
      <c r="R152" s="2">
        <v>66</v>
      </c>
      <c r="S152" s="2">
        <v>62</v>
      </c>
      <c r="T152" s="2">
        <v>57</v>
      </c>
      <c r="U152" s="2">
        <v>57</v>
      </c>
      <c r="V152" s="2">
        <v>60</v>
      </c>
      <c r="W152" s="2">
        <v>66</v>
      </c>
      <c r="X152" s="2">
        <v>76</v>
      </c>
      <c r="Y152" s="2">
        <v>83</v>
      </c>
      <c r="Z152" s="2">
        <v>90</v>
      </c>
      <c r="AA152" s="2">
        <v>100</v>
      </c>
      <c r="AC152" s="3">
        <f t="shared" si="2"/>
        <v>82</v>
      </c>
    </row>
    <row r="153" spans="2:29" x14ac:dyDescent="0.25">
      <c r="B153" s="4">
        <v>42518</v>
      </c>
      <c r="C153" s="3">
        <v>149</v>
      </c>
      <c r="D153" s="2">
        <v>100</v>
      </c>
      <c r="E153" s="2">
        <v>100</v>
      </c>
      <c r="F153" s="2">
        <v>100</v>
      </c>
      <c r="G153" s="2">
        <v>100</v>
      </c>
      <c r="H153" s="2">
        <v>100</v>
      </c>
      <c r="I153" s="2">
        <v>100</v>
      </c>
      <c r="J153" s="2">
        <v>100</v>
      </c>
      <c r="K153" s="2">
        <v>99</v>
      </c>
      <c r="L153" s="2">
        <v>92</v>
      </c>
      <c r="M153" s="2">
        <v>86</v>
      </c>
      <c r="N153" s="2">
        <v>77</v>
      </c>
      <c r="O153" s="2">
        <v>70</v>
      </c>
      <c r="P153" s="2">
        <v>68</v>
      </c>
      <c r="Q153" s="2">
        <v>69</v>
      </c>
      <c r="R153" s="2">
        <v>68</v>
      </c>
      <c r="S153" s="2">
        <v>69</v>
      </c>
      <c r="T153" s="2">
        <v>79</v>
      </c>
      <c r="U153" s="2">
        <v>72</v>
      </c>
      <c r="V153" s="2">
        <v>76</v>
      </c>
      <c r="W153" s="2">
        <v>72</v>
      </c>
      <c r="X153" s="2">
        <v>72</v>
      </c>
      <c r="Y153" s="2">
        <v>92</v>
      </c>
      <c r="Z153" s="2">
        <v>81</v>
      </c>
      <c r="AA153" s="2">
        <v>85</v>
      </c>
      <c r="AC153" s="3">
        <f t="shared" si="2"/>
        <v>84.458333333333329</v>
      </c>
    </row>
    <row r="154" spans="2:29" x14ac:dyDescent="0.25">
      <c r="B154" s="4">
        <v>42519</v>
      </c>
      <c r="C154" s="3">
        <v>150</v>
      </c>
      <c r="D154" s="2">
        <v>59</v>
      </c>
      <c r="E154" s="2">
        <v>51</v>
      </c>
      <c r="F154" s="2">
        <v>50</v>
      </c>
      <c r="G154" s="2">
        <v>54</v>
      </c>
      <c r="H154" s="2">
        <v>56</v>
      </c>
      <c r="I154" s="2">
        <v>59</v>
      </c>
      <c r="J154" s="2">
        <v>58</v>
      </c>
      <c r="K154" s="2">
        <v>62</v>
      </c>
      <c r="L154" s="2">
        <v>56</v>
      </c>
      <c r="M154" s="2">
        <v>53</v>
      </c>
      <c r="N154" s="2">
        <v>48</v>
      </c>
      <c r="O154" s="2">
        <v>43</v>
      </c>
      <c r="P154" s="2">
        <v>36</v>
      </c>
      <c r="Q154" s="2">
        <v>35</v>
      </c>
      <c r="R154" s="2">
        <v>32</v>
      </c>
      <c r="S154" s="2">
        <v>30</v>
      </c>
      <c r="T154" s="2">
        <v>28</v>
      </c>
      <c r="U154" s="2">
        <v>41</v>
      </c>
      <c r="V154" s="2">
        <v>39</v>
      </c>
      <c r="W154" s="2">
        <v>60</v>
      </c>
      <c r="X154" s="2">
        <v>67</v>
      </c>
      <c r="Y154" s="2">
        <v>69</v>
      </c>
      <c r="Z154" s="2">
        <v>85</v>
      </c>
      <c r="AA154" s="2">
        <v>86</v>
      </c>
      <c r="AC154" s="3">
        <f t="shared" si="2"/>
        <v>52.375</v>
      </c>
    </row>
    <row r="155" spans="2:29" x14ac:dyDescent="0.25">
      <c r="B155" s="4">
        <v>42520</v>
      </c>
      <c r="C155" s="3">
        <v>151</v>
      </c>
      <c r="D155" s="2">
        <v>54</v>
      </c>
      <c r="E155" s="2">
        <v>50</v>
      </c>
      <c r="F155" s="2">
        <v>55</v>
      </c>
      <c r="G155" s="2">
        <v>79</v>
      </c>
      <c r="H155" s="2">
        <v>79</v>
      </c>
      <c r="I155" s="2">
        <v>84</v>
      </c>
      <c r="J155" s="2">
        <v>96</v>
      </c>
      <c r="K155" s="2">
        <v>72</v>
      </c>
      <c r="L155" s="2">
        <v>63</v>
      </c>
      <c r="M155" s="2">
        <v>57</v>
      </c>
      <c r="N155" s="2">
        <v>45</v>
      </c>
      <c r="O155" s="2">
        <v>43</v>
      </c>
      <c r="P155" s="2">
        <v>39</v>
      </c>
      <c r="Q155" s="2">
        <v>38</v>
      </c>
      <c r="R155" s="2">
        <v>38</v>
      </c>
      <c r="S155" s="2">
        <v>34</v>
      </c>
      <c r="T155" s="2">
        <v>44</v>
      </c>
      <c r="U155" s="2">
        <v>51</v>
      </c>
      <c r="V155" s="2">
        <v>50</v>
      </c>
      <c r="W155" s="2">
        <v>52</v>
      </c>
      <c r="X155" s="2">
        <v>58</v>
      </c>
      <c r="Y155" s="2">
        <v>65</v>
      </c>
      <c r="Z155" s="2">
        <v>76</v>
      </c>
      <c r="AA155" s="2">
        <v>94</v>
      </c>
      <c r="AC155" s="3">
        <f t="shared" si="2"/>
        <v>59</v>
      </c>
    </row>
    <row r="156" spans="2:29" x14ac:dyDescent="0.25">
      <c r="B156" s="4">
        <v>42521</v>
      </c>
      <c r="C156" s="3">
        <v>152</v>
      </c>
      <c r="D156" s="2">
        <v>80</v>
      </c>
      <c r="E156" s="2">
        <v>72</v>
      </c>
      <c r="F156" s="2">
        <v>77</v>
      </c>
      <c r="G156" s="2">
        <v>99</v>
      </c>
      <c r="H156" s="2">
        <v>100</v>
      </c>
      <c r="I156" s="2">
        <v>100</v>
      </c>
      <c r="J156" s="2">
        <v>100</v>
      </c>
      <c r="K156" s="2">
        <v>100</v>
      </c>
      <c r="L156" s="2">
        <v>72</v>
      </c>
      <c r="M156" s="2">
        <v>57</v>
      </c>
      <c r="N156" s="2">
        <v>49</v>
      </c>
      <c r="O156" s="2">
        <v>47</v>
      </c>
      <c r="P156" s="2">
        <v>45</v>
      </c>
      <c r="Q156" s="2">
        <v>41</v>
      </c>
      <c r="R156" s="2">
        <v>38</v>
      </c>
      <c r="S156" s="2">
        <v>35</v>
      </c>
      <c r="T156" s="2">
        <v>33</v>
      </c>
      <c r="U156" s="2">
        <v>49</v>
      </c>
      <c r="V156" s="2">
        <v>59</v>
      </c>
      <c r="W156" s="2">
        <v>57</v>
      </c>
      <c r="X156" s="2">
        <v>68</v>
      </c>
      <c r="Y156" s="2">
        <v>73</v>
      </c>
      <c r="Z156" s="2">
        <v>75</v>
      </c>
      <c r="AA156" s="2">
        <v>82</v>
      </c>
      <c r="AC156" s="3">
        <f t="shared" si="2"/>
        <v>67</v>
      </c>
    </row>
    <row r="157" spans="2:29" x14ac:dyDescent="0.25">
      <c r="B157" s="4">
        <v>42522</v>
      </c>
      <c r="C157" s="3">
        <v>153</v>
      </c>
      <c r="D157" s="2">
        <v>81</v>
      </c>
      <c r="E157" s="2">
        <v>97</v>
      </c>
      <c r="F157" s="2">
        <v>68</v>
      </c>
      <c r="G157" s="2">
        <v>93</v>
      </c>
      <c r="H157" s="2">
        <v>82</v>
      </c>
      <c r="I157" s="2">
        <v>79</v>
      </c>
      <c r="J157" s="2">
        <v>99</v>
      </c>
      <c r="K157" s="2">
        <v>84</v>
      </c>
      <c r="L157" s="2">
        <v>57</v>
      </c>
      <c r="M157" s="2">
        <v>55</v>
      </c>
      <c r="N157" s="2">
        <v>46</v>
      </c>
      <c r="O157" s="2">
        <v>41</v>
      </c>
      <c r="P157" s="2">
        <v>37</v>
      </c>
      <c r="Q157" s="2">
        <v>34</v>
      </c>
      <c r="R157" s="2">
        <v>31</v>
      </c>
      <c r="S157" s="2">
        <v>31</v>
      </c>
      <c r="T157" s="2">
        <v>33</v>
      </c>
      <c r="U157" s="2">
        <v>40</v>
      </c>
      <c r="V157" s="2">
        <v>43</v>
      </c>
      <c r="W157" s="2">
        <v>54</v>
      </c>
      <c r="X157" s="2">
        <v>62</v>
      </c>
      <c r="Y157" s="2">
        <v>70</v>
      </c>
      <c r="Z157" s="2">
        <v>82</v>
      </c>
      <c r="AA157" s="2">
        <v>100</v>
      </c>
      <c r="AC157" s="3">
        <f t="shared" si="2"/>
        <v>62.458333333333336</v>
      </c>
    </row>
    <row r="158" spans="2:29" x14ac:dyDescent="0.25">
      <c r="B158" s="4">
        <v>42523</v>
      </c>
      <c r="C158" s="3">
        <v>154</v>
      </c>
      <c r="D158" s="2">
        <v>94</v>
      </c>
      <c r="E158" s="2">
        <v>93</v>
      </c>
      <c r="F158" s="2">
        <v>99</v>
      </c>
      <c r="G158" s="2">
        <v>98</v>
      </c>
      <c r="H158" s="2">
        <v>100</v>
      </c>
      <c r="I158" s="2">
        <v>100</v>
      </c>
      <c r="J158" s="2">
        <v>100</v>
      </c>
      <c r="K158" s="2">
        <v>99</v>
      </c>
      <c r="L158" s="2">
        <v>69</v>
      </c>
      <c r="M158" s="2">
        <v>61</v>
      </c>
      <c r="N158" s="2">
        <v>51</v>
      </c>
      <c r="O158" s="2">
        <v>48</v>
      </c>
      <c r="P158" s="2">
        <v>44</v>
      </c>
      <c r="Q158" s="2">
        <v>44</v>
      </c>
      <c r="R158" s="2">
        <v>46</v>
      </c>
      <c r="S158" s="2">
        <v>50</v>
      </c>
      <c r="T158" s="2">
        <v>52</v>
      </c>
      <c r="U158" s="2">
        <v>51</v>
      </c>
      <c r="V158" s="2">
        <v>54</v>
      </c>
      <c r="W158" s="2">
        <v>47</v>
      </c>
      <c r="X158" s="2">
        <v>63</v>
      </c>
      <c r="Y158" s="2">
        <v>78</v>
      </c>
      <c r="Z158" s="2">
        <v>89</v>
      </c>
      <c r="AA158" s="2">
        <v>100</v>
      </c>
      <c r="AC158" s="3">
        <f t="shared" si="2"/>
        <v>72.083333333333329</v>
      </c>
    </row>
    <row r="159" spans="2:29" x14ac:dyDescent="0.25">
      <c r="B159" s="4">
        <v>42524</v>
      </c>
      <c r="C159" s="3">
        <v>155</v>
      </c>
      <c r="D159" s="2">
        <v>100</v>
      </c>
      <c r="E159" s="2">
        <v>100</v>
      </c>
      <c r="F159" s="2">
        <v>97</v>
      </c>
      <c r="G159" s="2">
        <v>100</v>
      </c>
      <c r="H159" s="2">
        <v>100</v>
      </c>
      <c r="I159" s="2">
        <v>100</v>
      </c>
      <c r="J159" s="2">
        <v>100</v>
      </c>
      <c r="K159" s="2">
        <v>100</v>
      </c>
      <c r="L159" s="2">
        <v>79</v>
      </c>
      <c r="M159" s="2">
        <v>71</v>
      </c>
      <c r="N159" s="2">
        <v>66</v>
      </c>
      <c r="O159" s="2">
        <v>65</v>
      </c>
      <c r="P159" s="2">
        <v>64</v>
      </c>
      <c r="Q159" s="2">
        <v>65</v>
      </c>
      <c r="R159" s="2">
        <v>53</v>
      </c>
      <c r="S159" s="2">
        <v>52</v>
      </c>
      <c r="T159" s="2">
        <v>61</v>
      </c>
      <c r="U159" s="2">
        <v>54</v>
      </c>
      <c r="V159" s="2">
        <v>46</v>
      </c>
      <c r="W159" s="2">
        <v>54</v>
      </c>
      <c r="X159" s="2">
        <v>62</v>
      </c>
      <c r="Y159" s="2">
        <v>77</v>
      </c>
      <c r="Z159" s="2">
        <v>85</v>
      </c>
      <c r="AA159" s="2">
        <v>99</v>
      </c>
      <c r="AC159" s="3">
        <f t="shared" si="2"/>
        <v>77.083333333333329</v>
      </c>
    </row>
    <row r="160" spans="2:29" x14ac:dyDescent="0.25">
      <c r="B160" s="4">
        <v>42525</v>
      </c>
      <c r="C160" s="3">
        <v>156</v>
      </c>
      <c r="D160" s="2">
        <v>94</v>
      </c>
      <c r="E160" s="2">
        <v>95</v>
      </c>
      <c r="F160" s="2">
        <v>87</v>
      </c>
      <c r="G160" s="2">
        <v>80</v>
      </c>
      <c r="H160" s="2">
        <v>82</v>
      </c>
      <c r="I160" s="2">
        <v>93</v>
      </c>
      <c r="J160" s="2">
        <v>78</v>
      </c>
      <c r="K160" s="2">
        <v>70</v>
      </c>
      <c r="L160" s="2">
        <v>70</v>
      </c>
      <c r="M160" s="2">
        <v>65</v>
      </c>
      <c r="N160" s="2">
        <v>69</v>
      </c>
      <c r="O160" s="2">
        <v>60</v>
      </c>
      <c r="P160" s="2">
        <v>57</v>
      </c>
      <c r="Q160" s="2">
        <v>58</v>
      </c>
      <c r="R160" s="2">
        <v>70</v>
      </c>
      <c r="S160" s="2">
        <v>76</v>
      </c>
      <c r="T160" s="2">
        <v>62</v>
      </c>
      <c r="U160" s="2">
        <v>50</v>
      </c>
      <c r="V160" s="2">
        <v>57</v>
      </c>
      <c r="W160" s="2">
        <v>76</v>
      </c>
      <c r="X160" s="2">
        <v>85</v>
      </c>
      <c r="Y160" s="2">
        <v>100</v>
      </c>
      <c r="Z160" s="2">
        <v>100</v>
      </c>
      <c r="AA160" s="2">
        <v>100</v>
      </c>
      <c r="AC160" s="3">
        <f t="shared" si="2"/>
        <v>76.416666666666671</v>
      </c>
    </row>
    <row r="161" spans="2:29" x14ac:dyDescent="0.25">
      <c r="B161" s="4">
        <v>42526</v>
      </c>
      <c r="C161" s="3">
        <v>157</v>
      </c>
      <c r="D161" s="2">
        <v>99</v>
      </c>
      <c r="E161" s="2">
        <v>100</v>
      </c>
      <c r="F161" s="2">
        <v>100</v>
      </c>
      <c r="G161" s="2">
        <v>100</v>
      </c>
      <c r="H161" s="2">
        <v>100</v>
      </c>
      <c r="I161" s="2">
        <v>100</v>
      </c>
      <c r="J161" s="2">
        <v>100</v>
      </c>
      <c r="K161" s="2">
        <v>100</v>
      </c>
      <c r="L161" s="2">
        <v>77</v>
      </c>
      <c r="M161" s="2">
        <v>64</v>
      </c>
      <c r="N161" s="2">
        <v>59</v>
      </c>
      <c r="O161" s="2">
        <v>52</v>
      </c>
      <c r="P161" s="2">
        <v>46</v>
      </c>
      <c r="Q161" s="2">
        <v>48</v>
      </c>
      <c r="R161" s="2">
        <v>48</v>
      </c>
      <c r="S161" s="2">
        <v>50</v>
      </c>
      <c r="T161" s="2">
        <v>50</v>
      </c>
      <c r="U161" s="2">
        <v>53</v>
      </c>
      <c r="V161" s="2">
        <v>58</v>
      </c>
      <c r="W161" s="2">
        <v>64</v>
      </c>
      <c r="X161" s="2">
        <v>74</v>
      </c>
      <c r="Y161" s="2">
        <v>78</v>
      </c>
      <c r="Z161" s="2">
        <v>87</v>
      </c>
      <c r="AA161" s="2">
        <v>100</v>
      </c>
      <c r="AC161" s="3">
        <f t="shared" si="2"/>
        <v>75.291666666666671</v>
      </c>
    </row>
    <row r="162" spans="2:29" x14ac:dyDescent="0.25">
      <c r="B162" s="4">
        <v>42527</v>
      </c>
      <c r="C162" s="3">
        <v>158</v>
      </c>
      <c r="D162" s="2">
        <v>100</v>
      </c>
      <c r="E162" s="2">
        <v>100</v>
      </c>
      <c r="F162" s="2">
        <v>100</v>
      </c>
      <c r="G162" s="2">
        <v>100</v>
      </c>
      <c r="H162" s="2">
        <v>100</v>
      </c>
      <c r="I162" s="2">
        <v>100</v>
      </c>
      <c r="J162" s="2">
        <v>100</v>
      </c>
      <c r="K162" s="2">
        <v>100</v>
      </c>
      <c r="L162" s="2">
        <v>87</v>
      </c>
      <c r="M162" s="2">
        <v>71</v>
      </c>
      <c r="N162" s="2">
        <v>64</v>
      </c>
      <c r="O162" s="2">
        <v>55</v>
      </c>
      <c r="P162" s="2">
        <v>48</v>
      </c>
      <c r="Q162" s="2">
        <v>58</v>
      </c>
      <c r="R162" s="2">
        <v>62</v>
      </c>
      <c r="S162" s="2">
        <v>67</v>
      </c>
      <c r="T162" s="2">
        <v>74</v>
      </c>
      <c r="U162" s="2">
        <v>84</v>
      </c>
      <c r="V162" s="2">
        <v>71</v>
      </c>
      <c r="W162" s="2">
        <v>73</v>
      </c>
      <c r="X162" s="2">
        <v>75</v>
      </c>
      <c r="Y162" s="2">
        <v>84</v>
      </c>
      <c r="Z162" s="2">
        <v>99</v>
      </c>
      <c r="AA162" s="2">
        <v>100</v>
      </c>
      <c r="AC162" s="3">
        <f t="shared" si="2"/>
        <v>82.166666666666671</v>
      </c>
    </row>
    <row r="163" spans="2:29" x14ac:dyDescent="0.25">
      <c r="B163" s="4">
        <v>42528</v>
      </c>
      <c r="C163" s="3">
        <v>159</v>
      </c>
      <c r="D163" s="2">
        <v>100</v>
      </c>
      <c r="E163" s="2">
        <v>100</v>
      </c>
      <c r="F163" s="2">
        <v>100</v>
      </c>
      <c r="G163" s="2">
        <v>100</v>
      </c>
      <c r="H163" s="2">
        <v>100</v>
      </c>
      <c r="I163" s="2">
        <v>100</v>
      </c>
      <c r="J163" s="2">
        <v>100</v>
      </c>
      <c r="K163" s="2">
        <v>99</v>
      </c>
      <c r="L163" s="2">
        <v>76</v>
      </c>
      <c r="M163" s="2">
        <v>66</v>
      </c>
      <c r="N163" s="2">
        <v>57</v>
      </c>
      <c r="O163" s="2">
        <v>53</v>
      </c>
      <c r="P163" s="2">
        <v>50</v>
      </c>
      <c r="Q163" s="2">
        <v>54</v>
      </c>
      <c r="R163" s="2">
        <v>56</v>
      </c>
      <c r="S163" s="2">
        <v>55</v>
      </c>
      <c r="T163" s="2">
        <v>56</v>
      </c>
      <c r="U163" s="2">
        <v>54</v>
      </c>
      <c r="V163" s="2">
        <v>48</v>
      </c>
      <c r="W163" s="2">
        <v>48</v>
      </c>
      <c r="X163" s="2">
        <v>47</v>
      </c>
      <c r="Y163" s="2">
        <v>56</v>
      </c>
      <c r="Z163" s="2">
        <v>73</v>
      </c>
      <c r="AA163" s="2">
        <v>87</v>
      </c>
      <c r="AC163" s="3">
        <f t="shared" si="2"/>
        <v>72.291666666666671</v>
      </c>
    </row>
    <row r="164" spans="2:29" x14ac:dyDescent="0.25">
      <c r="B164" s="4">
        <v>42529</v>
      </c>
      <c r="C164" s="3">
        <v>160</v>
      </c>
      <c r="D164" s="2">
        <v>97</v>
      </c>
      <c r="E164" s="2">
        <v>96</v>
      </c>
      <c r="F164" s="2">
        <v>95</v>
      </c>
      <c r="G164" s="2">
        <v>100</v>
      </c>
      <c r="H164" s="2">
        <v>100</v>
      </c>
      <c r="I164" s="2">
        <v>100</v>
      </c>
      <c r="J164" s="2">
        <v>100</v>
      </c>
      <c r="K164" s="2">
        <v>100</v>
      </c>
      <c r="L164" s="2">
        <v>76</v>
      </c>
      <c r="M164" s="2">
        <v>72</v>
      </c>
      <c r="N164" s="2">
        <v>63</v>
      </c>
      <c r="O164" s="2">
        <v>64</v>
      </c>
      <c r="P164" s="2">
        <v>65</v>
      </c>
      <c r="Q164" s="2">
        <v>67</v>
      </c>
      <c r="R164" s="2">
        <v>66</v>
      </c>
      <c r="S164" s="2">
        <v>50</v>
      </c>
      <c r="T164" s="2">
        <v>51</v>
      </c>
      <c r="U164" s="2">
        <v>55</v>
      </c>
      <c r="V164" s="2">
        <v>59</v>
      </c>
      <c r="W164" s="2">
        <v>63</v>
      </c>
      <c r="X164" s="2">
        <v>65</v>
      </c>
      <c r="Y164" s="2">
        <v>72</v>
      </c>
      <c r="Z164" s="2">
        <v>81</v>
      </c>
      <c r="AA164" s="2">
        <v>98</v>
      </c>
      <c r="AC164" s="3">
        <f t="shared" si="2"/>
        <v>77.291666666666671</v>
      </c>
    </row>
    <row r="165" spans="2:29" x14ac:dyDescent="0.25">
      <c r="B165" s="4">
        <v>42530</v>
      </c>
      <c r="C165" s="3">
        <v>161</v>
      </c>
      <c r="D165" s="2">
        <v>100</v>
      </c>
      <c r="E165" s="2">
        <v>100</v>
      </c>
      <c r="F165" s="2">
        <v>100</v>
      </c>
      <c r="G165" s="2">
        <v>100</v>
      </c>
      <c r="H165" s="2">
        <v>100</v>
      </c>
      <c r="I165" s="2">
        <v>100</v>
      </c>
      <c r="J165" s="2">
        <v>100</v>
      </c>
      <c r="K165" s="2">
        <v>100</v>
      </c>
      <c r="L165" s="2">
        <v>82</v>
      </c>
      <c r="M165" s="2">
        <v>61</v>
      </c>
      <c r="N165" s="2">
        <v>54</v>
      </c>
      <c r="O165" s="2">
        <v>47</v>
      </c>
      <c r="P165" s="2">
        <v>56</v>
      </c>
      <c r="Q165" s="2">
        <v>54</v>
      </c>
      <c r="R165" s="2">
        <v>54</v>
      </c>
      <c r="S165" s="2">
        <v>58</v>
      </c>
      <c r="T165" s="2">
        <v>61</v>
      </c>
      <c r="U165" s="2">
        <v>62</v>
      </c>
      <c r="V165" s="2">
        <v>58</v>
      </c>
      <c r="W165" s="2">
        <v>68</v>
      </c>
      <c r="X165" s="2">
        <v>63</v>
      </c>
      <c r="Y165" s="2">
        <v>61</v>
      </c>
      <c r="Z165" s="2">
        <v>68</v>
      </c>
      <c r="AA165" s="2">
        <v>75</v>
      </c>
      <c r="AC165" s="3">
        <f t="shared" si="2"/>
        <v>74.25</v>
      </c>
    </row>
    <row r="166" spans="2:29" x14ac:dyDescent="0.25">
      <c r="B166" s="4">
        <v>42531</v>
      </c>
      <c r="C166" s="3">
        <v>162</v>
      </c>
      <c r="D166" s="2">
        <v>91</v>
      </c>
      <c r="E166" s="2">
        <v>92</v>
      </c>
      <c r="F166" s="2">
        <v>83</v>
      </c>
      <c r="G166" s="2">
        <v>78</v>
      </c>
      <c r="H166" s="2">
        <v>76</v>
      </c>
      <c r="I166" s="2">
        <v>78</v>
      </c>
      <c r="J166" s="2">
        <v>75</v>
      </c>
      <c r="K166" s="2">
        <v>72</v>
      </c>
      <c r="L166" s="2">
        <v>62</v>
      </c>
      <c r="M166" s="2">
        <v>53</v>
      </c>
      <c r="N166" s="2">
        <v>53</v>
      </c>
      <c r="O166" s="2">
        <v>54</v>
      </c>
      <c r="P166" s="2">
        <v>52</v>
      </c>
      <c r="Q166" s="2">
        <v>52</v>
      </c>
      <c r="R166" s="2">
        <v>50</v>
      </c>
      <c r="S166" s="2">
        <v>51</v>
      </c>
      <c r="T166" s="2">
        <v>51</v>
      </c>
      <c r="U166" s="2">
        <v>56</v>
      </c>
      <c r="V166" s="2">
        <v>56</v>
      </c>
      <c r="W166" s="2">
        <v>54</v>
      </c>
      <c r="X166" s="2">
        <v>60</v>
      </c>
      <c r="Y166" s="2">
        <v>73</v>
      </c>
      <c r="Z166" s="2">
        <v>78</v>
      </c>
      <c r="AA166" s="2">
        <v>83</v>
      </c>
      <c r="AC166" s="3">
        <f t="shared" si="2"/>
        <v>65.958333333333329</v>
      </c>
    </row>
    <row r="167" spans="2:29" x14ac:dyDescent="0.25">
      <c r="B167" s="4">
        <v>42532</v>
      </c>
      <c r="C167" s="3">
        <v>163</v>
      </c>
      <c r="D167" s="2">
        <v>88</v>
      </c>
      <c r="E167" s="2">
        <v>89</v>
      </c>
      <c r="F167" s="2">
        <v>85</v>
      </c>
      <c r="G167" s="2">
        <v>75</v>
      </c>
      <c r="H167" s="2">
        <v>73</v>
      </c>
      <c r="I167" s="2">
        <v>80</v>
      </c>
      <c r="J167" s="2">
        <v>84</v>
      </c>
      <c r="K167" s="2">
        <v>80</v>
      </c>
      <c r="L167" s="2">
        <v>71</v>
      </c>
      <c r="M167" s="2">
        <v>61</v>
      </c>
      <c r="N167" s="2">
        <v>59</v>
      </c>
      <c r="O167" s="2">
        <v>53</v>
      </c>
      <c r="P167" s="2">
        <v>50</v>
      </c>
      <c r="Q167" s="2">
        <v>49</v>
      </c>
      <c r="R167" s="2">
        <v>50</v>
      </c>
      <c r="S167" s="2">
        <v>54</v>
      </c>
      <c r="T167" s="2">
        <v>55</v>
      </c>
      <c r="U167" s="2">
        <v>61</v>
      </c>
      <c r="V167" s="2">
        <v>54</v>
      </c>
      <c r="W167" s="2">
        <v>67</v>
      </c>
      <c r="X167" s="2">
        <v>72</v>
      </c>
      <c r="Y167" s="2">
        <v>75</v>
      </c>
      <c r="Z167" s="2">
        <v>76</v>
      </c>
      <c r="AA167" s="2">
        <v>77</v>
      </c>
      <c r="AC167" s="3">
        <f t="shared" si="2"/>
        <v>68.25</v>
      </c>
    </row>
    <row r="168" spans="2:29" x14ac:dyDescent="0.25">
      <c r="B168" s="4">
        <v>42533</v>
      </c>
      <c r="C168" s="3">
        <v>164</v>
      </c>
      <c r="D168" s="2">
        <v>79</v>
      </c>
      <c r="E168" s="2">
        <v>80</v>
      </c>
      <c r="F168" s="2">
        <v>81</v>
      </c>
      <c r="G168" s="2">
        <v>80</v>
      </c>
      <c r="H168" s="2">
        <v>84</v>
      </c>
      <c r="I168" s="2">
        <v>94</v>
      </c>
      <c r="J168" s="2">
        <v>74</v>
      </c>
      <c r="K168" s="2">
        <v>76</v>
      </c>
      <c r="L168" s="2">
        <v>78</v>
      </c>
      <c r="M168" s="2">
        <v>67</v>
      </c>
      <c r="N168" s="2">
        <v>58</v>
      </c>
      <c r="O168" s="2">
        <v>46</v>
      </c>
      <c r="P168" s="2">
        <v>38</v>
      </c>
      <c r="Q168" s="2">
        <v>33</v>
      </c>
      <c r="R168" s="2">
        <v>32</v>
      </c>
      <c r="S168" s="2">
        <v>31</v>
      </c>
      <c r="T168" s="2">
        <v>52</v>
      </c>
      <c r="U168" s="2">
        <v>62</v>
      </c>
      <c r="V168" s="2">
        <v>68</v>
      </c>
      <c r="W168" s="2">
        <v>63</v>
      </c>
      <c r="X168" s="2">
        <v>71</v>
      </c>
      <c r="Y168" s="2">
        <v>75</v>
      </c>
      <c r="Z168" s="2">
        <v>79</v>
      </c>
      <c r="AA168" s="2">
        <v>84</v>
      </c>
      <c r="AC168" s="3">
        <f t="shared" si="2"/>
        <v>66.041666666666671</v>
      </c>
    </row>
    <row r="169" spans="2:29" x14ac:dyDescent="0.25">
      <c r="B169" s="4">
        <v>42534</v>
      </c>
      <c r="C169" s="3">
        <v>165</v>
      </c>
      <c r="D169" s="2">
        <v>86</v>
      </c>
      <c r="E169" s="2">
        <v>89</v>
      </c>
      <c r="F169" s="2">
        <v>97</v>
      </c>
      <c r="G169" s="2">
        <v>86</v>
      </c>
      <c r="H169" s="2">
        <v>82</v>
      </c>
      <c r="I169" s="2">
        <v>87</v>
      </c>
      <c r="J169" s="2">
        <v>61</v>
      </c>
      <c r="K169" s="2">
        <v>63</v>
      </c>
      <c r="L169" s="2">
        <v>71</v>
      </c>
      <c r="M169" s="2">
        <v>66</v>
      </c>
      <c r="N169" s="2">
        <v>65</v>
      </c>
      <c r="O169" s="2">
        <v>43</v>
      </c>
      <c r="P169" s="2">
        <v>41</v>
      </c>
      <c r="Q169" s="2">
        <v>39</v>
      </c>
      <c r="R169" s="2">
        <v>36</v>
      </c>
      <c r="S169" s="2">
        <v>32</v>
      </c>
      <c r="T169" s="2">
        <v>29</v>
      </c>
      <c r="U169" s="2">
        <v>28</v>
      </c>
      <c r="V169" s="2">
        <v>29</v>
      </c>
      <c r="W169" s="2">
        <v>29</v>
      </c>
      <c r="X169" s="2">
        <v>31</v>
      </c>
      <c r="Y169" s="2">
        <v>32</v>
      </c>
      <c r="Z169" s="2">
        <v>33</v>
      </c>
      <c r="AA169" s="2">
        <v>36</v>
      </c>
      <c r="AC169" s="3">
        <f t="shared" si="2"/>
        <v>53.791666666666664</v>
      </c>
    </row>
    <row r="170" spans="2:29" x14ac:dyDescent="0.25">
      <c r="B170" s="4">
        <v>42535</v>
      </c>
      <c r="C170" s="3">
        <v>166</v>
      </c>
      <c r="D170" s="2">
        <v>39</v>
      </c>
      <c r="E170" s="2">
        <v>41</v>
      </c>
      <c r="F170" s="2">
        <v>41</v>
      </c>
      <c r="G170" s="2">
        <v>44</v>
      </c>
      <c r="H170" s="2">
        <v>41</v>
      </c>
      <c r="I170" s="2">
        <v>47</v>
      </c>
      <c r="J170" s="2">
        <v>45</v>
      </c>
      <c r="K170" s="2">
        <v>45</v>
      </c>
      <c r="L170" s="2">
        <v>42</v>
      </c>
      <c r="M170" s="2">
        <v>40</v>
      </c>
      <c r="N170" s="2">
        <v>35</v>
      </c>
      <c r="O170" s="2">
        <v>33</v>
      </c>
      <c r="P170" s="2">
        <v>31</v>
      </c>
      <c r="Q170" s="2">
        <v>31</v>
      </c>
      <c r="R170" s="2">
        <v>31</v>
      </c>
      <c r="S170" s="2">
        <v>31</v>
      </c>
      <c r="T170" s="2">
        <v>28</v>
      </c>
      <c r="U170" s="2">
        <v>27</v>
      </c>
      <c r="V170" s="2">
        <v>47</v>
      </c>
      <c r="W170" s="2">
        <v>50</v>
      </c>
      <c r="X170" s="2">
        <v>61</v>
      </c>
      <c r="Y170" s="2">
        <v>66</v>
      </c>
      <c r="Z170" s="2">
        <v>70</v>
      </c>
      <c r="AA170" s="2">
        <v>68</v>
      </c>
      <c r="AC170" s="3">
        <f t="shared" si="2"/>
        <v>43.083333333333336</v>
      </c>
    </row>
    <row r="171" spans="2:29" x14ac:dyDescent="0.25">
      <c r="B171" s="4">
        <v>42536</v>
      </c>
      <c r="C171" s="3">
        <v>167</v>
      </c>
      <c r="D171" s="2">
        <v>60</v>
      </c>
      <c r="E171" s="2">
        <v>57</v>
      </c>
      <c r="F171" s="2">
        <v>56</v>
      </c>
      <c r="G171" s="2">
        <v>64</v>
      </c>
      <c r="H171" s="2">
        <v>76</v>
      </c>
      <c r="I171" s="2">
        <v>74</v>
      </c>
      <c r="J171" s="2">
        <v>75</v>
      </c>
      <c r="K171" s="2">
        <v>66</v>
      </c>
      <c r="L171" s="2">
        <v>57</v>
      </c>
      <c r="M171" s="2">
        <v>59</v>
      </c>
      <c r="N171" s="2">
        <v>66</v>
      </c>
      <c r="O171" s="2">
        <v>62</v>
      </c>
      <c r="P171" s="2">
        <v>62</v>
      </c>
      <c r="Q171" s="2">
        <v>70</v>
      </c>
      <c r="R171" s="2">
        <v>77</v>
      </c>
      <c r="S171" s="2">
        <v>78</v>
      </c>
      <c r="T171" s="2">
        <v>75</v>
      </c>
      <c r="U171" s="2">
        <v>73</v>
      </c>
      <c r="V171" s="2">
        <v>67</v>
      </c>
      <c r="W171" s="2">
        <v>71</v>
      </c>
      <c r="X171" s="2">
        <v>81</v>
      </c>
      <c r="Y171" s="2">
        <v>89</v>
      </c>
      <c r="Z171" s="2">
        <v>100</v>
      </c>
      <c r="AA171" s="2">
        <v>99</v>
      </c>
      <c r="AC171" s="3">
        <f t="shared" si="2"/>
        <v>71.416666666666671</v>
      </c>
    </row>
    <row r="172" spans="2:29" x14ac:dyDescent="0.25">
      <c r="B172" s="4">
        <v>42537</v>
      </c>
      <c r="C172" s="3">
        <v>168</v>
      </c>
      <c r="D172" s="2">
        <v>90</v>
      </c>
      <c r="E172" s="2">
        <v>69</v>
      </c>
      <c r="F172" s="2">
        <v>73</v>
      </c>
      <c r="G172" s="2">
        <v>57</v>
      </c>
      <c r="H172" s="2">
        <v>49</v>
      </c>
      <c r="I172" s="2">
        <v>43</v>
      </c>
      <c r="J172" s="2">
        <v>46</v>
      </c>
      <c r="K172" s="2">
        <v>46</v>
      </c>
      <c r="L172" s="2">
        <v>56</v>
      </c>
      <c r="M172" s="2">
        <v>47</v>
      </c>
      <c r="N172" s="2">
        <v>46</v>
      </c>
      <c r="O172" s="2">
        <v>42</v>
      </c>
      <c r="P172" s="2">
        <v>39</v>
      </c>
      <c r="Q172" s="2">
        <v>34</v>
      </c>
      <c r="R172" s="2">
        <v>31</v>
      </c>
      <c r="S172" s="2">
        <v>33</v>
      </c>
      <c r="T172" s="2">
        <v>41</v>
      </c>
      <c r="U172" s="2">
        <v>46</v>
      </c>
      <c r="V172" s="2">
        <v>55</v>
      </c>
      <c r="W172" s="2">
        <v>54</v>
      </c>
      <c r="X172" s="2">
        <v>57</v>
      </c>
      <c r="Y172" s="2">
        <v>58</v>
      </c>
      <c r="Z172" s="2">
        <v>68</v>
      </c>
      <c r="AA172" s="2">
        <v>68</v>
      </c>
      <c r="AC172" s="3">
        <f t="shared" si="2"/>
        <v>52</v>
      </c>
    </row>
    <row r="173" spans="2:29" x14ac:dyDescent="0.25">
      <c r="B173" s="4">
        <v>42538</v>
      </c>
      <c r="C173" s="3">
        <v>169</v>
      </c>
      <c r="D173" s="2">
        <v>60</v>
      </c>
      <c r="E173" s="2">
        <v>56</v>
      </c>
      <c r="F173" s="2">
        <v>56</v>
      </c>
      <c r="G173" s="2">
        <v>62</v>
      </c>
      <c r="H173" s="2">
        <v>73</v>
      </c>
      <c r="I173" s="2">
        <v>71</v>
      </c>
      <c r="J173" s="2">
        <v>76</v>
      </c>
      <c r="K173" s="2">
        <v>75</v>
      </c>
      <c r="L173" s="2">
        <v>52</v>
      </c>
      <c r="M173" s="2">
        <v>48</v>
      </c>
      <c r="N173" s="2">
        <v>42</v>
      </c>
      <c r="O173" s="2">
        <v>42</v>
      </c>
      <c r="P173" s="2">
        <v>42</v>
      </c>
      <c r="Q173" s="2">
        <v>37</v>
      </c>
      <c r="R173" s="2">
        <v>33</v>
      </c>
      <c r="S173" s="2">
        <v>43</v>
      </c>
      <c r="T173" s="2">
        <v>43</v>
      </c>
      <c r="U173" s="2">
        <v>49</v>
      </c>
      <c r="V173" s="2">
        <v>55</v>
      </c>
      <c r="W173" s="2">
        <v>55</v>
      </c>
      <c r="X173" s="2">
        <v>53</v>
      </c>
      <c r="Y173" s="2">
        <v>58</v>
      </c>
      <c r="Z173" s="2">
        <v>70</v>
      </c>
      <c r="AA173" s="2">
        <v>75</v>
      </c>
      <c r="AC173" s="3">
        <f t="shared" si="2"/>
        <v>55.25</v>
      </c>
    </row>
    <row r="174" spans="2:29" x14ac:dyDescent="0.25">
      <c r="B174" s="4">
        <v>42539</v>
      </c>
      <c r="C174" s="3">
        <v>170</v>
      </c>
      <c r="D174" s="2">
        <v>71</v>
      </c>
      <c r="E174" s="2">
        <v>75</v>
      </c>
      <c r="F174" s="2">
        <v>81</v>
      </c>
      <c r="G174" s="2">
        <v>77</v>
      </c>
      <c r="H174" s="2">
        <v>80</v>
      </c>
      <c r="I174" s="2">
        <v>80</v>
      </c>
      <c r="J174" s="2">
        <v>67</v>
      </c>
      <c r="K174" s="2">
        <v>69</v>
      </c>
      <c r="L174" s="2">
        <v>78</v>
      </c>
      <c r="M174" s="2">
        <v>82</v>
      </c>
      <c r="N174" s="2">
        <v>66</v>
      </c>
      <c r="O174" s="2">
        <v>52</v>
      </c>
      <c r="P174" s="2">
        <v>44</v>
      </c>
      <c r="Q174" s="2">
        <v>38</v>
      </c>
      <c r="R174" s="2">
        <v>35</v>
      </c>
      <c r="S174" s="2">
        <v>31</v>
      </c>
      <c r="T174" s="2">
        <v>30</v>
      </c>
      <c r="U174" s="2">
        <v>38</v>
      </c>
      <c r="V174" s="2">
        <v>42</v>
      </c>
      <c r="W174" s="2">
        <v>65</v>
      </c>
      <c r="X174" s="2">
        <v>75</v>
      </c>
      <c r="Y174" s="2">
        <v>72</v>
      </c>
      <c r="Z174" s="2">
        <v>86</v>
      </c>
      <c r="AA174" s="2">
        <v>100</v>
      </c>
      <c r="AC174" s="3">
        <f t="shared" si="2"/>
        <v>63.916666666666664</v>
      </c>
    </row>
    <row r="175" spans="2:29" x14ac:dyDescent="0.25">
      <c r="B175" s="4">
        <v>42540</v>
      </c>
      <c r="C175" s="3">
        <v>171</v>
      </c>
      <c r="D175" s="2">
        <v>100</v>
      </c>
      <c r="E175" s="2">
        <v>100</v>
      </c>
      <c r="F175" s="2">
        <v>93</v>
      </c>
      <c r="G175" s="2">
        <v>84</v>
      </c>
      <c r="H175" s="2">
        <v>71</v>
      </c>
      <c r="I175" s="2">
        <v>98</v>
      </c>
      <c r="J175" s="2">
        <v>96</v>
      </c>
      <c r="K175" s="2">
        <v>62</v>
      </c>
      <c r="L175" s="2">
        <v>51</v>
      </c>
      <c r="M175" s="2">
        <v>45</v>
      </c>
      <c r="N175" s="2">
        <v>41</v>
      </c>
      <c r="O175" s="2">
        <v>38</v>
      </c>
      <c r="P175" s="2">
        <v>35</v>
      </c>
      <c r="Q175" s="2">
        <v>28</v>
      </c>
      <c r="R175" s="2">
        <v>30</v>
      </c>
      <c r="S175" s="2">
        <v>28</v>
      </c>
      <c r="T175" s="2">
        <v>26</v>
      </c>
      <c r="U175" s="2">
        <v>23</v>
      </c>
      <c r="V175" s="2">
        <v>24</v>
      </c>
      <c r="W175" s="2">
        <v>52</v>
      </c>
      <c r="X175" s="2">
        <v>57</v>
      </c>
      <c r="Y175" s="2">
        <v>64</v>
      </c>
      <c r="Z175" s="2">
        <v>74</v>
      </c>
      <c r="AA175" s="2">
        <v>77</v>
      </c>
      <c r="AC175" s="3">
        <f t="shared" si="2"/>
        <v>58.208333333333336</v>
      </c>
    </row>
    <row r="176" spans="2:29" x14ac:dyDescent="0.25">
      <c r="B176" s="4">
        <v>42541</v>
      </c>
      <c r="C176" s="3">
        <v>172</v>
      </c>
      <c r="D176" s="2">
        <v>76</v>
      </c>
      <c r="E176" s="2">
        <v>76</v>
      </c>
      <c r="F176" s="2">
        <v>84</v>
      </c>
      <c r="G176" s="2">
        <v>95</v>
      </c>
      <c r="H176" s="2">
        <v>72</v>
      </c>
      <c r="I176" s="2">
        <v>94</v>
      </c>
      <c r="J176" s="2">
        <v>95</v>
      </c>
      <c r="K176" s="2">
        <v>88</v>
      </c>
      <c r="L176" s="2">
        <v>59</v>
      </c>
      <c r="M176" s="2">
        <v>54</v>
      </c>
      <c r="N176" s="2">
        <v>42</v>
      </c>
      <c r="O176" s="2">
        <v>39</v>
      </c>
      <c r="P176" s="2">
        <v>41</v>
      </c>
      <c r="Q176" s="2">
        <v>40</v>
      </c>
      <c r="R176" s="2">
        <v>39</v>
      </c>
      <c r="S176" s="2">
        <v>44</v>
      </c>
      <c r="T176" s="2">
        <v>45</v>
      </c>
      <c r="U176" s="2">
        <v>42</v>
      </c>
      <c r="V176" s="2">
        <v>46</v>
      </c>
      <c r="W176" s="2">
        <v>54</v>
      </c>
      <c r="X176" s="2">
        <v>55</v>
      </c>
      <c r="Y176" s="2">
        <v>64</v>
      </c>
      <c r="Z176" s="2">
        <v>81</v>
      </c>
      <c r="AA176" s="2">
        <v>98</v>
      </c>
      <c r="AC176" s="3">
        <f t="shared" si="2"/>
        <v>63.458333333333336</v>
      </c>
    </row>
    <row r="177" spans="2:29" x14ac:dyDescent="0.25">
      <c r="B177" s="4">
        <v>42542</v>
      </c>
      <c r="C177" s="3">
        <v>173</v>
      </c>
      <c r="D177" s="2">
        <v>100</v>
      </c>
      <c r="E177" s="2">
        <v>86</v>
      </c>
      <c r="F177" s="2">
        <v>87</v>
      </c>
      <c r="G177" s="2">
        <v>89</v>
      </c>
      <c r="H177" s="2">
        <v>93</v>
      </c>
      <c r="I177" s="2">
        <v>84</v>
      </c>
      <c r="J177" s="2">
        <v>89</v>
      </c>
      <c r="K177" s="2">
        <v>84</v>
      </c>
      <c r="L177" s="2">
        <v>67</v>
      </c>
      <c r="M177" s="2">
        <v>73</v>
      </c>
      <c r="N177" s="2">
        <v>66</v>
      </c>
      <c r="O177" s="2">
        <v>60</v>
      </c>
      <c r="P177" s="2">
        <v>60</v>
      </c>
      <c r="Q177" s="2">
        <v>65</v>
      </c>
      <c r="R177" s="2">
        <v>54</v>
      </c>
      <c r="S177" s="2">
        <v>55</v>
      </c>
      <c r="T177" s="2">
        <v>56</v>
      </c>
      <c r="U177" s="2">
        <v>55</v>
      </c>
      <c r="V177" s="2">
        <v>56</v>
      </c>
      <c r="W177" s="2">
        <v>57</v>
      </c>
      <c r="X177" s="2">
        <v>65</v>
      </c>
      <c r="Y177" s="2">
        <v>73</v>
      </c>
      <c r="Z177" s="2">
        <v>78</v>
      </c>
      <c r="AA177" s="2">
        <v>99</v>
      </c>
      <c r="AC177" s="3">
        <f t="shared" si="2"/>
        <v>72.958333333333329</v>
      </c>
    </row>
    <row r="178" spans="2:29" x14ac:dyDescent="0.25">
      <c r="B178" s="4">
        <v>42543</v>
      </c>
      <c r="C178" s="3">
        <v>174</v>
      </c>
      <c r="D178" s="2">
        <v>100</v>
      </c>
      <c r="E178" s="2">
        <v>96</v>
      </c>
      <c r="F178" s="2">
        <v>94</v>
      </c>
      <c r="G178" s="2">
        <v>95</v>
      </c>
      <c r="H178" s="2">
        <v>93</v>
      </c>
      <c r="I178" s="2">
        <v>99</v>
      </c>
      <c r="J178" s="2">
        <v>100</v>
      </c>
      <c r="K178" s="2">
        <v>85</v>
      </c>
      <c r="L178" s="2">
        <v>64</v>
      </c>
      <c r="M178" s="2">
        <v>67</v>
      </c>
      <c r="N178" s="2">
        <v>47</v>
      </c>
      <c r="O178" s="2">
        <v>48</v>
      </c>
      <c r="P178" s="2">
        <v>46</v>
      </c>
      <c r="Q178" s="2">
        <v>45</v>
      </c>
      <c r="R178" s="2">
        <v>41</v>
      </c>
      <c r="S178" s="2">
        <v>40</v>
      </c>
      <c r="T178" s="2">
        <v>42</v>
      </c>
      <c r="U178" s="2">
        <v>42</v>
      </c>
      <c r="V178" s="2">
        <v>35</v>
      </c>
      <c r="W178" s="2">
        <v>33</v>
      </c>
      <c r="X178" s="2">
        <v>48</v>
      </c>
      <c r="Y178" s="2">
        <v>57</v>
      </c>
      <c r="Z178" s="2">
        <v>75</v>
      </c>
      <c r="AA178" s="2">
        <v>91</v>
      </c>
      <c r="AC178" s="3">
        <f t="shared" si="2"/>
        <v>65.958333333333329</v>
      </c>
    </row>
    <row r="179" spans="2:29" x14ac:dyDescent="0.25">
      <c r="B179" s="4">
        <v>42544</v>
      </c>
      <c r="C179" s="3">
        <v>175</v>
      </c>
      <c r="D179" s="2">
        <v>100</v>
      </c>
      <c r="E179" s="2">
        <v>92</v>
      </c>
      <c r="F179" s="2">
        <v>83</v>
      </c>
      <c r="G179" s="2">
        <v>76</v>
      </c>
      <c r="H179" s="2">
        <v>76</v>
      </c>
      <c r="I179" s="2">
        <v>75</v>
      </c>
      <c r="J179" s="2">
        <v>69</v>
      </c>
      <c r="K179" s="2">
        <v>59</v>
      </c>
      <c r="L179" s="2">
        <v>45</v>
      </c>
      <c r="M179" s="2">
        <v>46</v>
      </c>
      <c r="N179" s="2">
        <v>44</v>
      </c>
      <c r="O179" s="2">
        <v>41</v>
      </c>
      <c r="P179" s="2">
        <v>41</v>
      </c>
      <c r="Q179" s="2">
        <v>40</v>
      </c>
      <c r="R179" s="2">
        <v>39</v>
      </c>
      <c r="S179" s="2">
        <v>40</v>
      </c>
      <c r="T179" s="2">
        <v>40</v>
      </c>
      <c r="U179" s="2">
        <v>38</v>
      </c>
      <c r="V179" s="2">
        <v>40</v>
      </c>
      <c r="W179" s="2">
        <v>38</v>
      </c>
      <c r="X179" s="2">
        <v>41</v>
      </c>
      <c r="Y179" s="2">
        <v>46</v>
      </c>
      <c r="Z179" s="2">
        <v>60</v>
      </c>
      <c r="AA179" s="2">
        <v>73</v>
      </c>
      <c r="AC179" s="3">
        <f t="shared" si="2"/>
        <v>55.916666666666664</v>
      </c>
    </row>
    <row r="180" spans="2:29" x14ac:dyDescent="0.25">
      <c r="B180" s="4">
        <v>42545</v>
      </c>
      <c r="C180" s="3">
        <v>176</v>
      </c>
      <c r="D180" s="2">
        <v>90</v>
      </c>
      <c r="E180" s="2">
        <v>97</v>
      </c>
      <c r="F180" s="2">
        <v>99</v>
      </c>
      <c r="G180" s="2">
        <v>87</v>
      </c>
      <c r="H180" s="2">
        <v>90</v>
      </c>
      <c r="I180" s="2">
        <v>82</v>
      </c>
      <c r="J180" s="2">
        <v>80</v>
      </c>
      <c r="K180" s="2">
        <v>74</v>
      </c>
      <c r="L180" s="2">
        <v>72</v>
      </c>
      <c r="M180" s="2">
        <v>76</v>
      </c>
      <c r="N180" s="2">
        <v>63</v>
      </c>
      <c r="O180" s="2">
        <v>57</v>
      </c>
      <c r="P180" s="2">
        <v>60</v>
      </c>
      <c r="Q180" s="2">
        <v>59</v>
      </c>
      <c r="R180" s="2">
        <v>59</v>
      </c>
      <c r="S180" s="2">
        <v>63</v>
      </c>
      <c r="T180" s="2">
        <v>65</v>
      </c>
      <c r="U180" s="2">
        <v>57</v>
      </c>
      <c r="V180" s="2">
        <v>65</v>
      </c>
      <c r="W180" s="2">
        <v>62</v>
      </c>
      <c r="X180" s="2">
        <v>62</v>
      </c>
      <c r="Y180" s="2">
        <v>72</v>
      </c>
      <c r="Z180" s="2">
        <v>74</v>
      </c>
      <c r="AA180" s="2">
        <v>73</v>
      </c>
      <c r="AC180" s="3">
        <f t="shared" si="2"/>
        <v>72.416666666666671</v>
      </c>
    </row>
    <row r="181" spans="2:29" x14ac:dyDescent="0.25">
      <c r="B181" s="4">
        <v>42546</v>
      </c>
      <c r="C181" s="3">
        <v>177</v>
      </c>
      <c r="D181" s="2">
        <v>76</v>
      </c>
      <c r="E181" s="2">
        <v>76</v>
      </c>
      <c r="F181" s="2">
        <v>80</v>
      </c>
      <c r="G181" s="2">
        <v>80</v>
      </c>
      <c r="H181" s="2">
        <v>83</v>
      </c>
      <c r="I181" s="2">
        <v>89</v>
      </c>
      <c r="J181" s="2">
        <v>82</v>
      </c>
      <c r="K181" s="2">
        <v>85</v>
      </c>
      <c r="L181" s="2">
        <v>69</v>
      </c>
      <c r="M181" s="2">
        <v>62</v>
      </c>
      <c r="N181" s="2">
        <v>52</v>
      </c>
      <c r="O181" s="2">
        <v>50</v>
      </c>
      <c r="P181" s="2">
        <v>45</v>
      </c>
      <c r="Q181" s="2">
        <v>42</v>
      </c>
      <c r="R181" s="2">
        <v>45</v>
      </c>
      <c r="S181" s="2">
        <v>44</v>
      </c>
      <c r="T181" s="2">
        <v>59</v>
      </c>
      <c r="U181" s="2">
        <v>49</v>
      </c>
      <c r="V181" s="2">
        <v>49</v>
      </c>
      <c r="W181" s="2">
        <v>58</v>
      </c>
      <c r="X181" s="2">
        <v>67</v>
      </c>
      <c r="Y181" s="2">
        <v>80</v>
      </c>
      <c r="Z181" s="2">
        <v>86</v>
      </c>
      <c r="AA181" s="2">
        <v>93</v>
      </c>
      <c r="AC181" s="3">
        <f t="shared" si="2"/>
        <v>66.708333333333329</v>
      </c>
    </row>
    <row r="182" spans="2:29" x14ac:dyDescent="0.25">
      <c r="B182" s="4">
        <v>42547</v>
      </c>
      <c r="C182" s="3">
        <v>178</v>
      </c>
      <c r="D182" s="2">
        <v>89</v>
      </c>
      <c r="E182" s="2">
        <v>84</v>
      </c>
      <c r="F182" s="2">
        <v>100</v>
      </c>
      <c r="G182" s="2">
        <v>100</v>
      </c>
      <c r="H182" s="2">
        <v>99</v>
      </c>
      <c r="I182" s="2">
        <v>86</v>
      </c>
      <c r="J182" s="2">
        <v>99</v>
      </c>
      <c r="K182" s="2">
        <v>94</v>
      </c>
      <c r="L182" s="2">
        <v>72</v>
      </c>
      <c r="M182" s="2">
        <v>65</v>
      </c>
      <c r="N182" s="2">
        <v>56</v>
      </c>
      <c r="O182" s="2">
        <v>52</v>
      </c>
      <c r="P182" s="2">
        <v>47</v>
      </c>
      <c r="Q182" s="2">
        <v>43</v>
      </c>
      <c r="R182" s="2">
        <v>42</v>
      </c>
      <c r="S182" s="2">
        <v>44</v>
      </c>
      <c r="T182" s="2">
        <v>48</v>
      </c>
      <c r="U182" s="2">
        <v>57</v>
      </c>
      <c r="V182" s="2">
        <v>63</v>
      </c>
      <c r="W182" s="2">
        <v>70</v>
      </c>
      <c r="X182" s="2">
        <v>75</v>
      </c>
      <c r="Y182" s="2">
        <v>77</v>
      </c>
      <c r="Z182" s="2">
        <v>81</v>
      </c>
      <c r="AA182" s="2">
        <v>82</v>
      </c>
      <c r="AC182" s="3">
        <f t="shared" si="2"/>
        <v>71.875</v>
      </c>
    </row>
    <row r="183" spans="2:29" x14ac:dyDescent="0.25">
      <c r="B183" s="4">
        <v>42548</v>
      </c>
      <c r="C183" s="3">
        <v>179</v>
      </c>
      <c r="D183" s="2">
        <v>85</v>
      </c>
      <c r="E183" s="2">
        <v>99</v>
      </c>
      <c r="F183" s="2">
        <v>97</v>
      </c>
      <c r="G183" s="2">
        <v>68</v>
      </c>
      <c r="H183" s="2">
        <v>68</v>
      </c>
      <c r="I183" s="2">
        <v>68</v>
      </c>
      <c r="J183" s="2">
        <v>84</v>
      </c>
      <c r="K183" s="2">
        <v>80</v>
      </c>
      <c r="L183" s="2">
        <v>62</v>
      </c>
      <c r="M183" s="2">
        <v>53</v>
      </c>
      <c r="N183" s="2">
        <v>52</v>
      </c>
      <c r="O183" s="2">
        <v>47</v>
      </c>
      <c r="P183" s="2">
        <v>42</v>
      </c>
      <c r="Q183" s="2">
        <v>40</v>
      </c>
      <c r="R183" s="2">
        <v>41</v>
      </c>
      <c r="S183" s="2">
        <v>50</v>
      </c>
      <c r="T183" s="2">
        <v>58</v>
      </c>
      <c r="U183" s="2">
        <v>60</v>
      </c>
      <c r="V183" s="2">
        <v>60</v>
      </c>
      <c r="W183" s="2">
        <v>62</v>
      </c>
      <c r="X183" s="2">
        <v>67</v>
      </c>
      <c r="Y183" s="2">
        <v>70</v>
      </c>
      <c r="Z183" s="2">
        <v>76</v>
      </c>
      <c r="AA183" s="2">
        <v>86</v>
      </c>
      <c r="AC183" s="3">
        <f t="shared" si="2"/>
        <v>65.625</v>
      </c>
    </row>
    <row r="184" spans="2:29" x14ac:dyDescent="0.25">
      <c r="B184" s="4">
        <v>42549</v>
      </c>
      <c r="C184" s="3">
        <v>180</v>
      </c>
      <c r="D184" s="2">
        <v>100</v>
      </c>
      <c r="E184" s="2">
        <v>100</v>
      </c>
      <c r="F184" s="2">
        <v>100</v>
      </c>
      <c r="G184" s="2">
        <v>100</v>
      </c>
      <c r="H184" s="2">
        <v>100</v>
      </c>
      <c r="I184" s="2">
        <v>100</v>
      </c>
      <c r="J184" s="2">
        <v>100</v>
      </c>
      <c r="K184" s="2">
        <v>99</v>
      </c>
      <c r="L184" s="2">
        <v>86</v>
      </c>
      <c r="M184" s="2">
        <v>76</v>
      </c>
      <c r="N184" s="2">
        <v>68</v>
      </c>
      <c r="O184" s="2">
        <v>68</v>
      </c>
      <c r="P184" s="2">
        <v>70</v>
      </c>
      <c r="Q184" s="2">
        <v>66</v>
      </c>
      <c r="R184" s="2">
        <v>64</v>
      </c>
      <c r="S184" s="2">
        <v>54</v>
      </c>
      <c r="T184" s="2">
        <v>59</v>
      </c>
      <c r="U184" s="2">
        <v>63</v>
      </c>
      <c r="V184" s="2">
        <v>56</v>
      </c>
      <c r="W184" s="2">
        <v>53</v>
      </c>
      <c r="X184" s="2">
        <v>50</v>
      </c>
      <c r="Y184" s="2">
        <v>63</v>
      </c>
      <c r="Z184" s="2">
        <v>68</v>
      </c>
      <c r="AA184" s="2">
        <v>81</v>
      </c>
      <c r="AC184" s="3">
        <f t="shared" si="2"/>
        <v>76.833333333333329</v>
      </c>
    </row>
    <row r="185" spans="2:29" x14ac:dyDescent="0.25">
      <c r="B185" s="4">
        <v>42550</v>
      </c>
      <c r="C185" s="3">
        <v>181</v>
      </c>
      <c r="D185" s="2">
        <v>82</v>
      </c>
      <c r="E185" s="2">
        <v>85</v>
      </c>
      <c r="F185" s="2">
        <v>97</v>
      </c>
      <c r="G185" s="2">
        <v>100</v>
      </c>
      <c r="H185" s="2">
        <v>100</v>
      </c>
      <c r="I185" s="2">
        <v>100</v>
      </c>
      <c r="J185" s="2">
        <v>100</v>
      </c>
      <c r="K185" s="2">
        <v>100</v>
      </c>
      <c r="L185" s="2">
        <v>89</v>
      </c>
      <c r="M185" s="2">
        <v>83</v>
      </c>
      <c r="N185" s="2">
        <v>65</v>
      </c>
      <c r="O185" s="2">
        <v>58</v>
      </c>
      <c r="P185" s="2">
        <v>51</v>
      </c>
      <c r="Q185" s="2">
        <v>46</v>
      </c>
      <c r="R185" s="2">
        <v>49</v>
      </c>
      <c r="S185" s="2">
        <v>59</v>
      </c>
      <c r="T185" s="2">
        <v>61</v>
      </c>
      <c r="U185" s="2">
        <v>62</v>
      </c>
      <c r="V185" s="2">
        <v>56</v>
      </c>
      <c r="W185" s="2">
        <v>62</v>
      </c>
      <c r="X185" s="2">
        <v>54</v>
      </c>
      <c r="Y185" s="2">
        <v>70</v>
      </c>
      <c r="Z185" s="2">
        <v>81</v>
      </c>
      <c r="AA185" s="2">
        <v>79</v>
      </c>
      <c r="AC185" s="3">
        <f t="shared" si="2"/>
        <v>74.541666666666671</v>
      </c>
    </row>
    <row r="186" spans="2:29" x14ac:dyDescent="0.25">
      <c r="B186" s="4">
        <v>42551</v>
      </c>
      <c r="C186" s="3">
        <v>182</v>
      </c>
      <c r="D186" s="2">
        <v>84</v>
      </c>
      <c r="E186" s="2">
        <v>88</v>
      </c>
      <c r="F186" s="2">
        <v>82</v>
      </c>
      <c r="G186" s="2">
        <v>76</v>
      </c>
      <c r="H186" s="2">
        <v>74</v>
      </c>
      <c r="I186" s="2">
        <v>80</v>
      </c>
      <c r="J186" s="2">
        <v>82</v>
      </c>
      <c r="K186" s="2">
        <v>81</v>
      </c>
      <c r="L186" s="2">
        <v>68</v>
      </c>
      <c r="M186" s="2">
        <v>65</v>
      </c>
      <c r="N186" s="2">
        <v>70</v>
      </c>
      <c r="O186" s="2">
        <v>64</v>
      </c>
      <c r="P186" s="2">
        <v>68</v>
      </c>
      <c r="Q186" s="2">
        <v>65</v>
      </c>
      <c r="R186" s="2">
        <v>64</v>
      </c>
      <c r="S186" s="2">
        <v>64</v>
      </c>
      <c r="T186" s="2">
        <v>62</v>
      </c>
      <c r="U186" s="2">
        <v>59</v>
      </c>
      <c r="V186" s="2">
        <v>59</v>
      </c>
      <c r="W186" s="2">
        <v>63</v>
      </c>
      <c r="X186" s="2">
        <v>68</v>
      </c>
      <c r="Y186" s="2">
        <v>72</v>
      </c>
      <c r="Z186" s="2">
        <v>79</v>
      </c>
      <c r="AA186" s="2">
        <v>95</v>
      </c>
      <c r="AC186" s="3">
        <f t="shared" si="2"/>
        <v>72.166666666666671</v>
      </c>
    </row>
    <row r="187" spans="2:29" x14ac:dyDescent="0.25">
      <c r="B187" s="4">
        <v>42552</v>
      </c>
      <c r="C187" s="3">
        <v>183</v>
      </c>
      <c r="D187" s="2">
        <v>100</v>
      </c>
      <c r="E187" s="2">
        <v>100</v>
      </c>
      <c r="F187" s="2">
        <v>100</v>
      </c>
      <c r="G187" s="2">
        <v>100</v>
      </c>
      <c r="H187" s="2">
        <v>100</v>
      </c>
      <c r="I187" s="2">
        <v>100</v>
      </c>
      <c r="J187" s="2">
        <v>99</v>
      </c>
      <c r="K187" s="2">
        <v>88</v>
      </c>
      <c r="L187" s="2">
        <v>74</v>
      </c>
      <c r="M187" s="2">
        <v>68</v>
      </c>
      <c r="N187" s="2">
        <v>66</v>
      </c>
      <c r="O187" s="2">
        <v>57</v>
      </c>
      <c r="P187" s="2">
        <v>53</v>
      </c>
      <c r="Q187" s="2">
        <v>53</v>
      </c>
      <c r="R187" s="2">
        <v>53</v>
      </c>
      <c r="S187" s="2">
        <v>56</v>
      </c>
      <c r="T187" s="2">
        <v>57</v>
      </c>
      <c r="U187" s="2">
        <v>50</v>
      </c>
      <c r="V187" s="2">
        <v>55</v>
      </c>
      <c r="W187" s="2">
        <v>61</v>
      </c>
      <c r="X187" s="2">
        <v>64</v>
      </c>
      <c r="Y187" s="2">
        <v>74</v>
      </c>
      <c r="Z187" s="2">
        <v>86</v>
      </c>
      <c r="AA187" s="2">
        <v>100</v>
      </c>
      <c r="AC187" s="3">
        <f t="shared" si="2"/>
        <v>75.583333333333329</v>
      </c>
    </row>
    <row r="188" spans="2:29" x14ac:dyDescent="0.25">
      <c r="B188" s="4">
        <v>42553</v>
      </c>
      <c r="C188" s="3">
        <v>184</v>
      </c>
      <c r="D188" s="2">
        <v>100</v>
      </c>
      <c r="E188" s="2">
        <v>98</v>
      </c>
      <c r="F188" s="2">
        <v>95</v>
      </c>
      <c r="G188" s="2">
        <v>100</v>
      </c>
      <c r="H188" s="2">
        <v>96</v>
      </c>
      <c r="I188" s="2">
        <v>96</v>
      </c>
      <c r="J188" s="2">
        <v>100</v>
      </c>
      <c r="K188" s="2">
        <v>84</v>
      </c>
      <c r="L188" s="2">
        <v>75</v>
      </c>
      <c r="M188" s="2">
        <v>72</v>
      </c>
      <c r="N188" s="2">
        <v>63</v>
      </c>
      <c r="O188" s="2">
        <v>51</v>
      </c>
      <c r="P188" s="2">
        <v>56</v>
      </c>
      <c r="Q188" s="2">
        <v>56</v>
      </c>
      <c r="R188" s="2">
        <v>55</v>
      </c>
      <c r="S188" s="2">
        <v>63</v>
      </c>
      <c r="T188" s="2">
        <v>64</v>
      </c>
      <c r="U188" s="2">
        <v>62</v>
      </c>
      <c r="V188" s="2">
        <v>63</v>
      </c>
      <c r="W188" s="2">
        <v>65</v>
      </c>
      <c r="X188" s="2">
        <v>72</v>
      </c>
      <c r="Y188" s="2">
        <v>78</v>
      </c>
      <c r="Z188" s="2">
        <v>85</v>
      </c>
      <c r="AA188" s="2">
        <v>83</v>
      </c>
      <c r="AC188" s="3">
        <f t="shared" si="2"/>
        <v>76.333333333333329</v>
      </c>
    </row>
    <row r="189" spans="2:29" x14ac:dyDescent="0.25">
      <c r="B189" s="4">
        <v>42554</v>
      </c>
      <c r="C189" s="3">
        <v>185</v>
      </c>
      <c r="D189" s="2">
        <v>82</v>
      </c>
      <c r="E189" s="2">
        <v>82</v>
      </c>
      <c r="F189" s="2">
        <v>84</v>
      </c>
      <c r="G189" s="2">
        <v>87</v>
      </c>
      <c r="H189" s="2">
        <v>87</v>
      </c>
      <c r="I189" s="2">
        <v>67</v>
      </c>
      <c r="J189" s="2">
        <v>67</v>
      </c>
      <c r="K189" s="2">
        <v>64</v>
      </c>
      <c r="L189" s="2">
        <v>59</v>
      </c>
      <c r="M189" s="2">
        <v>61</v>
      </c>
      <c r="N189" s="2">
        <v>54</v>
      </c>
      <c r="O189" s="2">
        <v>42</v>
      </c>
      <c r="P189" s="2">
        <v>42</v>
      </c>
      <c r="Q189" s="2">
        <v>42</v>
      </c>
      <c r="R189" s="2">
        <v>51</v>
      </c>
      <c r="S189" s="2">
        <v>58</v>
      </c>
      <c r="T189" s="2">
        <v>67</v>
      </c>
      <c r="U189" s="2">
        <v>70</v>
      </c>
      <c r="V189" s="2">
        <v>74</v>
      </c>
      <c r="W189" s="2">
        <v>74</v>
      </c>
      <c r="X189" s="2">
        <v>75</v>
      </c>
      <c r="Y189" s="2">
        <v>78</v>
      </c>
      <c r="Z189" s="2">
        <v>82</v>
      </c>
      <c r="AA189" s="2">
        <v>100</v>
      </c>
      <c r="AC189" s="3">
        <f t="shared" si="2"/>
        <v>68.708333333333329</v>
      </c>
    </row>
    <row r="190" spans="2:29" x14ac:dyDescent="0.25">
      <c r="B190" s="4">
        <v>42555</v>
      </c>
      <c r="C190" s="3">
        <v>186</v>
      </c>
      <c r="D190" s="2">
        <v>98</v>
      </c>
      <c r="E190" s="2">
        <v>88</v>
      </c>
      <c r="F190" s="2">
        <v>98</v>
      </c>
      <c r="G190" s="2">
        <v>100</v>
      </c>
      <c r="H190" s="2">
        <v>100</v>
      </c>
      <c r="I190" s="2">
        <v>100</v>
      </c>
      <c r="J190" s="2">
        <v>100</v>
      </c>
      <c r="K190" s="2">
        <v>95</v>
      </c>
      <c r="L190" s="2">
        <v>62</v>
      </c>
      <c r="M190" s="2">
        <v>55</v>
      </c>
      <c r="N190" s="2">
        <v>55</v>
      </c>
      <c r="O190" s="2">
        <v>54</v>
      </c>
      <c r="P190" s="2">
        <v>50</v>
      </c>
      <c r="Q190" s="2">
        <v>53</v>
      </c>
      <c r="R190" s="2">
        <v>57</v>
      </c>
      <c r="S190" s="2">
        <v>54</v>
      </c>
      <c r="T190" s="2">
        <v>53</v>
      </c>
      <c r="U190" s="2">
        <v>55</v>
      </c>
      <c r="V190" s="2">
        <v>57</v>
      </c>
      <c r="W190" s="2">
        <v>61</v>
      </c>
      <c r="X190" s="2">
        <v>62</v>
      </c>
      <c r="Y190" s="2">
        <v>67</v>
      </c>
      <c r="Z190" s="2">
        <v>76</v>
      </c>
      <c r="AA190" s="2">
        <v>82</v>
      </c>
      <c r="AC190" s="3">
        <f t="shared" si="2"/>
        <v>72.166666666666671</v>
      </c>
    </row>
    <row r="191" spans="2:29" x14ac:dyDescent="0.25">
      <c r="B191" s="4">
        <v>42556</v>
      </c>
      <c r="C191" s="3">
        <v>187</v>
      </c>
      <c r="D191" s="2">
        <v>88</v>
      </c>
      <c r="E191" s="2">
        <v>83</v>
      </c>
      <c r="F191" s="2">
        <v>81</v>
      </c>
      <c r="G191" s="2">
        <v>81</v>
      </c>
      <c r="H191" s="2">
        <v>70</v>
      </c>
      <c r="I191" s="2">
        <v>75</v>
      </c>
      <c r="J191" s="2">
        <v>79</v>
      </c>
      <c r="K191" s="2">
        <v>71</v>
      </c>
      <c r="L191" s="2">
        <v>59</v>
      </c>
      <c r="M191" s="2">
        <v>47</v>
      </c>
      <c r="N191" s="2">
        <v>46</v>
      </c>
      <c r="O191" s="2">
        <v>49</v>
      </c>
      <c r="P191" s="2">
        <v>46</v>
      </c>
      <c r="Q191" s="2">
        <v>44</v>
      </c>
      <c r="R191" s="2">
        <v>48</v>
      </c>
      <c r="S191" s="2">
        <v>51</v>
      </c>
      <c r="T191" s="2">
        <v>54</v>
      </c>
      <c r="U191" s="2">
        <v>58</v>
      </c>
      <c r="V191" s="2">
        <v>49</v>
      </c>
      <c r="W191" s="2">
        <v>48</v>
      </c>
      <c r="X191" s="2">
        <v>52</v>
      </c>
      <c r="Y191" s="2">
        <v>59</v>
      </c>
      <c r="Z191" s="2">
        <v>74</v>
      </c>
      <c r="AA191" s="2">
        <v>77</v>
      </c>
      <c r="AC191" s="3">
        <f t="shared" si="2"/>
        <v>62.041666666666664</v>
      </c>
    </row>
    <row r="192" spans="2:29" x14ac:dyDescent="0.25">
      <c r="B192" s="4">
        <v>42557</v>
      </c>
      <c r="C192" s="3">
        <v>188</v>
      </c>
      <c r="D192" s="2">
        <v>78</v>
      </c>
      <c r="E192" s="2">
        <v>74</v>
      </c>
      <c r="F192" s="2">
        <v>71</v>
      </c>
      <c r="G192" s="2">
        <v>75</v>
      </c>
      <c r="H192" s="2">
        <v>84</v>
      </c>
      <c r="I192" s="2">
        <v>78</v>
      </c>
      <c r="J192" s="2">
        <v>71</v>
      </c>
      <c r="K192" s="2">
        <v>74</v>
      </c>
      <c r="L192" s="2">
        <v>60</v>
      </c>
      <c r="M192" s="2">
        <v>53</v>
      </c>
      <c r="N192" s="2">
        <v>50</v>
      </c>
      <c r="O192" s="2">
        <v>49</v>
      </c>
      <c r="P192" s="2">
        <v>45</v>
      </c>
      <c r="Q192" s="2">
        <v>46</v>
      </c>
      <c r="R192" s="2">
        <v>49</v>
      </c>
      <c r="S192" s="2">
        <v>51</v>
      </c>
      <c r="T192" s="2">
        <v>51</v>
      </c>
      <c r="U192" s="2">
        <v>50</v>
      </c>
      <c r="V192" s="2">
        <v>55</v>
      </c>
      <c r="W192" s="2">
        <v>61</v>
      </c>
      <c r="X192" s="2">
        <v>62</v>
      </c>
      <c r="Y192" s="2">
        <v>72</v>
      </c>
      <c r="Z192" s="2">
        <v>78</v>
      </c>
      <c r="AA192" s="2">
        <v>85</v>
      </c>
      <c r="AC192" s="3">
        <f t="shared" si="2"/>
        <v>63.416666666666664</v>
      </c>
    </row>
    <row r="193" spans="2:29" x14ac:dyDescent="0.25">
      <c r="B193" s="4">
        <v>42558</v>
      </c>
      <c r="C193" s="3">
        <v>189</v>
      </c>
      <c r="D193" s="2">
        <v>100</v>
      </c>
      <c r="E193" s="2">
        <v>100</v>
      </c>
      <c r="F193" s="2">
        <v>100</v>
      </c>
      <c r="G193" s="2">
        <v>100</v>
      </c>
      <c r="H193" s="2">
        <v>100</v>
      </c>
      <c r="I193" s="2">
        <v>100</v>
      </c>
      <c r="J193" s="2">
        <v>100</v>
      </c>
      <c r="K193" s="2">
        <v>100</v>
      </c>
      <c r="L193" s="2">
        <v>83</v>
      </c>
      <c r="M193" s="2">
        <v>70</v>
      </c>
      <c r="N193" s="2">
        <v>67</v>
      </c>
      <c r="O193" s="2">
        <v>62</v>
      </c>
      <c r="P193" s="2">
        <v>71</v>
      </c>
      <c r="Q193" s="2">
        <v>61</v>
      </c>
      <c r="R193" s="2">
        <v>55</v>
      </c>
      <c r="S193" s="2">
        <v>50</v>
      </c>
      <c r="T193" s="2">
        <v>55</v>
      </c>
      <c r="U193" s="2">
        <v>52</v>
      </c>
      <c r="V193" s="2">
        <v>66</v>
      </c>
      <c r="W193" s="2">
        <v>68</v>
      </c>
      <c r="X193" s="2">
        <v>72</v>
      </c>
      <c r="Y193" s="2">
        <v>74</v>
      </c>
      <c r="Z193" s="2">
        <v>80</v>
      </c>
      <c r="AA193" s="2">
        <v>87</v>
      </c>
      <c r="AC193" s="3">
        <f t="shared" si="2"/>
        <v>78.041666666666671</v>
      </c>
    </row>
    <row r="194" spans="2:29" x14ac:dyDescent="0.25">
      <c r="B194" s="4">
        <v>42559</v>
      </c>
      <c r="C194" s="3">
        <v>190</v>
      </c>
      <c r="D194" s="2">
        <v>100</v>
      </c>
      <c r="E194" s="2">
        <v>100</v>
      </c>
      <c r="F194" s="2">
        <v>100</v>
      </c>
      <c r="G194" s="2">
        <v>100</v>
      </c>
      <c r="H194" s="2">
        <v>100</v>
      </c>
      <c r="I194" s="2">
        <v>99</v>
      </c>
      <c r="J194" s="2">
        <v>100</v>
      </c>
      <c r="K194" s="2">
        <v>100</v>
      </c>
      <c r="L194" s="2">
        <v>82</v>
      </c>
      <c r="M194" s="2">
        <v>72</v>
      </c>
      <c r="N194" s="2">
        <v>62</v>
      </c>
      <c r="O194" s="2">
        <v>56</v>
      </c>
      <c r="P194" s="2">
        <v>46</v>
      </c>
      <c r="Q194" s="2">
        <v>46</v>
      </c>
      <c r="R194" s="2">
        <v>48</v>
      </c>
      <c r="S194" s="2">
        <v>59</v>
      </c>
      <c r="T194" s="2">
        <v>50</v>
      </c>
      <c r="U194" s="2">
        <v>46</v>
      </c>
      <c r="V194" s="2">
        <v>56</v>
      </c>
      <c r="W194" s="2">
        <v>64</v>
      </c>
      <c r="X194" s="2">
        <v>63</v>
      </c>
      <c r="Y194" s="2">
        <v>70</v>
      </c>
      <c r="Z194" s="2">
        <v>80</v>
      </c>
      <c r="AA194" s="2">
        <v>78</v>
      </c>
      <c r="AC194" s="3">
        <f t="shared" si="2"/>
        <v>74.041666666666671</v>
      </c>
    </row>
    <row r="195" spans="2:29" x14ac:dyDescent="0.25">
      <c r="B195" s="4">
        <v>42560</v>
      </c>
      <c r="C195" s="3">
        <v>191</v>
      </c>
      <c r="D195" s="2">
        <v>79</v>
      </c>
      <c r="E195" s="2">
        <v>76</v>
      </c>
      <c r="F195" s="2">
        <v>76</v>
      </c>
      <c r="G195" s="2">
        <v>80</v>
      </c>
      <c r="H195" s="2">
        <v>87</v>
      </c>
      <c r="I195" s="2">
        <v>79</v>
      </c>
      <c r="J195" s="2">
        <v>79</v>
      </c>
      <c r="K195" s="2">
        <v>73</v>
      </c>
      <c r="L195" s="2">
        <v>59</v>
      </c>
      <c r="M195" s="2">
        <v>50</v>
      </c>
      <c r="N195" s="2">
        <v>46</v>
      </c>
      <c r="O195" s="2">
        <v>44</v>
      </c>
      <c r="P195" s="2">
        <v>40</v>
      </c>
      <c r="Q195" s="2">
        <v>36</v>
      </c>
      <c r="R195" s="2">
        <v>39</v>
      </c>
      <c r="S195" s="2">
        <v>44</v>
      </c>
      <c r="T195" s="2">
        <v>43</v>
      </c>
      <c r="U195" s="2">
        <v>45</v>
      </c>
      <c r="V195" s="2">
        <v>45</v>
      </c>
      <c r="W195" s="2">
        <v>47</v>
      </c>
      <c r="X195" s="2">
        <v>56</v>
      </c>
      <c r="Y195" s="2">
        <v>68</v>
      </c>
      <c r="Z195" s="2">
        <v>75</v>
      </c>
      <c r="AA195" s="2">
        <v>84</v>
      </c>
      <c r="AC195" s="3">
        <f t="shared" si="2"/>
        <v>60.416666666666664</v>
      </c>
    </row>
    <row r="196" spans="2:29" x14ac:dyDescent="0.25">
      <c r="B196" s="4">
        <v>42561</v>
      </c>
      <c r="C196" s="3">
        <v>192</v>
      </c>
      <c r="D196" s="2">
        <v>83</v>
      </c>
      <c r="E196" s="2">
        <v>88</v>
      </c>
      <c r="F196" s="2">
        <v>84</v>
      </c>
      <c r="G196" s="2">
        <v>85</v>
      </c>
      <c r="H196" s="2">
        <v>83</v>
      </c>
      <c r="I196" s="2">
        <v>94</v>
      </c>
      <c r="J196" s="2">
        <v>100</v>
      </c>
      <c r="K196" s="2">
        <v>85</v>
      </c>
      <c r="L196" s="2">
        <v>68</v>
      </c>
      <c r="M196" s="2">
        <v>57</v>
      </c>
      <c r="N196" s="2">
        <v>54</v>
      </c>
      <c r="O196" s="2">
        <v>50</v>
      </c>
      <c r="P196" s="2">
        <v>52</v>
      </c>
      <c r="Q196" s="2">
        <v>53</v>
      </c>
      <c r="R196" s="2">
        <v>53</v>
      </c>
      <c r="S196" s="2">
        <v>52</v>
      </c>
      <c r="T196" s="2">
        <v>54</v>
      </c>
      <c r="U196" s="2">
        <v>50</v>
      </c>
      <c r="V196" s="2">
        <v>52</v>
      </c>
      <c r="W196" s="2">
        <v>52</v>
      </c>
      <c r="X196" s="2">
        <v>56</v>
      </c>
      <c r="Y196" s="2">
        <v>55</v>
      </c>
      <c r="Z196" s="2">
        <v>69</v>
      </c>
      <c r="AA196" s="2">
        <v>83</v>
      </c>
      <c r="AC196" s="3">
        <f t="shared" si="2"/>
        <v>67.166666666666671</v>
      </c>
    </row>
    <row r="197" spans="2:29" x14ac:dyDescent="0.25">
      <c r="B197" s="4">
        <v>42562</v>
      </c>
      <c r="C197" s="3">
        <v>193</v>
      </c>
      <c r="D197" s="2">
        <v>94</v>
      </c>
      <c r="E197" s="2">
        <v>100</v>
      </c>
      <c r="F197" s="2">
        <v>100</v>
      </c>
      <c r="G197" s="2">
        <v>99</v>
      </c>
      <c r="H197" s="2">
        <v>91</v>
      </c>
      <c r="I197" s="2">
        <v>91</v>
      </c>
      <c r="J197" s="2">
        <v>91</v>
      </c>
      <c r="K197" s="2">
        <v>88</v>
      </c>
      <c r="L197" s="2">
        <v>68</v>
      </c>
      <c r="M197" s="2">
        <v>78</v>
      </c>
      <c r="N197" s="2">
        <v>64</v>
      </c>
      <c r="O197" s="2">
        <v>52</v>
      </c>
      <c r="P197" s="2">
        <v>56</v>
      </c>
      <c r="Q197" s="2">
        <v>53</v>
      </c>
      <c r="R197" s="2">
        <v>50</v>
      </c>
      <c r="S197" s="2">
        <v>48</v>
      </c>
      <c r="T197" s="2">
        <v>47</v>
      </c>
      <c r="U197" s="2">
        <v>51</v>
      </c>
      <c r="V197" s="2">
        <v>47</v>
      </c>
      <c r="W197" s="2">
        <v>51</v>
      </c>
      <c r="X197" s="2">
        <v>56</v>
      </c>
      <c r="Y197" s="2">
        <v>61</v>
      </c>
      <c r="Z197" s="2">
        <v>67</v>
      </c>
      <c r="AA197" s="2">
        <v>77</v>
      </c>
      <c r="AC197" s="3">
        <f t="shared" si="2"/>
        <v>70</v>
      </c>
    </row>
    <row r="198" spans="2:29" x14ac:dyDescent="0.25">
      <c r="B198" s="4">
        <v>42563</v>
      </c>
      <c r="C198" s="3">
        <v>194</v>
      </c>
      <c r="D198" s="2">
        <v>79</v>
      </c>
      <c r="E198" s="2">
        <v>79</v>
      </c>
      <c r="F198" s="2">
        <v>74</v>
      </c>
      <c r="G198" s="2">
        <v>79</v>
      </c>
      <c r="H198" s="2">
        <v>77</v>
      </c>
      <c r="I198" s="2">
        <v>79</v>
      </c>
      <c r="J198" s="2">
        <v>81</v>
      </c>
      <c r="K198" s="2">
        <v>74</v>
      </c>
      <c r="L198" s="2">
        <v>71</v>
      </c>
      <c r="M198" s="2">
        <v>67</v>
      </c>
      <c r="N198" s="2">
        <v>63</v>
      </c>
      <c r="O198" s="2">
        <v>66</v>
      </c>
      <c r="P198" s="2">
        <v>71</v>
      </c>
      <c r="Q198" s="2">
        <v>66</v>
      </c>
      <c r="R198" s="2">
        <v>63</v>
      </c>
      <c r="S198" s="2">
        <v>67</v>
      </c>
      <c r="T198" s="2">
        <v>70</v>
      </c>
      <c r="U198" s="2">
        <v>71</v>
      </c>
      <c r="V198" s="2">
        <v>74</v>
      </c>
      <c r="W198" s="2">
        <v>75</v>
      </c>
      <c r="X198" s="2">
        <v>76</v>
      </c>
      <c r="Y198" s="2">
        <v>78</v>
      </c>
      <c r="Z198" s="2">
        <v>81</v>
      </c>
      <c r="AA198" s="2">
        <v>82</v>
      </c>
      <c r="AC198" s="3">
        <f t="shared" ref="AC198:AC261" si="3">(SUM((D198:AA198))/24)</f>
        <v>73.458333333333329</v>
      </c>
    </row>
    <row r="199" spans="2:29" x14ac:dyDescent="0.25">
      <c r="B199" s="4">
        <v>42564</v>
      </c>
      <c r="C199" s="3">
        <v>195</v>
      </c>
      <c r="D199" s="2">
        <v>83</v>
      </c>
      <c r="E199" s="2">
        <v>47</v>
      </c>
      <c r="F199" s="2">
        <v>41</v>
      </c>
      <c r="G199" s="2">
        <v>43</v>
      </c>
      <c r="H199" s="2">
        <v>43</v>
      </c>
      <c r="I199" s="2">
        <v>45</v>
      </c>
      <c r="J199" s="2">
        <v>46</v>
      </c>
      <c r="K199" s="2">
        <v>48</v>
      </c>
      <c r="L199" s="2">
        <v>46</v>
      </c>
      <c r="M199" s="2">
        <v>44</v>
      </c>
      <c r="N199" s="2">
        <v>40</v>
      </c>
      <c r="O199" s="2">
        <v>39</v>
      </c>
      <c r="P199" s="2">
        <v>38</v>
      </c>
      <c r="Q199" s="2">
        <v>30</v>
      </c>
      <c r="R199" s="2">
        <v>27</v>
      </c>
      <c r="S199" s="2">
        <v>24</v>
      </c>
      <c r="T199" s="2">
        <v>23</v>
      </c>
      <c r="U199" s="2">
        <v>23</v>
      </c>
      <c r="V199" s="2">
        <v>23</v>
      </c>
      <c r="W199" s="2">
        <v>26</v>
      </c>
      <c r="X199" s="2">
        <v>28</v>
      </c>
      <c r="Y199" s="2">
        <v>29</v>
      </c>
      <c r="Z199" s="2">
        <v>31</v>
      </c>
      <c r="AA199" s="2">
        <v>34</v>
      </c>
      <c r="AC199" s="3">
        <f t="shared" si="3"/>
        <v>37.541666666666664</v>
      </c>
    </row>
    <row r="200" spans="2:29" x14ac:dyDescent="0.25">
      <c r="B200" s="4">
        <v>42565</v>
      </c>
      <c r="C200" s="3">
        <v>196</v>
      </c>
      <c r="D200" s="2">
        <v>38</v>
      </c>
      <c r="E200" s="2">
        <v>41</v>
      </c>
      <c r="F200" s="2">
        <v>44</v>
      </c>
      <c r="G200" s="2">
        <v>47</v>
      </c>
      <c r="H200" s="2">
        <v>48</v>
      </c>
      <c r="I200" s="2">
        <v>53</v>
      </c>
      <c r="J200" s="2">
        <v>62</v>
      </c>
      <c r="K200" s="2">
        <v>59</v>
      </c>
      <c r="L200" s="2">
        <v>52</v>
      </c>
      <c r="M200" s="2">
        <v>46</v>
      </c>
      <c r="N200" s="2">
        <v>41</v>
      </c>
      <c r="O200" s="2">
        <v>39</v>
      </c>
      <c r="P200" s="2">
        <v>37</v>
      </c>
      <c r="Q200" s="2">
        <v>35</v>
      </c>
      <c r="R200" s="2">
        <v>32</v>
      </c>
      <c r="S200" s="2">
        <v>32</v>
      </c>
      <c r="T200" s="2">
        <v>29</v>
      </c>
      <c r="U200" s="2">
        <v>27</v>
      </c>
      <c r="V200" s="2">
        <v>45</v>
      </c>
      <c r="W200" s="2">
        <v>53</v>
      </c>
      <c r="X200" s="2">
        <v>59</v>
      </c>
      <c r="Y200" s="2">
        <v>46</v>
      </c>
      <c r="Z200" s="2">
        <v>70</v>
      </c>
      <c r="AA200" s="2">
        <v>69</v>
      </c>
      <c r="AC200" s="3">
        <f t="shared" si="3"/>
        <v>46</v>
      </c>
    </row>
    <row r="201" spans="2:29" x14ac:dyDescent="0.25">
      <c r="B201" s="4">
        <v>42566</v>
      </c>
      <c r="C201" s="3">
        <v>197</v>
      </c>
      <c r="D201" s="2">
        <v>95</v>
      </c>
      <c r="E201" s="2">
        <v>92</v>
      </c>
      <c r="F201" s="2">
        <v>100</v>
      </c>
      <c r="G201" s="2">
        <v>97</v>
      </c>
      <c r="H201" s="2">
        <v>94</v>
      </c>
      <c r="I201" s="2">
        <v>91</v>
      </c>
      <c r="J201" s="2">
        <v>89</v>
      </c>
      <c r="K201" s="2">
        <v>95</v>
      </c>
      <c r="L201" s="2">
        <v>67</v>
      </c>
      <c r="M201" s="2">
        <v>55</v>
      </c>
      <c r="N201" s="2">
        <v>53</v>
      </c>
      <c r="O201" s="2">
        <v>52</v>
      </c>
      <c r="P201" s="2">
        <v>48</v>
      </c>
      <c r="Q201" s="2">
        <v>49</v>
      </c>
      <c r="R201" s="2">
        <v>55</v>
      </c>
      <c r="S201" s="2">
        <v>58</v>
      </c>
      <c r="T201" s="2">
        <v>60</v>
      </c>
      <c r="U201" s="2">
        <v>53</v>
      </c>
      <c r="V201" s="2">
        <v>50</v>
      </c>
      <c r="W201" s="2">
        <v>57</v>
      </c>
      <c r="X201" s="2">
        <v>62</v>
      </c>
      <c r="Y201" s="2">
        <v>67</v>
      </c>
      <c r="Z201" s="2">
        <v>76</v>
      </c>
      <c r="AA201" s="2">
        <v>97</v>
      </c>
      <c r="AC201" s="3">
        <f t="shared" si="3"/>
        <v>71.333333333333329</v>
      </c>
    </row>
    <row r="202" spans="2:29" x14ac:dyDescent="0.25">
      <c r="B202" s="4">
        <v>42567</v>
      </c>
      <c r="C202" s="3">
        <v>198</v>
      </c>
      <c r="D202" s="2">
        <v>96</v>
      </c>
      <c r="E202" s="2">
        <v>86</v>
      </c>
      <c r="F202" s="2">
        <v>86</v>
      </c>
      <c r="G202" s="2">
        <v>81</v>
      </c>
      <c r="H202" s="2">
        <v>85</v>
      </c>
      <c r="I202" s="2">
        <v>88</v>
      </c>
      <c r="J202" s="2">
        <v>97</v>
      </c>
      <c r="K202" s="2">
        <v>98</v>
      </c>
      <c r="L202" s="2">
        <v>76</v>
      </c>
      <c r="M202" s="2">
        <v>65</v>
      </c>
      <c r="N202" s="2">
        <v>47</v>
      </c>
      <c r="O202" s="2">
        <v>45</v>
      </c>
      <c r="P202" s="2">
        <v>53</v>
      </c>
      <c r="Q202" s="2">
        <v>56</v>
      </c>
      <c r="R202" s="2">
        <v>59</v>
      </c>
      <c r="S202" s="2">
        <v>63</v>
      </c>
      <c r="T202" s="2">
        <v>57</v>
      </c>
      <c r="U202" s="2">
        <v>50</v>
      </c>
      <c r="V202" s="2">
        <v>55</v>
      </c>
      <c r="W202" s="2">
        <v>54</v>
      </c>
      <c r="X202" s="2">
        <v>58</v>
      </c>
      <c r="Y202" s="2">
        <v>68</v>
      </c>
      <c r="Z202" s="2">
        <v>83</v>
      </c>
      <c r="AA202" s="2">
        <v>100</v>
      </c>
      <c r="AC202" s="3">
        <f t="shared" si="3"/>
        <v>71.083333333333329</v>
      </c>
    </row>
    <row r="203" spans="2:29" x14ac:dyDescent="0.25">
      <c r="B203" s="4">
        <v>42568</v>
      </c>
      <c r="C203" s="3">
        <v>199</v>
      </c>
      <c r="D203" s="2">
        <v>100</v>
      </c>
      <c r="E203" s="2">
        <v>100</v>
      </c>
      <c r="F203" s="2">
        <v>100</v>
      </c>
      <c r="G203" s="2">
        <v>100</v>
      </c>
      <c r="H203" s="2">
        <v>100</v>
      </c>
      <c r="I203" s="2">
        <v>100</v>
      </c>
      <c r="J203" s="2">
        <v>100</v>
      </c>
      <c r="K203" s="2">
        <v>99</v>
      </c>
      <c r="L203" s="2">
        <v>75</v>
      </c>
      <c r="M203" s="2">
        <v>64</v>
      </c>
      <c r="N203" s="2">
        <v>58</v>
      </c>
      <c r="O203" s="2">
        <v>53</v>
      </c>
      <c r="P203" s="2">
        <v>52</v>
      </c>
      <c r="Q203" s="2">
        <v>54</v>
      </c>
      <c r="R203" s="2">
        <v>56</v>
      </c>
      <c r="S203" s="2">
        <v>59</v>
      </c>
      <c r="T203" s="2">
        <v>56</v>
      </c>
      <c r="U203" s="2">
        <v>49</v>
      </c>
      <c r="V203" s="2">
        <v>44</v>
      </c>
      <c r="W203" s="2">
        <v>45</v>
      </c>
      <c r="X203" s="2">
        <v>47</v>
      </c>
      <c r="Y203" s="2">
        <v>68</v>
      </c>
      <c r="Z203" s="2">
        <v>89</v>
      </c>
      <c r="AA203" s="2">
        <v>100</v>
      </c>
      <c r="AC203" s="3">
        <f t="shared" si="3"/>
        <v>73.666666666666671</v>
      </c>
    </row>
    <row r="204" spans="2:29" x14ac:dyDescent="0.25">
      <c r="B204" s="4">
        <v>42569</v>
      </c>
      <c r="C204" s="3">
        <v>200</v>
      </c>
      <c r="D204" s="2">
        <v>79</v>
      </c>
      <c r="E204" s="2">
        <v>64</v>
      </c>
      <c r="F204" s="2">
        <v>66</v>
      </c>
      <c r="G204" s="2">
        <v>65</v>
      </c>
      <c r="H204" s="2">
        <v>61</v>
      </c>
      <c r="I204" s="2">
        <v>60</v>
      </c>
      <c r="J204" s="2">
        <v>65</v>
      </c>
      <c r="K204" s="2">
        <v>64</v>
      </c>
      <c r="L204" s="2">
        <v>55</v>
      </c>
      <c r="M204" s="2">
        <v>60</v>
      </c>
      <c r="N204" s="2">
        <v>57</v>
      </c>
      <c r="O204" s="2">
        <v>56</v>
      </c>
      <c r="P204" s="2">
        <v>57</v>
      </c>
      <c r="Q204" s="2">
        <v>51</v>
      </c>
      <c r="R204" s="2">
        <v>52</v>
      </c>
      <c r="S204" s="2">
        <v>53</v>
      </c>
      <c r="T204" s="2">
        <v>53</v>
      </c>
      <c r="U204" s="2">
        <v>52</v>
      </c>
      <c r="V204" s="2">
        <v>52</v>
      </c>
      <c r="W204" s="2">
        <v>60</v>
      </c>
      <c r="X204" s="2">
        <v>62</v>
      </c>
      <c r="Y204" s="2">
        <v>78</v>
      </c>
      <c r="Z204" s="2">
        <v>95</v>
      </c>
      <c r="AA204" s="2">
        <v>100</v>
      </c>
      <c r="AC204" s="3">
        <f t="shared" si="3"/>
        <v>63.208333333333336</v>
      </c>
    </row>
    <row r="205" spans="2:29" x14ac:dyDescent="0.25">
      <c r="B205" s="4">
        <v>42570</v>
      </c>
      <c r="C205" s="3">
        <v>201</v>
      </c>
      <c r="D205" s="2">
        <v>100</v>
      </c>
      <c r="E205" s="2">
        <v>100</v>
      </c>
      <c r="F205" s="2">
        <v>100</v>
      </c>
      <c r="G205" s="2">
        <v>100</v>
      </c>
      <c r="H205" s="2">
        <v>100</v>
      </c>
      <c r="I205" s="2">
        <v>100</v>
      </c>
      <c r="J205" s="2">
        <v>100</v>
      </c>
      <c r="K205" s="2">
        <v>100</v>
      </c>
      <c r="L205" s="2">
        <v>78</v>
      </c>
      <c r="M205" s="2">
        <v>73</v>
      </c>
      <c r="N205" s="2">
        <v>62</v>
      </c>
      <c r="O205" s="2">
        <v>51</v>
      </c>
      <c r="P205" s="2">
        <v>50</v>
      </c>
      <c r="Q205" s="2">
        <v>49</v>
      </c>
      <c r="R205" s="2">
        <v>44</v>
      </c>
      <c r="S205" s="2">
        <v>49</v>
      </c>
      <c r="T205" s="2">
        <v>51</v>
      </c>
      <c r="U205" s="2">
        <v>55</v>
      </c>
      <c r="V205" s="2">
        <v>55</v>
      </c>
      <c r="W205" s="2">
        <v>55</v>
      </c>
      <c r="X205" s="2">
        <v>61</v>
      </c>
      <c r="Y205" s="2">
        <v>70</v>
      </c>
      <c r="Z205" s="2">
        <v>80</v>
      </c>
      <c r="AA205" s="2">
        <v>81</v>
      </c>
      <c r="AC205" s="3">
        <f t="shared" si="3"/>
        <v>73.5</v>
      </c>
    </row>
    <row r="206" spans="2:29" x14ac:dyDescent="0.25">
      <c r="B206" s="4">
        <v>42571</v>
      </c>
      <c r="C206" s="3">
        <v>202</v>
      </c>
      <c r="D206" s="2">
        <v>100</v>
      </c>
      <c r="E206" s="2">
        <v>99</v>
      </c>
      <c r="F206" s="2">
        <v>94</v>
      </c>
      <c r="G206" s="2">
        <v>91</v>
      </c>
      <c r="H206" s="2">
        <v>89</v>
      </c>
      <c r="I206" s="2">
        <v>90</v>
      </c>
      <c r="J206" s="2">
        <v>95</v>
      </c>
      <c r="K206" s="2">
        <v>91</v>
      </c>
      <c r="L206" s="2">
        <v>78</v>
      </c>
      <c r="M206" s="2">
        <v>76</v>
      </c>
      <c r="N206" s="2">
        <v>73</v>
      </c>
      <c r="O206" s="2">
        <v>66</v>
      </c>
      <c r="P206" s="2">
        <v>64</v>
      </c>
      <c r="Q206" s="2">
        <v>57</v>
      </c>
      <c r="R206" s="2">
        <v>60</v>
      </c>
      <c r="S206" s="2">
        <v>71</v>
      </c>
      <c r="T206" s="2">
        <v>75</v>
      </c>
      <c r="U206" s="2">
        <v>77</v>
      </c>
      <c r="V206" s="2">
        <v>81</v>
      </c>
      <c r="W206" s="2">
        <v>85</v>
      </c>
      <c r="X206" s="2">
        <v>80</v>
      </c>
      <c r="Y206" s="2">
        <v>86</v>
      </c>
      <c r="Z206" s="2">
        <v>92</v>
      </c>
      <c r="AA206" s="2">
        <v>98</v>
      </c>
      <c r="AC206" s="3">
        <f t="shared" si="3"/>
        <v>82</v>
      </c>
    </row>
    <row r="207" spans="2:29" x14ac:dyDescent="0.25">
      <c r="B207" s="4">
        <v>42572</v>
      </c>
      <c r="C207" s="3">
        <v>203</v>
      </c>
      <c r="D207" s="2">
        <v>100</v>
      </c>
      <c r="E207" s="2">
        <v>100</v>
      </c>
      <c r="F207" s="2">
        <v>100</v>
      </c>
      <c r="G207" s="2">
        <v>91</v>
      </c>
      <c r="H207" s="2">
        <v>85</v>
      </c>
      <c r="I207" s="2">
        <v>89</v>
      </c>
      <c r="J207" s="2">
        <v>100</v>
      </c>
      <c r="K207" s="2">
        <v>100</v>
      </c>
      <c r="L207" s="2">
        <v>81</v>
      </c>
      <c r="M207" s="2">
        <v>73</v>
      </c>
      <c r="N207" s="2">
        <v>70</v>
      </c>
      <c r="O207" s="2">
        <v>71</v>
      </c>
      <c r="P207" s="2">
        <v>71</v>
      </c>
      <c r="Q207" s="2">
        <v>60</v>
      </c>
      <c r="R207" s="2">
        <v>58</v>
      </c>
      <c r="S207" s="2">
        <v>65</v>
      </c>
      <c r="T207" s="2">
        <v>63</v>
      </c>
      <c r="U207" s="2">
        <v>65</v>
      </c>
      <c r="V207" s="2">
        <v>69</v>
      </c>
      <c r="W207" s="2">
        <v>68</v>
      </c>
      <c r="X207" s="2">
        <v>75</v>
      </c>
      <c r="Y207" s="2">
        <v>80</v>
      </c>
      <c r="Z207" s="2">
        <v>89</v>
      </c>
      <c r="AA207" s="2">
        <v>100</v>
      </c>
      <c r="AC207" s="3">
        <f t="shared" si="3"/>
        <v>80.125</v>
      </c>
    </row>
    <row r="208" spans="2:29" x14ac:dyDescent="0.25">
      <c r="B208" s="4">
        <v>42573</v>
      </c>
      <c r="C208" s="3">
        <v>204</v>
      </c>
      <c r="D208" s="2">
        <v>100</v>
      </c>
      <c r="E208" s="2">
        <v>100</v>
      </c>
      <c r="F208" s="2">
        <v>100</v>
      </c>
      <c r="G208" s="2">
        <v>100</v>
      </c>
      <c r="H208" s="2">
        <v>87</v>
      </c>
      <c r="I208" s="2">
        <v>100</v>
      </c>
      <c r="J208" s="2">
        <v>96</v>
      </c>
      <c r="K208" s="2">
        <v>92</v>
      </c>
      <c r="L208" s="2">
        <v>69</v>
      </c>
      <c r="M208" s="2">
        <v>61</v>
      </c>
      <c r="N208" s="2">
        <v>54</v>
      </c>
      <c r="O208" s="2">
        <v>47</v>
      </c>
      <c r="P208" s="2">
        <v>45</v>
      </c>
      <c r="Q208" s="2">
        <v>48</v>
      </c>
      <c r="R208" s="2">
        <v>54</v>
      </c>
      <c r="S208" s="2">
        <v>61</v>
      </c>
      <c r="T208" s="2">
        <v>61</v>
      </c>
      <c r="U208" s="2">
        <v>62</v>
      </c>
      <c r="V208" s="2">
        <v>70</v>
      </c>
      <c r="W208" s="2">
        <v>72</v>
      </c>
      <c r="X208" s="2">
        <v>73</v>
      </c>
      <c r="Y208" s="2">
        <v>81</v>
      </c>
      <c r="Z208" s="2">
        <v>100</v>
      </c>
      <c r="AA208" s="2">
        <v>100</v>
      </c>
      <c r="AC208" s="3">
        <f t="shared" si="3"/>
        <v>76.375</v>
      </c>
    </row>
    <row r="209" spans="2:29" x14ac:dyDescent="0.25">
      <c r="B209" s="4">
        <v>42574</v>
      </c>
      <c r="C209" s="3">
        <v>205</v>
      </c>
      <c r="D209" s="2">
        <v>100</v>
      </c>
      <c r="E209" s="2">
        <v>100</v>
      </c>
      <c r="F209" s="2">
        <v>99</v>
      </c>
      <c r="G209" s="2">
        <v>100</v>
      </c>
      <c r="H209" s="2">
        <v>100</v>
      </c>
      <c r="I209" s="2">
        <v>79</v>
      </c>
      <c r="J209" s="2">
        <v>100</v>
      </c>
      <c r="K209" s="2">
        <v>68</v>
      </c>
      <c r="L209" s="2">
        <v>71</v>
      </c>
      <c r="M209" s="2">
        <v>63</v>
      </c>
      <c r="N209" s="2">
        <v>55</v>
      </c>
      <c r="O209" s="2">
        <v>50</v>
      </c>
      <c r="P209" s="2">
        <v>49</v>
      </c>
      <c r="Q209" s="2">
        <v>43</v>
      </c>
      <c r="R209" s="2">
        <v>41</v>
      </c>
      <c r="S209" s="2">
        <v>40</v>
      </c>
      <c r="T209" s="2">
        <v>38</v>
      </c>
      <c r="U209" s="2">
        <v>52</v>
      </c>
      <c r="V209" s="2">
        <v>53</v>
      </c>
      <c r="W209" s="2">
        <v>62</v>
      </c>
      <c r="X209" s="2">
        <v>65</v>
      </c>
      <c r="Y209" s="2">
        <v>80</v>
      </c>
      <c r="Z209" s="2">
        <v>100</v>
      </c>
      <c r="AA209" s="2">
        <v>100</v>
      </c>
      <c r="AC209" s="3">
        <f t="shared" si="3"/>
        <v>71.166666666666671</v>
      </c>
    </row>
    <row r="210" spans="2:29" x14ac:dyDescent="0.25">
      <c r="B210" s="4">
        <v>42575</v>
      </c>
      <c r="C210" s="3">
        <v>206</v>
      </c>
      <c r="D210" s="2">
        <v>100</v>
      </c>
      <c r="E210" s="2">
        <v>100</v>
      </c>
      <c r="F210" s="2">
        <v>100</v>
      </c>
      <c r="G210" s="2">
        <v>100</v>
      </c>
      <c r="H210" s="2">
        <v>100</v>
      </c>
      <c r="I210" s="2">
        <v>100</v>
      </c>
      <c r="J210" s="2">
        <v>100</v>
      </c>
      <c r="K210" s="2">
        <v>95</v>
      </c>
      <c r="L210" s="2">
        <v>68</v>
      </c>
      <c r="M210" s="2">
        <v>63</v>
      </c>
      <c r="N210" s="2">
        <v>52</v>
      </c>
      <c r="O210" s="2">
        <v>45</v>
      </c>
      <c r="P210" s="2">
        <v>40</v>
      </c>
      <c r="Q210" s="2">
        <v>38</v>
      </c>
      <c r="R210" s="2">
        <v>40</v>
      </c>
      <c r="S210" s="2">
        <v>38</v>
      </c>
      <c r="T210" s="2">
        <v>44</v>
      </c>
      <c r="U210" s="2">
        <v>47</v>
      </c>
      <c r="V210" s="2">
        <v>44</v>
      </c>
      <c r="W210" s="2">
        <v>57</v>
      </c>
      <c r="X210" s="2">
        <v>68</v>
      </c>
      <c r="Y210" s="2">
        <v>80</v>
      </c>
      <c r="Z210" s="2">
        <v>88</v>
      </c>
      <c r="AA210" s="2">
        <v>100</v>
      </c>
      <c r="AC210" s="3">
        <f t="shared" si="3"/>
        <v>71.125</v>
      </c>
    </row>
    <row r="211" spans="2:29" x14ac:dyDescent="0.25">
      <c r="B211" s="4">
        <v>42576</v>
      </c>
      <c r="C211" s="3">
        <v>207</v>
      </c>
      <c r="D211" s="2">
        <v>100</v>
      </c>
      <c r="E211" s="2">
        <v>100</v>
      </c>
      <c r="F211" s="2">
        <v>100</v>
      </c>
      <c r="G211" s="2">
        <v>100</v>
      </c>
      <c r="H211" s="2">
        <v>100</v>
      </c>
      <c r="I211" s="2">
        <v>100</v>
      </c>
      <c r="J211" s="2">
        <v>100</v>
      </c>
      <c r="K211" s="2">
        <v>100</v>
      </c>
      <c r="L211" s="2">
        <v>88</v>
      </c>
      <c r="M211" s="2">
        <v>68</v>
      </c>
      <c r="N211" s="2">
        <v>52</v>
      </c>
      <c r="O211" s="2">
        <v>39</v>
      </c>
      <c r="P211" s="2">
        <v>37</v>
      </c>
      <c r="Q211" s="2">
        <v>43</v>
      </c>
      <c r="R211" s="2">
        <v>45</v>
      </c>
      <c r="S211" s="2">
        <v>53</v>
      </c>
      <c r="T211" s="2">
        <v>59</v>
      </c>
      <c r="U211" s="2">
        <v>57</v>
      </c>
      <c r="V211" s="2">
        <v>52</v>
      </c>
      <c r="W211" s="2">
        <v>53</v>
      </c>
      <c r="X211" s="2">
        <v>59</v>
      </c>
      <c r="Y211" s="2">
        <v>70</v>
      </c>
      <c r="Z211" s="2">
        <v>83</v>
      </c>
      <c r="AA211" s="2">
        <v>100</v>
      </c>
      <c r="AC211" s="3">
        <f t="shared" si="3"/>
        <v>73.25</v>
      </c>
    </row>
    <row r="212" spans="2:29" x14ac:dyDescent="0.25">
      <c r="B212" s="4">
        <v>42577</v>
      </c>
      <c r="C212" s="3">
        <v>208</v>
      </c>
      <c r="D212" s="2">
        <v>100</v>
      </c>
      <c r="E212" s="2">
        <v>97</v>
      </c>
      <c r="F212" s="2">
        <v>99</v>
      </c>
      <c r="G212" s="2">
        <v>100</v>
      </c>
      <c r="H212" s="2">
        <v>100</v>
      </c>
      <c r="I212" s="2">
        <v>100</v>
      </c>
      <c r="J212" s="2">
        <v>100</v>
      </c>
      <c r="K212" s="2">
        <v>100</v>
      </c>
      <c r="L212" s="2">
        <v>79</v>
      </c>
      <c r="M212" s="2">
        <v>74</v>
      </c>
      <c r="N212" s="2">
        <v>50</v>
      </c>
      <c r="O212" s="2">
        <v>44</v>
      </c>
      <c r="P212" s="2">
        <v>46</v>
      </c>
      <c r="Q212" s="2">
        <v>56</v>
      </c>
      <c r="R212" s="2">
        <v>53</v>
      </c>
      <c r="S212" s="2">
        <v>56</v>
      </c>
      <c r="T212" s="2">
        <v>65</v>
      </c>
      <c r="U212" s="2">
        <v>59</v>
      </c>
      <c r="V212" s="2">
        <v>67</v>
      </c>
      <c r="W212" s="2">
        <v>76</v>
      </c>
      <c r="X212" s="2">
        <v>78</v>
      </c>
      <c r="Y212" s="2">
        <v>81</v>
      </c>
      <c r="Z212" s="2">
        <v>84</v>
      </c>
      <c r="AA212" s="2">
        <v>100</v>
      </c>
      <c r="AC212" s="3">
        <f t="shared" si="3"/>
        <v>77.666666666666671</v>
      </c>
    </row>
    <row r="213" spans="2:29" x14ac:dyDescent="0.25">
      <c r="B213" s="4">
        <v>42578</v>
      </c>
      <c r="C213" s="3">
        <v>209</v>
      </c>
      <c r="D213" s="2">
        <v>100</v>
      </c>
      <c r="E213" s="2">
        <v>100</v>
      </c>
      <c r="F213" s="2">
        <v>100</v>
      </c>
      <c r="G213" s="2">
        <v>100</v>
      </c>
      <c r="H213" s="2">
        <v>100</v>
      </c>
      <c r="I213" s="2">
        <v>100</v>
      </c>
      <c r="J213" s="2">
        <v>100</v>
      </c>
      <c r="K213" s="2">
        <v>100</v>
      </c>
      <c r="L213" s="2">
        <v>96</v>
      </c>
      <c r="M213" s="2">
        <v>60</v>
      </c>
      <c r="N213" s="2">
        <v>58</v>
      </c>
      <c r="O213" s="2">
        <v>47</v>
      </c>
      <c r="P213" s="2">
        <v>43</v>
      </c>
      <c r="Q213" s="2">
        <v>47</v>
      </c>
      <c r="R213" s="2">
        <v>46</v>
      </c>
      <c r="S213" s="2">
        <v>51</v>
      </c>
      <c r="T213" s="2">
        <v>53</v>
      </c>
      <c r="U213" s="2">
        <v>56</v>
      </c>
      <c r="V213" s="2">
        <v>58</v>
      </c>
      <c r="W213" s="2">
        <v>58</v>
      </c>
      <c r="X213" s="2">
        <v>62</v>
      </c>
      <c r="Y213" s="2">
        <v>75</v>
      </c>
      <c r="Z213" s="2">
        <v>81</v>
      </c>
      <c r="AA213" s="2">
        <v>95</v>
      </c>
      <c r="AC213" s="3">
        <f t="shared" si="3"/>
        <v>74.416666666666671</v>
      </c>
    </row>
    <row r="214" spans="2:29" x14ac:dyDescent="0.25">
      <c r="B214" s="4">
        <v>42579</v>
      </c>
      <c r="C214" s="3">
        <v>210</v>
      </c>
      <c r="D214" s="2">
        <v>100</v>
      </c>
      <c r="E214" s="2">
        <v>100</v>
      </c>
      <c r="F214" s="2">
        <v>100</v>
      </c>
      <c r="G214" s="2">
        <v>100</v>
      </c>
      <c r="H214" s="2">
        <v>100</v>
      </c>
      <c r="I214" s="2">
        <v>100</v>
      </c>
      <c r="J214" s="2">
        <v>100</v>
      </c>
      <c r="K214" s="2">
        <v>94</v>
      </c>
      <c r="L214" s="2">
        <v>81</v>
      </c>
      <c r="M214" s="2">
        <v>68</v>
      </c>
      <c r="N214" s="2">
        <v>53</v>
      </c>
      <c r="O214" s="2">
        <v>42</v>
      </c>
      <c r="P214" s="2">
        <v>37</v>
      </c>
      <c r="Q214" s="2">
        <v>35</v>
      </c>
      <c r="R214" s="2">
        <v>44</v>
      </c>
      <c r="S214" s="2">
        <v>49</v>
      </c>
      <c r="T214" s="2">
        <v>55</v>
      </c>
      <c r="U214" s="2">
        <v>55</v>
      </c>
      <c r="V214" s="2">
        <v>56</v>
      </c>
      <c r="W214" s="2">
        <v>61</v>
      </c>
      <c r="X214" s="2">
        <v>70</v>
      </c>
      <c r="Y214" s="2">
        <v>84</v>
      </c>
      <c r="Z214" s="2">
        <v>98</v>
      </c>
      <c r="AA214" s="2">
        <v>100</v>
      </c>
      <c r="AC214" s="3">
        <f t="shared" si="3"/>
        <v>74.25</v>
      </c>
    </row>
    <row r="215" spans="2:29" x14ac:dyDescent="0.25">
      <c r="B215" s="4">
        <v>42580</v>
      </c>
      <c r="C215" s="3">
        <v>211</v>
      </c>
      <c r="D215" s="2">
        <v>100</v>
      </c>
      <c r="E215" s="2">
        <v>100</v>
      </c>
      <c r="F215" s="2">
        <v>100</v>
      </c>
      <c r="G215" s="2">
        <v>100</v>
      </c>
      <c r="H215" s="2">
        <v>100</v>
      </c>
      <c r="I215" s="2">
        <v>100</v>
      </c>
      <c r="J215" s="2">
        <v>100</v>
      </c>
      <c r="K215" s="2">
        <v>100</v>
      </c>
      <c r="L215" s="2">
        <v>85</v>
      </c>
      <c r="M215" s="2">
        <v>78</v>
      </c>
      <c r="N215" s="2">
        <v>69</v>
      </c>
      <c r="O215" s="2">
        <v>66</v>
      </c>
      <c r="P215" s="2">
        <v>52</v>
      </c>
      <c r="Q215" s="2">
        <v>54</v>
      </c>
      <c r="R215" s="2">
        <v>54</v>
      </c>
      <c r="S215" s="2">
        <v>50</v>
      </c>
      <c r="T215" s="2">
        <v>55</v>
      </c>
      <c r="U215" s="2">
        <v>53</v>
      </c>
      <c r="V215" s="2">
        <v>53</v>
      </c>
      <c r="W215" s="2">
        <v>60</v>
      </c>
      <c r="X215" s="2">
        <v>66</v>
      </c>
      <c r="Y215" s="2">
        <v>73</v>
      </c>
      <c r="Z215" s="2">
        <v>78</v>
      </c>
      <c r="AA215" s="2">
        <v>85</v>
      </c>
      <c r="AC215" s="3">
        <f t="shared" si="3"/>
        <v>76.291666666666671</v>
      </c>
    </row>
    <row r="216" spans="2:29" x14ac:dyDescent="0.25">
      <c r="B216" s="4">
        <v>42581</v>
      </c>
      <c r="C216" s="3">
        <v>212</v>
      </c>
      <c r="D216" s="2">
        <v>89</v>
      </c>
      <c r="E216" s="2">
        <v>100</v>
      </c>
      <c r="F216" s="2">
        <v>100</v>
      </c>
      <c r="G216" s="2">
        <v>100</v>
      </c>
      <c r="H216" s="2">
        <v>100</v>
      </c>
      <c r="I216" s="2">
        <v>100</v>
      </c>
      <c r="J216" s="2">
        <v>100</v>
      </c>
      <c r="K216" s="2">
        <v>100</v>
      </c>
      <c r="L216" s="2">
        <v>89</v>
      </c>
      <c r="M216" s="2">
        <v>80</v>
      </c>
      <c r="N216" s="2">
        <v>71</v>
      </c>
      <c r="O216" s="2">
        <v>67</v>
      </c>
      <c r="P216" s="2">
        <v>65</v>
      </c>
      <c r="Q216" s="2">
        <v>63</v>
      </c>
      <c r="R216" s="2">
        <v>63</v>
      </c>
      <c r="S216" s="2">
        <v>63</v>
      </c>
      <c r="T216" s="2">
        <v>61</v>
      </c>
      <c r="U216" s="2">
        <v>63</v>
      </c>
      <c r="V216" s="2">
        <v>63</v>
      </c>
      <c r="W216" s="2">
        <v>71</v>
      </c>
      <c r="X216" s="2">
        <v>72</v>
      </c>
      <c r="Y216" s="2">
        <v>78</v>
      </c>
      <c r="Z216" s="2">
        <v>87</v>
      </c>
      <c r="AA216" s="2">
        <v>100</v>
      </c>
      <c r="AC216" s="3">
        <f t="shared" si="3"/>
        <v>81.041666666666671</v>
      </c>
    </row>
    <row r="217" spans="2:29" x14ac:dyDescent="0.25">
      <c r="B217" s="4">
        <v>42582</v>
      </c>
      <c r="C217" s="3">
        <v>213</v>
      </c>
      <c r="D217" s="2">
        <v>100</v>
      </c>
      <c r="E217" s="2">
        <v>100</v>
      </c>
      <c r="F217" s="2">
        <v>100</v>
      </c>
      <c r="G217" s="2">
        <v>100</v>
      </c>
      <c r="H217" s="2">
        <v>100</v>
      </c>
      <c r="I217" s="2">
        <v>100</v>
      </c>
      <c r="J217" s="2">
        <v>100</v>
      </c>
      <c r="K217" s="2">
        <v>100</v>
      </c>
      <c r="L217" s="2">
        <v>95</v>
      </c>
      <c r="M217" s="2">
        <v>80</v>
      </c>
      <c r="N217" s="2">
        <v>71</v>
      </c>
      <c r="O217" s="2">
        <v>63</v>
      </c>
      <c r="P217" s="2">
        <v>67</v>
      </c>
      <c r="Q217" s="2">
        <v>68</v>
      </c>
      <c r="R217" s="2">
        <v>65</v>
      </c>
      <c r="S217" s="2">
        <v>67</v>
      </c>
      <c r="T217" s="2">
        <v>63</v>
      </c>
      <c r="U217" s="2">
        <v>61</v>
      </c>
      <c r="V217" s="2">
        <v>60</v>
      </c>
      <c r="W217" s="2">
        <v>64</v>
      </c>
      <c r="X217" s="2">
        <v>66</v>
      </c>
      <c r="Y217" s="2">
        <v>87</v>
      </c>
      <c r="Z217" s="2">
        <v>93</v>
      </c>
      <c r="AA217" s="2">
        <v>91</v>
      </c>
      <c r="AC217" s="3">
        <f t="shared" si="3"/>
        <v>81.708333333333329</v>
      </c>
    </row>
    <row r="218" spans="2:29" x14ac:dyDescent="0.25">
      <c r="B218" s="4">
        <v>42583</v>
      </c>
      <c r="C218" s="3">
        <v>214</v>
      </c>
      <c r="D218" s="2">
        <v>83</v>
      </c>
      <c r="E218" s="2">
        <v>82</v>
      </c>
      <c r="F218" s="2">
        <v>86</v>
      </c>
      <c r="G218" s="2">
        <v>58</v>
      </c>
      <c r="H218" s="2">
        <v>55</v>
      </c>
      <c r="I218" s="2">
        <v>57</v>
      </c>
      <c r="J218" s="2">
        <v>59</v>
      </c>
      <c r="K218" s="2">
        <v>59</v>
      </c>
      <c r="L218" s="2">
        <v>59</v>
      </c>
      <c r="M218" s="2">
        <v>51</v>
      </c>
      <c r="N218" s="2">
        <v>46</v>
      </c>
      <c r="O218" s="2">
        <v>39</v>
      </c>
      <c r="P218" s="2">
        <v>32</v>
      </c>
      <c r="Q218" s="2">
        <v>32</v>
      </c>
      <c r="R218" s="2">
        <v>35</v>
      </c>
      <c r="S218" s="2">
        <v>48</v>
      </c>
      <c r="T218" s="2">
        <v>54</v>
      </c>
      <c r="U218" s="2">
        <v>61</v>
      </c>
      <c r="V218" s="2">
        <v>65</v>
      </c>
      <c r="W218" s="2">
        <v>71</v>
      </c>
      <c r="X218" s="2">
        <v>74</v>
      </c>
      <c r="Y218" s="2">
        <v>77</v>
      </c>
      <c r="Z218" s="2">
        <v>78</v>
      </c>
      <c r="AA218" s="2">
        <v>79</v>
      </c>
      <c r="AC218" s="3">
        <f t="shared" si="3"/>
        <v>60</v>
      </c>
    </row>
    <row r="219" spans="2:29" x14ac:dyDescent="0.25">
      <c r="B219" s="4">
        <v>42584</v>
      </c>
      <c r="C219" s="3">
        <v>215</v>
      </c>
      <c r="D219" s="2">
        <v>83</v>
      </c>
      <c r="E219" s="2">
        <v>79</v>
      </c>
      <c r="F219" s="2">
        <v>79</v>
      </c>
      <c r="G219" s="2">
        <v>82</v>
      </c>
      <c r="H219" s="2">
        <v>81</v>
      </c>
      <c r="I219" s="2">
        <v>85</v>
      </c>
      <c r="J219" s="2">
        <v>99</v>
      </c>
      <c r="K219" s="2">
        <v>100</v>
      </c>
      <c r="L219" s="2">
        <v>94</v>
      </c>
      <c r="M219" s="2">
        <v>71</v>
      </c>
      <c r="N219" s="2">
        <v>55</v>
      </c>
      <c r="O219" s="2">
        <v>47</v>
      </c>
      <c r="P219" s="2">
        <v>62</v>
      </c>
      <c r="Q219" s="2">
        <v>63</v>
      </c>
      <c r="R219" s="2">
        <v>63</v>
      </c>
      <c r="S219" s="2">
        <v>62</v>
      </c>
      <c r="T219" s="2">
        <v>60</v>
      </c>
      <c r="U219" s="2">
        <v>62</v>
      </c>
      <c r="V219" s="2">
        <v>65</v>
      </c>
      <c r="W219" s="2">
        <v>70</v>
      </c>
      <c r="X219" s="2">
        <v>73</v>
      </c>
      <c r="Y219" s="2">
        <v>77</v>
      </c>
      <c r="Z219" s="2">
        <v>81</v>
      </c>
      <c r="AA219" s="2">
        <v>86</v>
      </c>
      <c r="AC219" s="3">
        <f t="shared" si="3"/>
        <v>74.125</v>
      </c>
    </row>
    <row r="220" spans="2:29" x14ac:dyDescent="0.25">
      <c r="B220" s="4">
        <v>42585</v>
      </c>
      <c r="C220" s="3">
        <v>216</v>
      </c>
      <c r="D220" s="2">
        <v>90</v>
      </c>
      <c r="E220" s="2">
        <v>100</v>
      </c>
      <c r="F220" s="2">
        <v>100</v>
      </c>
      <c r="G220" s="2">
        <v>100</v>
      </c>
      <c r="H220" s="2">
        <v>100</v>
      </c>
      <c r="I220" s="2">
        <v>100</v>
      </c>
      <c r="J220" s="2">
        <v>100</v>
      </c>
      <c r="K220" s="2">
        <v>100</v>
      </c>
      <c r="L220" s="2">
        <v>90</v>
      </c>
      <c r="M220" s="2">
        <v>78</v>
      </c>
      <c r="N220" s="2">
        <v>65</v>
      </c>
      <c r="O220" s="2">
        <v>65</v>
      </c>
      <c r="P220" s="2">
        <v>67</v>
      </c>
      <c r="Q220" s="2">
        <v>67</v>
      </c>
      <c r="R220" s="2">
        <v>66</v>
      </c>
      <c r="S220" s="2">
        <v>68</v>
      </c>
      <c r="T220" s="2">
        <v>64</v>
      </c>
      <c r="U220" s="2">
        <v>65</v>
      </c>
      <c r="V220" s="2">
        <v>65</v>
      </c>
      <c r="W220" s="2">
        <v>63</v>
      </c>
      <c r="X220" s="2">
        <v>73</v>
      </c>
      <c r="Y220" s="2">
        <v>78</v>
      </c>
      <c r="Z220" s="2">
        <v>82</v>
      </c>
      <c r="AA220" s="2">
        <v>83</v>
      </c>
      <c r="AC220" s="3">
        <f t="shared" si="3"/>
        <v>80.375</v>
      </c>
    </row>
    <row r="221" spans="2:29" x14ac:dyDescent="0.25">
      <c r="B221" s="4">
        <v>42586</v>
      </c>
      <c r="C221" s="3">
        <v>217</v>
      </c>
      <c r="D221" s="2">
        <v>98</v>
      </c>
      <c r="E221" s="2">
        <v>100</v>
      </c>
      <c r="F221" s="2">
        <v>100</v>
      </c>
      <c r="G221" s="2">
        <v>100</v>
      </c>
      <c r="H221" s="2">
        <v>97</v>
      </c>
      <c r="I221" s="2">
        <v>100</v>
      </c>
      <c r="J221" s="2">
        <v>100</v>
      </c>
      <c r="K221" s="2">
        <v>100</v>
      </c>
      <c r="L221" s="2">
        <v>92</v>
      </c>
      <c r="M221" s="2">
        <v>78</v>
      </c>
      <c r="N221" s="2">
        <v>66</v>
      </c>
      <c r="O221" s="2">
        <v>61</v>
      </c>
      <c r="P221" s="2">
        <v>62</v>
      </c>
      <c r="Q221" s="2">
        <v>60</v>
      </c>
      <c r="R221" s="2">
        <v>60</v>
      </c>
      <c r="S221" s="2">
        <v>66</v>
      </c>
      <c r="T221" s="2">
        <v>71</v>
      </c>
      <c r="U221" s="2">
        <v>69</v>
      </c>
      <c r="V221" s="2">
        <v>69</v>
      </c>
      <c r="W221" s="2">
        <v>65</v>
      </c>
      <c r="X221" s="2">
        <v>53</v>
      </c>
      <c r="Y221" s="2">
        <v>74</v>
      </c>
      <c r="Z221" s="2">
        <v>82</v>
      </c>
      <c r="AA221" s="2">
        <v>89</v>
      </c>
      <c r="AC221" s="3">
        <f t="shared" si="3"/>
        <v>79.666666666666671</v>
      </c>
    </row>
    <row r="222" spans="2:29" x14ac:dyDescent="0.25">
      <c r="B222" s="4">
        <v>42587</v>
      </c>
      <c r="C222" s="3">
        <v>218</v>
      </c>
      <c r="D222" s="2">
        <v>88</v>
      </c>
      <c r="E222" s="2">
        <v>92</v>
      </c>
      <c r="F222" s="2">
        <v>100</v>
      </c>
      <c r="G222" s="2">
        <v>95</v>
      </c>
      <c r="H222" s="2">
        <v>84</v>
      </c>
      <c r="I222" s="2">
        <v>87</v>
      </c>
      <c r="J222" s="2">
        <v>57</v>
      </c>
      <c r="K222" s="2">
        <v>58</v>
      </c>
      <c r="L222" s="2">
        <v>58</v>
      </c>
      <c r="M222" s="2">
        <v>55</v>
      </c>
      <c r="N222" s="2">
        <v>48</v>
      </c>
      <c r="O222" s="2">
        <v>42</v>
      </c>
      <c r="P222" s="2">
        <v>39</v>
      </c>
      <c r="Q222" s="2">
        <v>32</v>
      </c>
      <c r="R222" s="2">
        <v>27</v>
      </c>
      <c r="S222" s="2">
        <v>53</v>
      </c>
      <c r="T222" s="2">
        <v>58</v>
      </c>
      <c r="U222" s="2">
        <v>61</v>
      </c>
      <c r="V222" s="2">
        <v>64</v>
      </c>
      <c r="W222" s="2">
        <v>65</v>
      </c>
      <c r="X222" s="2">
        <v>67</v>
      </c>
      <c r="Y222" s="2">
        <v>69</v>
      </c>
      <c r="Z222" s="2">
        <v>74</v>
      </c>
      <c r="AA222" s="2">
        <v>77</v>
      </c>
      <c r="AC222" s="3">
        <f t="shared" si="3"/>
        <v>64.583333333333329</v>
      </c>
    </row>
    <row r="223" spans="2:29" x14ac:dyDescent="0.25">
      <c r="B223" s="4">
        <v>42588</v>
      </c>
      <c r="C223" s="3">
        <v>219</v>
      </c>
      <c r="D223" s="2">
        <v>84</v>
      </c>
      <c r="E223" s="2">
        <v>99</v>
      </c>
      <c r="F223" s="2">
        <v>100</v>
      </c>
      <c r="G223" s="2">
        <v>55</v>
      </c>
      <c r="H223" s="2">
        <v>60</v>
      </c>
      <c r="I223" s="2">
        <v>64</v>
      </c>
      <c r="J223" s="2">
        <v>62</v>
      </c>
      <c r="K223" s="2">
        <v>80</v>
      </c>
      <c r="L223" s="2">
        <v>68</v>
      </c>
      <c r="M223" s="2">
        <v>52</v>
      </c>
      <c r="N223" s="2">
        <v>47</v>
      </c>
      <c r="O223" s="2">
        <v>45</v>
      </c>
      <c r="P223" s="2">
        <v>44</v>
      </c>
      <c r="Q223" s="2">
        <v>40</v>
      </c>
      <c r="R223" s="2">
        <v>38</v>
      </c>
      <c r="S223" s="2">
        <v>37</v>
      </c>
      <c r="T223" s="2">
        <v>43</v>
      </c>
      <c r="U223" s="2">
        <v>47</v>
      </c>
      <c r="V223" s="2">
        <v>50</v>
      </c>
      <c r="W223" s="2">
        <v>60</v>
      </c>
      <c r="X223" s="2">
        <v>66</v>
      </c>
      <c r="Y223" s="2">
        <v>76</v>
      </c>
      <c r="Z223" s="2">
        <v>81</v>
      </c>
      <c r="AA223" s="2">
        <v>100</v>
      </c>
      <c r="AC223" s="3">
        <f t="shared" si="3"/>
        <v>62.416666666666664</v>
      </c>
    </row>
    <row r="224" spans="2:29" x14ac:dyDescent="0.25">
      <c r="B224" s="4">
        <v>42589</v>
      </c>
      <c r="C224" s="3">
        <v>220</v>
      </c>
      <c r="D224" s="2">
        <v>100</v>
      </c>
      <c r="E224" s="2">
        <v>100</v>
      </c>
      <c r="F224" s="2">
        <v>100</v>
      </c>
      <c r="G224" s="2">
        <v>100</v>
      </c>
      <c r="H224" s="2">
        <v>98</v>
      </c>
      <c r="I224" s="2">
        <v>100</v>
      </c>
      <c r="J224" s="2">
        <v>100</v>
      </c>
      <c r="K224" s="2">
        <v>100</v>
      </c>
      <c r="L224" s="2">
        <v>75</v>
      </c>
      <c r="M224" s="2">
        <v>59</v>
      </c>
      <c r="N224" s="2">
        <v>53</v>
      </c>
      <c r="O224" s="2">
        <v>48</v>
      </c>
      <c r="P224" s="2">
        <v>41</v>
      </c>
      <c r="Q224" s="2">
        <v>39</v>
      </c>
      <c r="R224" s="2">
        <v>46</v>
      </c>
      <c r="S224" s="2">
        <v>50</v>
      </c>
      <c r="T224" s="2">
        <v>55</v>
      </c>
      <c r="U224" s="2">
        <v>60</v>
      </c>
      <c r="V224" s="2">
        <v>61</v>
      </c>
      <c r="W224" s="2">
        <v>71</v>
      </c>
      <c r="X224" s="2">
        <v>72</v>
      </c>
      <c r="Y224" s="2">
        <v>70</v>
      </c>
      <c r="Z224" s="2">
        <v>71</v>
      </c>
      <c r="AA224" s="2">
        <v>81</v>
      </c>
      <c r="AC224" s="3">
        <f t="shared" si="3"/>
        <v>72.916666666666671</v>
      </c>
    </row>
    <row r="225" spans="2:29" x14ac:dyDescent="0.25">
      <c r="B225" s="4">
        <v>42590</v>
      </c>
      <c r="C225" s="3">
        <v>221</v>
      </c>
      <c r="D225" s="2">
        <v>91</v>
      </c>
      <c r="E225" s="2">
        <v>100</v>
      </c>
      <c r="F225" s="2">
        <v>94</v>
      </c>
      <c r="G225" s="2">
        <v>82</v>
      </c>
      <c r="H225" s="2">
        <v>72</v>
      </c>
      <c r="I225" s="2">
        <v>65</v>
      </c>
      <c r="J225" s="2">
        <v>64</v>
      </c>
      <c r="K225" s="2">
        <v>60</v>
      </c>
      <c r="L225" s="2">
        <v>58</v>
      </c>
      <c r="M225" s="2">
        <v>50</v>
      </c>
      <c r="N225" s="2">
        <v>37</v>
      </c>
      <c r="O225" s="2">
        <v>34</v>
      </c>
      <c r="P225" s="2">
        <v>32</v>
      </c>
      <c r="Q225" s="2">
        <v>31</v>
      </c>
      <c r="R225" s="2">
        <v>32</v>
      </c>
      <c r="S225" s="2">
        <v>37</v>
      </c>
      <c r="T225" s="2">
        <v>36</v>
      </c>
      <c r="U225" s="2">
        <v>38</v>
      </c>
      <c r="V225" s="2">
        <v>41</v>
      </c>
      <c r="W225" s="2">
        <v>43</v>
      </c>
      <c r="X225" s="2">
        <v>49</v>
      </c>
      <c r="Y225" s="2">
        <v>61</v>
      </c>
      <c r="Z225" s="2">
        <v>76</v>
      </c>
      <c r="AA225" s="2">
        <v>81</v>
      </c>
      <c r="AC225" s="3">
        <f t="shared" si="3"/>
        <v>56.833333333333336</v>
      </c>
    </row>
    <row r="226" spans="2:29" x14ac:dyDescent="0.25">
      <c r="B226" s="4">
        <v>42591</v>
      </c>
      <c r="C226" s="3">
        <v>222</v>
      </c>
      <c r="D226" s="2">
        <v>80</v>
      </c>
      <c r="E226" s="2">
        <v>81</v>
      </c>
      <c r="F226" s="2">
        <v>88</v>
      </c>
      <c r="G226" s="2">
        <v>80</v>
      </c>
      <c r="H226" s="2">
        <v>80</v>
      </c>
      <c r="I226" s="2">
        <v>85</v>
      </c>
      <c r="J226" s="2">
        <v>98</v>
      </c>
      <c r="K226" s="2">
        <v>100</v>
      </c>
      <c r="L226" s="2">
        <v>75</v>
      </c>
      <c r="M226" s="2">
        <v>55</v>
      </c>
      <c r="N226" s="2">
        <v>46</v>
      </c>
      <c r="O226" s="2">
        <v>39</v>
      </c>
      <c r="P226" s="2">
        <v>33</v>
      </c>
      <c r="Q226" s="2">
        <v>28</v>
      </c>
      <c r="R226" s="2">
        <v>30</v>
      </c>
      <c r="S226" s="2">
        <v>44</v>
      </c>
      <c r="T226" s="2">
        <v>42</v>
      </c>
      <c r="U226" s="2">
        <v>51</v>
      </c>
      <c r="V226" s="2">
        <v>60</v>
      </c>
      <c r="W226" s="2">
        <v>73</v>
      </c>
      <c r="X226" s="2">
        <v>78</v>
      </c>
      <c r="Y226" s="2">
        <v>91</v>
      </c>
      <c r="Z226" s="2">
        <v>100</v>
      </c>
      <c r="AA226" s="2">
        <v>100</v>
      </c>
      <c r="AC226" s="3">
        <f t="shared" si="3"/>
        <v>68.208333333333329</v>
      </c>
    </row>
    <row r="227" spans="2:29" x14ac:dyDescent="0.25">
      <c r="B227" s="4">
        <v>42592</v>
      </c>
      <c r="C227" s="3">
        <v>223</v>
      </c>
      <c r="D227" s="2">
        <v>100</v>
      </c>
      <c r="E227" s="2">
        <v>99</v>
      </c>
      <c r="F227" s="2">
        <v>100</v>
      </c>
      <c r="G227" s="2">
        <v>65</v>
      </c>
      <c r="H227" s="2">
        <v>62</v>
      </c>
      <c r="I227" s="2">
        <v>61</v>
      </c>
      <c r="J227" s="2">
        <v>61</v>
      </c>
      <c r="K227" s="2">
        <v>60</v>
      </c>
      <c r="L227" s="2">
        <v>57</v>
      </c>
      <c r="M227" s="2">
        <v>54</v>
      </c>
      <c r="N227" s="2">
        <v>51</v>
      </c>
      <c r="O227" s="2">
        <v>45</v>
      </c>
      <c r="P227" s="2">
        <v>41</v>
      </c>
      <c r="Q227" s="2">
        <v>39</v>
      </c>
      <c r="R227" s="2">
        <v>39</v>
      </c>
      <c r="S227" s="2">
        <v>38</v>
      </c>
      <c r="T227" s="2">
        <v>37</v>
      </c>
      <c r="U227" s="2">
        <v>48</v>
      </c>
      <c r="V227" s="2">
        <v>53</v>
      </c>
      <c r="W227" s="2">
        <v>54</v>
      </c>
      <c r="X227" s="2">
        <v>63</v>
      </c>
      <c r="Y227" s="2">
        <v>74</v>
      </c>
      <c r="Z227" s="2">
        <v>81</v>
      </c>
      <c r="AA227" s="2">
        <v>98</v>
      </c>
      <c r="AC227" s="3">
        <f t="shared" si="3"/>
        <v>61.666666666666664</v>
      </c>
    </row>
    <row r="228" spans="2:29" x14ac:dyDescent="0.25">
      <c r="B228" s="4">
        <v>42593</v>
      </c>
      <c r="C228" s="3">
        <v>224</v>
      </c>
      <c r="D228" s="2">
        <v>87</v>
      </c>
      <c r="E228" s="2">
        <v>84</v>
      </c>
      <c r="F228" s="2">
        <v>67</v>
      </c>
      <c r="G228" s="2">
        <v>50</v>
      </c>
      <c r="H228" s="2">
        <v>52</v>
      </c>
      <c r="I228" s="2">
        <v>57</v>
      </c>
      <c r="J228" s="2">
        <v>74</v>
      </c>
      <c r="K228" s="2">
        <v>78</v>
      </c>
      <c r="L228" s="2">
        <v>64</v>
      </c>
      <c r="M228" s="2">
        <v>48</v>
      </c>
      <c r="N228" s="2">
        <v>43</v>
      </c>
      <c r="O228" s="2">
        <v>38</v>
      </c>
      <c r="P228" s="2">
        <v>34</v>
      </c>
      <c r="Q228" s="2">
        <v>29</v>
      </c>
      <c r="R228" s="2">
        <v>27</v>
      </c>
      <c r="S228" s="2">
        <v>33</v>
      </c>
      <c r="T228" s="2">
        <v>36</v>
      </c>
      <c r="U228" s="2">
        <v>37</v>
      </c>
      <c r="V228" s="2">
        <v>42</v>
      </c>
      <c r="W228" s="2">
        <v>45</v>
      </c>
      <c r="X228" s="2">
        <v>47</v>
      </c>
      <c r="Y228" s="2">
        <v>57</v>
      </c>
      <c r="Z228" s="2">
        <v>74</v>
      </c>
      <c r="AA228" s="2">
        <v>71</v>
      </c>
      <c r="AC228" s="3">
        <f t="shared" si="3"/>
        <v>53.083333333333336</v>
      </c>
    </row>
    <row r="229" spans="2:29" x14ac:dyDescent="0.25">
      <c r="B229" s="4">
        <v>42594</v>
      </c>
      <c r="C229" s="3">
        <v>225</v>
      </c>
      <c r="D229" s="2">
        <v>73</v>
      </c>
      <c r="E229" s="2">
        <v>72</v>
      </c>
      <c r="F229" s="2">
        <v>75</v>
      </c>
      <c r="G229" s="2">
        <v>75</v>
      </c>
      <c r="H229" s="2">
        <v>83</v>
      </c>
      <c r="I229" s="2">
        <v>81</v>
      </c>
      <c r="J229" s="2">
        <v>79</v>
      </c>
      <c r="K229" s="2">
        <v>81</v>
      </c>
      <c r="L229" s="2">
        <v>66</v>
      </c>
      <c r="M229" s="2">
        <v>55</v>
      </c>
      <c r="N229" s="2">
        <v>45</v>
      </c>
      <c r="O229" s="2">
        <v>40</v>
      </c>
      <c r="P229" s="2">
        <v>31</v>
      </c>
      <c r="Q229" s="2">
        <v>40</v>
      </c>
      <c r="R229" s="2">
        <v>51</v>
      </c>
      <c r="S229" s="2">
        <v>55</v>
      </c>
      <c r="T229" s="2">
        <v>57</v>
      </c>
      <c r="U229" s="2">
        <v>61</v>
      </c>
      <c r="V229" s="2">
        <v>63</v>
      </c>
      <c r="W229" s="2">
        <v>66</v>
      </c>
      <c r="X229" s="2">
        <v>72</v>
      </c>
      <c r="Y229" s="2">
        <v>78</v>
      </c>
      <c r="Z229" s="2">
        <v>86</v>
      </c>
      <c r="AA229" s="2">
        <v>100</v>
      </c>
      <c r="AC229" s="3">
        <f t="shared" si="3"/>
        <v>66.041666666666671</v>
      </c>
    </row>
    <row r="230" spans="2:29" x14ac:dyDescent="0.25">
      <c r="B230" s="4">
        <v>42595</v>
      </c>
      <c r="C230" s="3">
        <v>226</v>
      </c>
      <c r="D230" s="2">
        <v>100</v>
      </c>
      <c r="E230" s="2">
        <v>100</v>
      </c>
      <c r="F230" s="2">
        <v>100</v>
      </c>
      <c r="G230" s="2">
        <v>100</v>
      </c>
      <c r="H230" s="2">
        <v>100</v>
      </c>
      <c r="I230" s="2">
        <v>97</v>
      </c>
      <c r="J230" s="2">
        <v>94</v>
      </c>
      <c r="K230" s="2">
        <v>85</v>
      </c>
      <c r="L230" s="2">
        <v>74</v>
      </c>
      <c r="M230" s="2">
        <v>58</v>
      </c>
      <c r="N230" s="2">
        <v>59</v>
      </c>
      <c r="O230" s="2">
        <v>59</v>
      </c>
      <c r="P230" s="2">
        <v>60</v>
      </c>
      <c r="Q230" s="2">
        <v>52</v>
      </c>
      <c r="R230" s="2">
        <v>43</v>
      </c>
      <c r="S230" s="2">
        <v>47</v>
      </c>
      <c r="T230" s="2">
        <v>43</v>
      </c>
      <c r="U230" s="2">
        <v>49</v>
      </c>
      <c r="V230" s="2">
        <v>58</v>
      </c>
      <c r="W230" s="2">
        <v>61</v>
      </c>
      <c r="X230" s="2">
        <v>69</v>
      </c>
      <c r="Y230" s="2">
        <v>79</v>
      </c>
      <c r="Z230" s="2">
        <v>87</v>
      </c>
      <c r="AA230" s="2">
        <v>100</v>
      </c>
      <c r="AC230" s="3">
        <f t="shared" si="3"/>
        <v>73.916666666666671</v>
      </c>
    </row>
    <row r="231" spans="2:29" x14ac:dyDescent="0.25">
      <c r="B231" s="4">
        <v>42596</v>
      </c>
      <c r="C231" s="3">
        <v>227</v>
      </c>
      <c r="D231" s="2">
        <v>100</v>
      </c>
      <c r="E231" s="2">
        <v>99</v>
      </c>
      <c r="F231" s="2">
        <v>95</v>
      </c>
      <c r="G231" s="2">
        <v>95</v>
      </c>
      <c r="H231" s="2">
        <v>98</v>
      </c>
      <c r="I231" s="2">
        <v>100</v>
      </c>
      <c r="J231" s="2">
        <v>97</v>
      </c>
      <c r="K231" s="2">
        <v>91</v>
      </c>
      <c r="L231" s="2">
        <v>82</v>
      </c>
      <c r="M231" s="2">
        <v>72</v>
      </c>
      <c r="N231" s="2">
        <v>71</v>
      </c>
      <c r="O231" s="2">
        <v>61</v>
      </c>
      <c r="P231" s="2">
        <v>59</v>
      </c>
      <c r="Q231" s="2">
        <v>57</v>
      </c>
      <c r="R231" s="2">
        <v>60</v>
      </c>
      <c r="S231" s="2">
        <v>57</v>
      </c>
      <c r="T231" s="2">
        <v>58</v>
      </c>
      <c r="U231" s="2">
        <v>61</v>
      </c>
      <c r="V231" s="2">
        <v>63</v>
      </c>
      <c r="W231" s="2">
        <v>67</v>
      </c>
      <c r="X231" s="2">
        <v>69</v>
      </c>
      <c r="Y231" s="2">
        <v>80</v>
      </c>
      <c r="Z231" s="2">
        <v>95</v>
      </c>
      <c r="AA231" s="2">
        <v>100</v>
      </c>
      <c r="AC231" s="3">
        <f t="shared" si="3"/>
        <v>78.625</v>
      </c>
    </row>
    <row r="232" spans="2:29" x14ac:dyDescent="0.25">
      <c r="B232" s="4">
        <v>42597</v>
      </c>
      <c r="C232" s="3">
        <v>228</v>
      </c>
      <c r="D232" s="2">
        <v>100</v>
      </c>
      <c r="E232" s="2">
        <v>100</v>
      </c>
      <c r="F232" s="2">
        <v>100</v>
      </c>
      <c r="G232" s="2">
        <v>95</v>
      </c>
      <c r="H232" s="2">
        <v>94</v>
      </c>
      <c r="I232" s="2">
        <v>99</v>
      </c>
      <c r="J232" s="2">
        <v>98</v>
      </c>
      <c r="K232" s="2">
        <v>100</v>
      </c>
      <c r="L232" s="2">
        <v>77</v>
      </c>
      <c r="M232" s="2">
        <v>59</v>
      </c>
      <c r="N232" s="2">
        <v>59</v>
      </c>
      <c r="O232" s="2">
        <v>55</v>
      </c>
      <c r="P232" s="2">
        <v>50</v>
      </c>
      <c r="Q232" s="2">
        <v>47</v>
      </c>
      <c r="R232" s="2">
        <v>45</v>
      </c>
      <c r="S232" s="2">
        <v>57</v>
      </c>
      <c r="T232" s="2">
        <v>60</v>
      </c>
      <c r="U232" s="2">
        <v>55</v>
      </c>
      <c r="V232" s="2">
        <v>54</v>
      </c>
      <c r="W232" s="2">
        <v>62</v>
      </c>
      <c r="X232" s="2">
        <v>75</v>
      </c>
      <c r="Y232" s="2">
        <v>79</v>
      </c>
      <c r="Z232" s="2">
        <v>80</v>
      </c>
      <c r="AA232" s="2">
        <v>83</v>
      </c>
      <c r="AC232" s="3">
        <f t="shared" si="3"/>
        <v>74.291666666666671</v>
      </c>
    </row>
    <row r="233" spans="2:29" x14ac:dyDescent="0.25">
      <c r="B233" s="4">
        <v>42598</v>
      </c>
      <c r="C233" s="3">
        <v>229</v>
      </c>
      <c r="D233" s="2">
        <v>86</v>
      </c>
      <c r="E233" s="2">
        <v>91</v>
      </c>
      <c r="F233" s="2">
        <v>87</v>
      </c>
      <c r="G233" s="2">
        <v>89</v>
      </c>
      <c r="H233" s="2">
        <v>99</v>
      </c>
      <c r="I233" s="2">
        <v>100</v>
      </c>
      <c r="J233" s="2">
        <v>100</v>
      </c>
      <c r="K233" s="2">
        <v>96</v>
      </c>
      <c r="L233" s="2">
        <v>85</v>
      </c>
      <c r="M233" s="2">
        <v>79</v>
      </c>
      <c r="N233" s="2">
        <v>75</v>
      </c>
      <c r="O233" s="2">
        <v>65</v>
      </c>
      <c r="P233" s="2">
        <v>63</v>
      </c>
      <c r="Q233" s="2">
        <v>64</v>
      </c>
      <c r="R233" s="2">
        <v>74</v>
      </c>
      <c r="S233" s="2">
        <v>67</v>
      </c>
      <c r="T233" s="2">
        <v>73</v>
      </c>
      <c r="U233" s="2">
        <v>69</v>
      </c>
      <c r="V233" s="2">
        <v>74</v>
      </c>
      <c r="W233" s="2">
        <v>74</v>
      </c>
      <c r="X233" s="2">
        <v>78</v>
      </c>
      <c r="Y233" s="2">
        <v>85</v>
      </c>
      <c r="Z233" s="2">
        <v>90</v>
      </c>
      <c r="AA233" s="2">
        <v>100</v>
      </c>
      <c r="AC233" s="3">
        <f t="shared" si="3"/>
        <v>81.791666666666671</v>
      </c>
    </row>
    <row r="234" spans="2:29" x14ac:dyDescent="0.25">
      <c r="B234" s="4">
        <v>42599</v>
      </c>
      <c r="C234" s="3">
        <v>230</v>
      </c>
      <c r="D234" s="2">
        <v>100</v>
      </c>
      <c r="E234" s="2">
        <v>100</v>
      </c>
      <c r="F234" s="2">
        <v>100</v>
      </c>
      <c r="G234" s="2">
        <v>100</v>
      </c>
      <c r="H234" s="2">
        <v>100</v>
      </c>
      <c r="I234" s="2">
        <v>100</v>
      </c>
      <c r="J234" s="2">
        <v>100</v>
      </c>
      <c r="K234" s="2">
        <v>100</v>
      </c>
      <c r="L234" s="2">
        <v>96</v>
      </c>
      <c r="M234" s="2">
        <v>78</v>
      </c>
      <c r="N234" s="2">
        <v>70</v>
      </c>
      <c r="O234" s="2">
        <v>60</v>
      </c>
      <c r="P234" s="2">
        <v>60</v>
      </c>
      <c r="Q234" s="2">
        <v>60</v>
      </c>
      <c r="R234" s="2">
        <v>67</v>
      </c>
      <c r="S234" s="2">
        <v>67</v>
      </c>
      <c r="T234" s="2">
        <v>67</v>
      </c>
      <c r="U234" s="2">
        <v>67</v>
      </c>
      <c r="V234" s="2">
        <v>66</v>
      </c>
      <c r="W234" s="2">
        <v>68</v>
      </c>
      <c r="X234" s="2">
        <v>79</v>
      </c>
      <c r="Y234" s="2">
        <v>93</v>
      </c>
      <c r="Z234" s="2">
        <v>100</v>
      </c>
      <c r="AA234" s="2">
        <v>100</v>
      </c>
      <c r="AC234" s="3">
        <f t="shared" si="3"/>
        <v>83.25</v>
      </c>
    </row>
    <row r="235" spans="2:29" x14ac:dyDescent="0.25">
      <c r="B235" s="4">
        <v>42600</v>
      </c>
      <c r="C235" s="3">
        <v>231</v>
      </c>
      <c r="D235" s="2">
        <v>100</v>
      </c>
      <c r="E235" s="2">
        <v>100</v>
      </c>
      <c r="F235" s="2">
        <v>100</v>
      </c>
      <c r="G235" s="2">
        <v>100</v>
      </c>
      <c r="H235" s="2">
        <v>100</v>
      </c>
      <c r="I235" s="2">
        <v>100</v>
      </c>
      <c r="J235" s="2">
        <v>100</v>
      </c>
      <c r="K235" s="2">
        <v>100</v>
      </c>
      <c r="L235" s="2">
        <v>88</v>
      </c>
      <c r="M235" s="2">
        <v>74</v>
      </c>
      <c r="N235" s="2">
        <v>69</v>
      </c>
      <c r="O235" s="2">
        <v>64</v>
      </c>
      <c r="P235" s="2">
        <v>63</v>
      </c>
      <c r="Q235" s="2">
        <v>63</v>
      </c>
      <c r="R235" s="2">
        <v>63</v>
      </c>
      <c r="S235" s="2">
        <v>64</v>
      </c>
      <c r="T235" s="2">
        <v>67</v>
      </c>
      <c r="U235" s="2">
        <v>68</v>
      </c>
      <c r="V235" s="2">
        <v>67</v>
      </c>
      <c r="W235" s="2">
        <v>69</v>
      </c>
      <c r="X235" s="2">
        <v>80</v>
      </c>
      <c r="Y235" s="2">
        <v>83</v>
      </c>
      <c r="Z235" s="2">
        <v>83</v>
      </c>
      <c r="AA235" s="2">
        <v>84</v>
      </c>
      <c r="AC235" s="3">
        <f t="shared" si="3"/>
        <v>81.208333333333329</v>
      </c>
    </row>
    <row r="236" spans="2:29" x14ac:dyDescent="0.25">
      <c r="B236" s="4">
        <v>42601</v>
      </c>
      <c r="C236" s="3">
        <v>232</v>
      </c>
      <c r="D236" s="2">
        <v>85</v>
      </c>
      <c r="E236" s="2">
        <v>90</v>
      </c>
      <c r="F236" s="2">
        <v>100</v>
      </c>
      <c r="G236" s="2">
        <v>100</v>
      </c>
      <c r="H236" s="2">
        <v>100</v>
      </c>
      <c r="I236" s="2">
        <v>99</v>
      </c>
      <c r="J236" s="2">
        <v>99</v>
      </c>
      <c r="K236" s="2">
        <v>98</v>
      </c>
      <c r="L236" s="2">
        <v>93</v>
      </c>
      <c r="M236" s="2">
        <v>88</v>
      </c>
      <c r="N236" s="2">
        <v>77</v>
      </c>
      <c r="O236" s="2">
        <v>73</v>
      </c>
      <c r="P236" s="2">
        <v>69</v>
      </c>
      <c r="Q236" s="2">
        <v>65</v>
      </c>
      <c r="R236" s="2">
        <v>67</v>
      </c>
      <c r="S236" s="2">
        <v>65</v>
      </c>
      <c r="T236" s="2">
        <v>66</v>
      </c>
      <c r="U236" s="2">
        <v>66</v>
      </c>
      <c r="V236" s="2">
        <v>65</v>
      </c>
      <c r="W236" s="2">
        <v>73</v>
      </c>
      <c r="X236" s="2">
        <v>77</v>
      </c>
      <c r="Y236" s="2">
        <v>82</v>
      </c>
      <c r="Z236" s="2">
        <v>100</v>
      </c>
      <c r="AA236" s="2">
        <v>98</v>
      </c>
      <c r="AC236" s="3">
        <f t="shared" si="3"/>
        <v>83.125</v>
      </c>
    </row>
    <row r="237" spans="2:29" x14ac:dyDescent="0.25">
      <c r="B237" s="4">
        <v>42602</v>
      </c>
      <c r="C237" s="3">
        <v>233</v>
      </c>
      <c r="D237" s="2">
        <v>98</v>
      </c>
      <c r="E237" s="2">
        <v>96</v>
      </c>
      <c r="F237" s="2">
        <v>100</v>
      </c>
      <c r="G237" s="2">
        <v>100</v>
      </c>
      <c r="H237" s="2">
        <v>100</v>
      </c>
      <c r="I237" s="2">
        <v>100</v>
      </c>
      <c r="J237" s="2">
        <v>100</v>
      </c>
      <c r="K237" s="2">
        <v>100</v>
      </c>
      <c r="L237" s="2">
        <v>97</v>
      </c>
      <c r="M237" s="2">
        <v>82</v>
      </c>
      <c r="N237" s="2">
        <v>71</v>
      </c>
      <c r="O237" s="2">
        <v>73</v>
      </c>
      <c r="P237" s="2">
        <v>71</v>
      </c>
      <c r="Q237" s="2">
        <v>68</v>
      </c>
      <c r="R237" s="2">
        <v>76</v>
      </c>
      <c r="S237" s="2">
        <v>78</v>
      </c>
      <c r="T237" s="2">
        <v>74</v>
      </c>
      <c r="U237" s="2">
        <v>75</v>
      </c>
      <c r="V237" s="2">
        <v>70</v>
      </c>
      <c r="W237" s="2">
        <v>71</v>
      </c>
      <c r="X237" s="2">
        <v>75</v>
      </c>
      <c r="Y237" s="2">
        <v>77</v>
      </c>
      <c r="Z237" s="2">
        <v>76</v>
      </c>
      <c r="AA237" s="2">
        <v>76</v>
      </c>
      <c r="AC237" s="3">
        <f t="shared" si="3"/>
        <v>83.5</v>
      </c>
    </row>
    <row r="238" spans="2:29" x14ac:dyDescent="0.25">
      <c r="B238" s="4">
        <v>42603</v>
      </c>
      <c r="C238" s="3">
        <v>234</v>
      </c>
      <c r="D238" s="2">
        <v>77</v>
      </c>
      <c r="E238" s="2">
        <v>59</v>
      </c>
      <c r="F238" s="2">
        <v>52</v>
      </c>
      <c r="G238" s="2">
        <v>50</v>
      </c>
      <c r="H238" s="2">
        <v>50</v>
      </c>
      <c r="I238" s="2">
        <v>53</v>
      </c>
      <c r="J238" s="2">
        <v>62</v>
      </c>
      <c r="K238" s="2">
        <v>59</v>
      </c>
      <c r="L238" s="2">
        <v>57</v>
      </c>
      <c r="M238" s="2">
        <v>50</v>
      </c>
      <c r="N238" s="2">
        <v>45</v>
      </c>
      <c r="O238" s="2">
        <v>40</v>
      </c>
      <c r="P238" s="2">
        <v>35</v>
      </c>
      <c r="Q238" s="2">
        <v>29</v>
      </c>
      <c r="R238" s="2">
        <v>30</v>
      </c>
      <c r="S238" s="2">
        <v>28</v>
      </c>
      <c r="T238" s="2">
        <v>40</v>
      </c>
      <c r="U238" s="2">
        <v>53</v>
      </c>
      <c r="V238" s="2">
        <v>60</v>
      </c>
      <c r="W238" s="2">
        <v>65</v>
      </c>
      <c r="X238" s="2">
        <v>71</v>
      </c>
      <c r="Y238" s="2">
        <v>75</v>
      </c>
      <c r="Z238" s="2">
        <v>74</v>
      </c>
      <c r="AA238" s="2">
        <v>75</v>
      </c>
      <c r="AC238" s="3">
        <f t="shared" si="3"/>
        <v>53.708333333333336</v>
      </c>
    </row>
    <row r="239" spans="2:29" x14ac:dyDescent="0.25">
      <c r="B239" s="4">
        <v>42604</v>
      </c>
      <c r="C239" s="3">
        <v>235</v>
      </c>
      <c r="D239" s="2">
        <v>76</v>
      </c>
      <c r="E239" s="2">
        <v>80</v>
      </c>
      <c r="F239" s="2">
        <v>89</v>
      </c>
      <c r="G239" s="2">
        <v>99</v>
      </c>
      <c r="H239" s="2">
        <v>100</v>
      </c>
      <c r="I239" s="2">
        <v>100</v>
      </c>
      <c r="J239" s="2">
        <v>100</v>
      </c>
      <c r="K239" s="2">
        <v>97</v>
      </c>
      <c r="L239" s="2">
        <v>77</v>
      </c>
      <c r="M239" s="2">
        <v>60</v>
      </c>
      <c r="N239" s="2">
        <v>43</v>
      </c>
      <c r="O239" s="2">
        <v>33</v>
      </c>
      <c r="P239" s="2">
        <v>31</v>
      </c>
      <c r="Q239" s="2">
        <v>38</v>
      </c>
      <c r="R239" s="2">
        <v>44</v>
      </c>
      <c r="S239" s="2">
        <v>53</v>
      </c>
      <c r="T239" s="2">
        <v>55</v>
      </c>
      <c r="U239" s="2">
        <v>60</v>
      </c>
      <c r="V239" s="2">
        <v>62</v>
      </c>
      <c r="W239" s="2">
        <v>67</v>
      </c>
      <c r="X239" s="2">
        <v>77</v>
      </c>
      <c r="Y239" s="2">
        <v>85</v>
      </c>
      <c r="Z239" s="2">
        <v>87</v>
      </c>
      <c r="AA239" s="2">
        <v>99</v>
      </c>
      <c r="AC239" s="3">
        <f t="shared" si="3"/>
        <v>71.333333333333329</v>
      </c>
    </row>
    <row r="240" spans="2:29" x14ac:dyDescent="0.25">
      <c r="B240" s="4">
        <v>42605</v>
      </c>
      <c r="C240" s="3">
        <v>236</v>
      </c>
      <c r="D240" s="2">
        <v>100</v>
      </c>
      <c r="E240" s="2">
        <v>100</v>
      </c>
      <c r="F240" s="2">
        <v>100</v>
      </c>
      <c r="G240" s="2">
        <v>100</v>
      </c>
      <c r="H240" s="2">
        <v>100</v>
      </c>
      <c r="I240" s="2">
        <v>100</v>
      </c>
      <c r="J240" s="2">
        <v>100</v>
      </c>
      <c r="K240" s="2">
        <v>100</v>
      </c>
      <c r="L240" s="2">
        <v>77</v>
      </c>
      <c r="M240" s="2">
        <v>57</v>
      </c>
      <c r="N240" s="2">
        <v>58</v>
      </c>
      <c r="O240" s="2">
        <v>43</v>
      </c>
      <c r="P240" s="2">
        <v>33</v>
      </c>
      <c r="Q240" s="2">
        <v>39</v>
      </c>
      <c r="R240" s="2">
        <v>48</v>
      </c>
      <c r="S240" s="2">
        <v>52</v>
      </c>
      <c r="T240" s="2">
        <v>52</v>
      </c>
      <c r="U240" s="2">
        <v>53</v>
      </c>
      <c r="V240" s="2">
        <v>63</v>
      </c>
      <c r="W240" s="2">
        <v>66</v>
      </c>
      <c r="X240" s="2">
        <v>70</v>
      </c>
      <c r="Y240" s="2">
        <v>78</v>
      </c>
      <c r="Z240" s="2">
        <v>95</v>
      </c>
      <c r="AA240" s="2">
        <v>100</v>
      </c>
      <c r="AC240" s="3">
        <f t="shared" si="3"/>
        <v>74.333333333333329</v>
      </c>
    </row>
    <row r="241" spans="2:29" x14ac:dyDescent="0.25">
      <c r="B241" s="4">
        <v>42606</v>
      </c>
      <c r="C241" s="3">
        <v>237</v>
      </c>
      <c r="D241" s="2">
        <v>100</v>
      </c>
      <c r="E241" s="2">
        <v>100</v>
      </c>
      <c r="F241" s="2">
        <v>87</v>
      </c>
      <c r="G241" s="2">
        <v>92</v>
      </c>
      <c r="H241" s="2">
        <v>93</v>
      </c>
      <c r="I241" s="2">
        <v>86</v>
      </c>
      <c r="J241" s="2">
        <v>87</v>
      </c>
      <c r="K241" s="2">
        <v>76</v>
      </c>
      <c r="L241" s="2">
        <v>63</v>
      </c>
      <c r="M241" s="2">
        <v>52</v>
      </c>
      <c r="N241" s="2">
        <v>50</v>
      </c>
      <c r="O241" s="2">
        <v>41</v>
      </c>
      <c r="P241" s="2">
        <v>44</v>
      </c>
      <c r="Q241" s="2">
        <v>35</v>
      </c>
      <c r="R241" s="2">
        <v>36</v>
      </c>
      <c r="S241" s="2">
        <v>37</v>
      </c>
      <c r="T241" s="2">
        <v>36</v>
      </c>
      <c r="U241" s="2">
        <v>35</v>
      </c>
      <c r="V241" s="2">
        <v>36</v>
      </c>
      <c r="W241" s="2">
        <v>38</v>
      </c>
      <c r="X241" s="2">
        <v>44</v>
      </c>
      <c r="Y241" s="2">
        <v>64</v>
      </c>
      <c r="Z241" s="2">
        <v>75</v>
      </c>
      <c r="AA241" s="2">
        <v>71</v>
      </c>
      <c r="AC241" s="3">
        <f t="shared" si="3"/>
        <v>61.583333333333336</v>
      </c>
    </row>
    <row r="242" spans="2:29" x14ac:dyDescent="0.25">
      <c r="B242" s="4">
        <v>42607</v>
      </c>
      <c r="C242" s="3">
        <v>238</v>
      </c>
      <c r="D242" s="2">
        <v>68</v>
      </c>
      <c r="E242" s="2">
        <v>70</v>
      </c>
      <c r="F242" s="2">
        <v>79</v>
      </c>
      <c r="G242" s="2">
        <v>69</v>
      </c>
      <c r="H242" s="2">
        <v>67</v>
      </c>
      <c r="I242" s="2">
        <v>58</v>
      </c>
      <c r="J242" s="2">
        <v>64</v>
      </c>
      <c r="K242" s="2">
        <v>64</v>
      </c>
      <c r="L242" s="2">
        <v>53</v>
      </c>
      <c r="M242" s="2">
        <v>41</v>
      </c>
      <c r="N242" s="2">
        <v>34</v>
      </c>
      <c r="O242" s="2">
        <v>31</v>
      </c>
      <c r="P242" s="2">
        <v>31</v>
      </c>
      <c r="Q242" s="2">
        <v>34</v>
      </c>
      <c r="R242" s="2">
        <v>39</v>
      </c>
      <c r="S242" s="2">
        <v>46</v>
      </c>
      <c r="T242" s="2">
        <v>43</v>
      </c>
      <c r="U242" s="2">
        <v>47</v>
      </c>
      <c r="V242" s="2">
        <v>52</v>
      </c>
      <c r="W242" s="2">
        <v>50</v>
      </c>
      <c r="X242" s="2">
        <v>55</v>
      </c>
      <c r="Y242" s="2">
        <v>65</v>
      </c>
      <c r="Z242" s="2">
        <v>78</v>
      </c>
      <c r="AA242" s="2">
        <v>81</v>
      </c>
      <c r="AC242" s="3">
        <f t="shared" si="3"/>
        <v>54.958333333333336</v>
      </c>
    </row>
    <row r="243" spans="2:29" x14ac:dyDescent="0.25">
      <c r="B243" s="4">
        <v>42608</v>
      </c>
      <c r="C243" s="3">
        <v>239</v>
      </c>
      <c r="D243" s="2">
        <v>86</v>
      </c>
      <c r="E243" s="2">
        <v>90</v>
      </c>
      <c r="F243" s="2">
        <v>94</v>
      </c>
      <c r="G243" s="2">
        <v>97</v>
      </c>
      <c r="H243" s="2">
        <v>100</v>
      </c>
      <c r="I243" s="2">
        <v>100</v>
      </c>
      <c r="J243" s="2">
        <v>99</v>
      </c>
      <c r="K243" s="2">
        <v>96</v>
      </c>
      <c r="L243" s="2">
        <v>80</v>
      </c>
      <c r="M243" s="2">
        <v>65</v>
      </c>
      <c r="N243" s="2">
        <v>62</v>
      </c>
      <c r="O243" s="2">
        <v>52</v>
      </c>
      <c r="P243" s="2">
        <v>59</v>
      </c>
      <c r="Q243" s="2">
        <v>59</v>
      </c>
      <c r="R243" s="2">
        <v>54</v>
      </c>
      <c r="S243" s="2">
        <v>56</v>
      </c>
      <c r="T243" s="2">
        <v>55</v>
      </c>
      <c r="U243" s="2">
        <v>58</v>
      </c>
      <c r="V243" s="2">
        <v>64</v>
      </c>
      <c r="W243" s="2">
        <v>66</v>
      </c>
      <c r="X243" s="2">
        <v>74</v>
      </c>
      <c r="Y243" s="2">
        <v>83</v>
      </c>
      <c r="Z243" s="2">
        <v>100</v>
      </c>
      <c r="AA243" s="2">
        <v>100</v>
      </c>
      <c r="AC243" s="3">
        <f t="shared" si="3"/>
        <v>77.041666666666671</v>
      </c>
    </row>
    <row r="244" spans="2:29" x14ac:dyDescent="0.25">
      <c r="B244" s="4">
        <v>42609</v>
      </c>
      <c r="C244" s="3">
        <v>240</v>
      </c>
      <c r="D244" s="2">
        <v>100</v>
      </c>
      <c r="E244" s="2">
        <v>100</v>
      </c>
      <c r="F244" s="2">
        <v>99</v>
      </c>
      <c r="G244" s="2">
        <v>100</v>
      </c>
      <c r="H244" s="2">
        <v>100</v>
      </c>
      <c r="I244" s="2">
        <v>100</v>
      </c>
      <c r="J244" s="2">
        <v>100</v>
      </c>
      <c r="K244" s="2">
        <v>96</v>
      </c>
      <c r="L244" s="2">
        <v>93</v>
      </c>
      <c r="M244" s="2">
        <v>73</v>
      </c>
      <c r="N244" s="2">
        <v>71</v>
      </c>
      <c r="O244" s="2">
        <v>69</v>
      </c>
      <c r="P244" s="2">
        <v>67</v>
      </c>
      <c r="Q244" s="2">
        <v>65</v>
      </c>
      <c r="R244" s="2">
        <v>65</v>
      </c>
      <c r="S244" s="2">
        <v>62</v>
      </c>
      <c r="T244" s="2">
        <v>61</v>
      </c>
      <c r="U244" s="2">
        <v>65</v>
      </c>
      <c r="V244" s="2">
        <v>63</v>
      </c>
      <c r="W244" s="2">
        <v>68</v>
      </c>
      <c r="X244" s="2">
        <v>74</v>
      </c>
      <c r="Y244" s="2">
        <v>78</v>
      </c>
      <c r="Z244" s="2">
        <v>84</v>
      </c>
      <c r="AA244" s="2">
        <v>98</v>
      </c>
      <c r="AC244" s="3">
        <f t="shared" si="3"/>
        <v>81.291666666666671</v>
      </c>
    </row>
    <row r="245" spans="2:29" x14ac:dyDescent="0.25">
      <c r="B245" s="4">
        <v>42610</v>
      </c>
      <c r="C245" s="3">
        <v>241</v>
      </c>
      <c r="D245" s="2">
        <v>95</v>
      </c>
      <c r="E245" s="2">
        <v>97</v>
      </c>
      <c r="F245" s="2">
        <v>100</v>
      </c>
      <c r="G245" s="2">
        <v>100</v>
      </c>
      <c r="H245" s="2">
        <v>100</v>
      </c>
      <c r="I245" s="2">
        <v>100</v>
      </c>
      <c r="J245" s="2">
        <v>100</v>
      </c>
      <c r="K245" s="2">
        <v>100</v>
      </c>
      <c r="L245" s="2">
        <v>100</v>
      </c>
      <c r="M245" s="2">
        <v>90</v>
      </c>
      <c r="N245" s="2">
        <v>82</v>
      </c>
      <c r="O245" s="2">
        <v>75</v>
      </c>
      <c r="P245" s="2">
        <v>74</v>
      </c>
      <c r="Q245" s="2">
        <v>71</v>
      </c>
      <c r="R245" s="2">
        <v>69</v>
      </c>
      <c r="S245" s="2">
        <v>68</v>
      </c>
      <c r="T245" s="2">
        <v>72</v>
      </c>
      <c r="U245" s="2">
        <v>75</v>
      </c>
      <c r="V245" s="2">
        <v>75</v>
      </c>
      <c r="W245" s="2">
        <v>79</v>
      </c>
      <c r="X245" s="2">
        <v>81</v>
      </c>
      <c r="Y245" s="2">
        <v>83</v>
      </c>
      <c r="Z245" s="2">
        <v>88</v>
      </c>
      <c r="AA245" s="2">
        <v>100</v>
      </c>
      <c r="AC245" s="3">
        <f t="shared" si="3"/>
        <v>86.416666666666671</v>
      </c>
    </row>
    <row r="246" spans="2:29" x14ac:dyDescent="0.25">
      <c r="B246" s="4">
        <v>42611</v>
      </c>
      <c r="C246" s="3">
        <v>242</v>
      </c>
      <c r="D246" s="2">
        <v>100</v>
      </c>
      <c r="E246" s="2">
        <v>97</v>
      </c>
      <c r="F246" s="2">
        <v>100</v>
      </c>
      <c r="G246" s="2">
        <v>100</v>
      </c>
      <c r="H246" s="2">
        <v>100</v>
      </c>
      <c r="I246" s="2">
        <v>100</v>
      </c>
      <c r="J246" s="2">
        <v>100</v>
      </c>
      <c r="K246" s="2">
        <v>100</v>
      </c>
      <c r="L246" s="2">
        <v>100</v>
      </c>
      <c r="M246" s="2">
        <v>100</v>
      </c>
      <c r="N246" s="2">
        <v>100</v>
      </c>
      <c r="O246" s="2">
        <v>97</v>
      </c>
      <c r="P246" s="2">
        <v>85</v>
      </c>
      <c r="Q246" s="2">
        <v>81</v>
      </c>
      <c r="R246" s="2">
        <v>98</v>
      </c>
      <c r="S246" s="2">
        <v>96</v>
      </c>
      <c r="T246" s="2">
        <v>98</v>
      </c>
      <c r="U246" s="2">
        <v>90</v>
      </c>
      <c r="V246" s="2">
        <v>76</v>
      </c>
      <c r="W246" s="2">
        <v>76</v>
      </c>
      <c r="X246" s="2">
        <v>79</v>
      </c>
      <c r="Y246" s="2">
        <v>82</v>
      </c>
      <c r="Z246" s="2">
        <v>99</v>
      </c>
      <c r="AA246" s="2">
        <v>100</v>
      </c>
      <c r="AC246" s="3">
        <f t="shared" si="3"/>
        <v>93.916666666666671</v>
      </c>
    </row>
    <row r="247" spans="2:29" x14ac:dyDescent="0.25">
      <c r="B247" s="4">
        <v>42612</v>
      </c>
      <c r="C247" s="3">
        <v>243</v>
      </c>
      <c r="D247" s="2">
        <v>100</v>
      </c>
      <c r="E247" s="2">
        <v>82</v>
      </c>
      <c r="F247" s="2">
        <v>59</v>
      </c>
      <c r="G247" s="2">
        <v>57</v>
      </c>
      <c r="H247" s="2">
        <v>63</v>
      </c>
      <c r="I247" s="2">
        <v>77</v>
      </c>
      <c r="J247" s="2">
        <v>71</v>
      </c>
      <c r="K247" s="2">
        <v>78</v>
      </c>
      <c r="L247" s="2">
        <v>80</v>
      </c>
      <c r="M247" s="2">
        <v>69</v>
      </c>
      <c r="N247" s="2">
        <v>66</v>
      </c>
      <c r="O247" s="2">
        <v>62</v>
      </c>
      <c r="P247" s="2">
        <v>58</v>
      </c>
      <c r="Q247" s="2">
        <v>53</v>
      </c>
      <c r="R247" s="2">
        <v>54</v>
      </c>
      <c r="S247" s="2">
        <v>52</v>
      </c>
      <c r="T247" s="2">
        <v>54</v>
      </c>
      <c r="U247" s="2">
        <v>57</v>
      </c>
      <c r="V247" s="2">
        <v>64</v>
      </c>
      <c r="W247" s="2">
        <v>71</v>
      </c>
      <c r="X247" s="2">
        <v>76</v>
      </c>
      <c r="Y247" s="2">
        <v>84</v>
      </c>
      <c r="Z247" s="2">
        <v>87</v>
      </c>
      <c r="AA247" s="2">
        <v>84</v>
      </c>
      <c r="AC247" s="3">
        <f t="shared" si="3"/>
        <v>69.083333333333329</v>
      </c>
    </row>
    <row r="248" spans="2:29" x14ac:dyDescent="0.25">
      <c r="B248" s="4">
        <v>42613</v>
      </c>
      <c r="C248" s="3">
        <v>244</v>
      </c>
      <c r="D248" s="2">
        <v>83</v>
      </c>
      <c r="E248" s="2">
        <v>87</v>
      </c>
      <c r="F248" s="2">
        <v>93</v>
      </c>
      <c r="G248" s="2">
        <v>100</v>
      </c>
      <c r="H248" s="2">
        <v>100</v>
      </c>
      <c r="I248" s="2">
        <v>100</v>
      </c>
      <c r="J248" s="2">
        <v>100</v>
      </c>
      <c r="K248" s="2">
        <v>96</v>
      </c>
      <c r="L248" s="2">
        <v>93</v>
      </c>
      <c r="M248" s="2">
        <v>76</v>
      </c>
      <c r="N248" s="2">
        <v>70</v>
      </c>
      <c r="O248" s="2">
        <v>74</v>
      </c>
      <c r="P248" s="2">
        <v>72</v>
      </c>
      <c r="Q248" s="2">
        <v>73</v>
      </c>
      <c r="R248" s="2">
        <v>73</v>
      </c>
      <c r="S248" s="2">
        <v>73</v>
      </c>
      <c r="T248" s="2">
        <v>73</v>
      </c>
      <c r="U248" s="2">
        <v>67</v>
      </c>
      <c r="V248" s="2">
        <v>72</v>
      </c>
      <c r="W248" s="2">
        <v>77</v>
      </c>
      <c r="X248" s="2">
        <v>82</v>
      </c>
      <c r="Y248" s="2">
        <v>84</v>
      </c>
      <c r="Z248" s="2">
        <v>90</v>
      </c>
      <c r="AA248" s="2">
        <v>100</v>
      </c>
      <c r="AC248" s="3">
        <f t="shared" si="3"/>
        <v>83.666666666666671</v>
      </c>
    </row>
    <row r="249" spans="2:29" x14ac:dyDescent="0.25">
      <c r="B249" s="4">
        <v>42614</v>
      </c>
      <c r="C249" s="3">
        <v>245</v>
      </c>
      <c r="D249" s="2">
        <v>100</v>
      </c>
      <c r="E249" s="2">
        <v>100</v>
      </c>
      <c r="F249" s="2">
        <v>100</v>
      </c>
      <c r="G249" s="2">
        <v>100</v>
      </c>
      <c r="H249" s="2">
        <v>100</v>
      </c>
      <c r="I249" s="2">
        <v>100</v>
      </c>
      <c r="J249" s="2">
        <v>100</v>
      </c>
      <c r="K249" s="2">
        <v>100</v>
      </c>
      <c r="L249" s="2">
        <v>100</v>
      </c>
      <c r="M249" s="2">
        <v>79</v>
      </c>
      <c r="N249" s="2">
        <v>63</v>
      </c>
      <c r="O249" s="2">
        <v>55</v>
      </c>
      <c r="P249" s="2">
        <v>49</v>
      </c>
      <c r="Q249" s="2">
        <v>41</v>
      </c>
      <c r="R249" s="2">
        <v>46</v>
      </c>
      <c r="S249" s="2">
        <v>39</v>
      </c>
      <c r="T249" s="2">
        <v>39</v>
      </c>
      <c r="U249" s="2">
        <v>47</v>
      </c>
      <c r="V249" s="2">
        <v>52</v>
      </c>
      <c r="W249" s="2">
        <v>58</v>
      </c>
      <c r="X249" s="2">
        <v>74</v>
      </c>
      <c r="Y249" s="2">
        <v>86</v>
      </c>
      <c r="Z249" s="2">
        <v>100</v>
      </c>
      <c r="AA249" s="2">
        <v>100</v>
      </c>
      <c r="AC249" s="3">
        <f t="shared" si="3"/>
        <v>76.166666666666671</v>
      </c>
    </row>
    <row r="250" spans="2:29" x14ac:dyDescent="0.25">
      <c r="B250" s="4">
        <v>42615</v>
      </c>
      <c r="C250" s="3">
        <v>246</v>
      </c>
      <c r="D250" s="2">
        <v>100</v>
      </c>
      <c r="E250" s="2">
        <v>100</v>
      </c>
      <c r="F250" s="2">
        <v>100</v>
      </c>
      <c r="G250" s="2">
        <v>96</v>
      </c>
      <c r="H250" s="2">
        <v>97</v>
      </c>
      <c r="I250" s="2">
        <v>99</v>
      </c>
      <c r="J250" s="2">
        <v>100</v>
      </c>
      <c r="K250" s="2">
        <v>83</v>
      </c>
      <c r="L250" s="2">
        <v>77</v>
      </c>
      <c r="M250" s="2">
        <v>65</v>
      </c>
      <c r="N250" s="2">
        <v>73</v>
      </c>
      <c r="O250" s="2">
        <v>63</v>
      </c>
      <c r="P250" s="2">
        <v>62</v>
      </c>
      <c r="Q250" s="2">
        <v>59</v>
      </c>
      <c r="R250" s="2">
        <v>66</v>
      </c>
      <c r="S250" s="2">
        <v>63</v>
      </c>
      <c r="T250" s="2">
        <v>60</v>
      </c>
      <c r="U250" s="2">
        <v>63</v>
      </c>
      <c r="V250" s="2">
        <v>69</v>
      </c>
      <c r="W250" s="2">
        <v>70</v>
      </c>
      <c r="X250" s="2">
        <v>78</v>
      </c>
      <c r="Y250" s="2">
        <v>86</v>
      </c>
      <c r="Z250" s="2">
        <v>99</v>
      </c>
      <c r="AA250" s="2">
        <v>100</v>
      </c>
      <c r="AC250" s="3">
        <f t="shared" si="3"/>
        <v>80.333333333333329</v>
      </c>
    </row>
    <row r="251" spans="2:29" x14ac:dyDescent="0.25">
      <c r="B251" s="4">
        <v>42616</v>
      </c>
      <c r="C251" s="3">
        <v>247</v>
      </c>
      <c r="D251" s="2">
        <v>100</v>
      </c>
      <c r="E251" s="2">
        <v>100</v>
      </c>
      <c r="F251" s="2">
        <v>100</v>
      </c>
      <c r="G251" s="2">
        <v>100</v>
      </c>
      <c r="H251" s="2">
        <v>100</v>
      </c>
      <c r="I251" s="2">
        <v>100</v>
      </c>
      <c r="J251" s="2">
        <v>100</v>
      </c>
      <c r="K251" s="2">
        <v>100</v>
      </c>
      <c r="L251" s="2">
        <v>100</v>
      </c>
      <c r="M251" s="2">
        <v>81</v>
      </c>
      <c r="N251" s="2">
        <v>74</v>
      </c>
      <c r="O251" s="2">
        <v>66</v>
      </c>
      <c r="P251" s="2">
        <v>64</v>
      </c>
      <c r="Q251" s="2">
        <v>62</v>
      </c>
      <c r="R251" s="2">
        <v>63</v>
      </c>
      <c r="S251" s="2">
        <v>63</v>
      </c>
      <c r="T251" s="2">
        <v>65</v>
      </c>
      <c r="U251" s="2">
        <v>68</v>
      </c>
      <c r="V251" s="2">
        <v>64</v>
      </c>
      <c r="W251" s="2">
        <v>68</v>
      </c>
      <c r="X251" s="2">
        <v>79</v>
      </c>
      <c r="Y251" s="2">
        <v>87</v>
      </c>
      <c r="Z251" s="2">
        <v>100</v>
      </c>
      <c r="AA251" s="2">
        <v>100</v>
      </c>
      <c r="AC251" s="3">
        <f t="shared" si="3"/>
        <v>83.5</v>
      </c>
    </row>
    <row r="252" spans="2:29" x14ac:dyDescent="0.25">
      <c r="B252" s="4">
        <v>42617</v>
      </c>
      <c r="C252" s="3">
        <v>248</v>
      </c>
      <c r="D252" s="2">
        <v>100</v>
      </c>
      <c r="E252" s="2">
        <v>100</v>
      </c>
      <c r="F252" s="2">
        <v>100</v>
      </c>
      <c r="G252" s="2">
        <v>100</v>
      </c>
      <c r="H252" s="2">
        <v>100</v>
      </c>
      <c r="I252" s="2">
        <v>100</v>
      </c>
      <c r="J252" s="2">
        <v>100</v>
      </c>
      <c r="K252" s="2">
        <v>100</v>
      </c>
      <c r="L252" s="2">
        <v>98</v>
      </c>
      <c r="M252" s="2">
        <v>77</v>
      </c>
      <c r="N252" s="2">
        <v>71</v>
      </c>
      <c r="O252" s="2">
        <v>64</v>
      </c>
      <c r="P252" s="2">
        <v>59</v>
      </c>
      <c r="Q252" s="2">
        <v>58</v>
      </c>
      <c r="R252" s="2">
        <v>60</v>
      </c>
      <c r="S252" s="2">
        <v>61</v>
      </c>
      <c r="T252" s="2">
        <v>61</v>
      </c>
      <c r="U252" s="2">
        <v>55</v>
      </c>
      <c r="V252" s="2">
        <v>60</v>
      </c>
      <c r="W252" s="2">
        <v>65</v>
      </c>
      <c r="X252" s="2">
        <v>72</v>
      </c>
      <c r="Y252" s="2">
        <v>84</v>
      </c>
      <c r="Z252" s="2">
        <v>92</v>
      </c>
      <c r="AA252" s="2">
        <v>100</v>
      </c>
      <c r="AC252" s="3">
        <f t="shared" si="3"/>
        <v>80.708333333333329</v>
      </c>
    </row>
    <row r="253" spans="2:29" x14ac:dyDescent="0.25">
      <c r="B253" s="4">
        <v>42618</v>
      </c>
      <c r="C253" s="3">
        <v>249</v>
      </c>
      <c r="D253" s="2">
        <v>92</v>
      </c>
      <c r="E253" s="2">
        <v>95</v>
      </c>
      <c r="F253" s="2">
        <v>78</v>
      </c>
      <c r="G253" s="2">
        <v>79</v>
      </c>
      <c r="H253" s="2">
        <v>78</v>
      </c>
      <c r="I253" s="2">
        <v>89</v>
      </c>
      <c r="J253" s="2">
        <v>85</v>
      </c>
      <c r="K253" s="2">
        <v>91</v>
      </c>
      <c r="L253" s="2">
        <v>89</v>
      </c>
      <c r="M253" s="2">
        <v>58</v>
      </c>
      <c r="N253" s="2">
        <v>47</v>
      </c>
      <c r="O253" s="2">
        <v>39</v>
      </c>
      <c r="P253" s="2">
        <v>36</v>
      </c>
      <c r="Q253" s="2">
        <v>39</v>
      </c>
      <c r="R253" s="2">
        <v>43</v>
      </c>
      <c r="S253" s="2">
        <v>49</v>
      </c>
      <c r="T253" s="2">
        <v>61</v>
      </c>
      <c r="U253" s="2">
        <v>62</v>
      </c>
      <c r="V253" s="2">
        <v>64</v>
      </c>
      <c r="W253" s="2">
        <v>68</v>
      </c>
      <c r="X253" s="2">
        <v>77</v>
      </c>
      <c r="Y253" s="2">
        <v>78</v>
      </c>
      <c r="Z253" s="2">
        <v>90</v>
      </c>
      <c r="AA253" s="2">
        <v>98</v>
      </c>
      <c r="AC253" s="3">
        <f t="shared" si="3"/>
        <v>70.208333333333329</v>
      </c>
    </row>
    <row r="254" spans="2:29" x14ac:dyDescent="0.25">
      <c r="B254" s="4">
        <v>42619</v>
      </c>
      <c r="C254" s="3">
        <v>250</v>
      </c>
      <c r="D254" s="2">
        <v>100</v>
      </c>
      <c r="E254" s="2">
        <v>96</v>
      </c>
      <c r="F254" s="2">
        <v>100</v>
      </c>
      <c r="G254" s="2">
        <v>100</v>
      </c>
      <c r="H254" s="2">
        <v>100</v>
      </c>
      <c r="I254" s="2">
        <v>100</v>
      </c>
      <c r="J254" s="2">
        <v>100</v>
      </c>
      <c r="K254" s="2">
        <v>90</v>
      </c>
      <c r="L254" s="2">
        <v>85</v>
      </c>
      <c r="M254" s="2">
        <v>62</v>
      </c>
      <c r="N254" s="2">
        <v>58</v>
      </c>
      <c r="O254" s="2">
        <v>52</v>
      </c>
      <c r="P254" s="2">
        <v>48</v>
      </c>
      <c r="Q254" s="2">
        <v>53</v>
      </c>
      <c r="R254" s="2">
        <v>56</v>
      </c>
      <c r="S254" s="2">
        <v>51</v>
      </c>
      <c r="T254" s="2">
        <v>44</v>
      </c>
      <c r="U254" s="2">
        <v>46</v>
      </c>
      <c r="V254" s="2">
        <v>47</v>
      </c>
      <c r="W254" s="2">
        <v>54</v>
      </c>
      <c r="X254" s="2">
        <v>65</v>
      </c>
      <c r="Y254" s="2">
        <v>76</v>
      </c>
      <c r="Z254" s="2">
        <v>88</v>
      </c>
      <c r="AA254" s="2">
        <v>87</v>
      </c>
      <c r="AC254" s="3">
        <f t="shared" si="3"/>
        <v>73.25</v>
      </c>
    </row>
    <row r="255" spans="2:29" x14ac:dyDescent="0.25">
      <c r="B255" s="4">
        <v>42620</v>
      </c>
      <c r="C255" s="3">
        <v>251</v>
      </c>
      <c r="D255" s="2">
        <v>87</v>
      </c>
      <c r="E255" s="2">
        <v>87</v>
      </c>
      <c r="F255" s="2">
        <v>99</v>
      </c>
      <c r="G255" s="2">
        <v>100</v>
      </c>
      <c r="H255" s="2">
        <v>99</v>
      </c>
      <c r="I255" s="2">
        <v>100</v>
      </c>
      <c r="J255" s="2">
        <v>100</v>
      </c>
      <c r="K255" s="2">
        <v>100</v>
      </c>
      <c r="L255" s="2">
        <v>99</v>
      </c>
      <c r="M255" s="2">
        <v>82</v>
      </c>
      <c r="N255" s="2">
        <v>66</v>
      </c>
      <c r="O255" s="2">
        <v>63</v>
      </c>
      <c r="P255" s="2">
        <v>55</v>
      </c>
      <c r="Q255" s="2">
        <v>60</v>
      </c>
      <c r="R255" s="2">
        <v>62</v>
      </c>
      <c r="S255" s="2">
        <v>59</v>
      </c>
      <c r="T255" s="2">
        <v>47</v>
      </c>
      <c r="U255" s="2">
        <v>53</v>
      </c>
      <c r="V255" s="2">
        <v>61</v>
      </c>
      <c r="W255" s="2">
        <v>72</v>
      </c>
      <c r="X255" s="2">
        <v>77</v>
      </c>
      <c r="Y255" s="2">
        <v>79</v>
      </c>
      <c r="Z255" s="2">
        <v>80</v>
      </c>
      <c r="AA255" s="2">
        <v>94</v>
      </c>
      <c r="AC255" s="3">
        <f t="shared" si="3"/>
        <v>78.375</v>
      </c>
    </row>
    <row r="256" spans="2:29" x14ac:dyDescent="0.25">
      <c r="B256" s="4">
        <v>42621</v>
      </c>
      <c r="C256" s="3">
        <v>252</v>
      </c>
      <c r="D256" s="2">
        <v>83</v>
      </c>
      <c r="E256" s="2">
        <v>89</v>
      </c>
      <c r="F256" s="2">
        <v>89</v>
      </c>
      <c r="G256" s="2">
        <v>100</v>
      </c>
      <c r="H256" s="2">
        <v>96</v>
      </c>
      <c r="I256" s="2">
        <v>87</v>
      </c>
      <c r="J256" s="2">
        <v>98</v>
      </c>
      <c r="K256" s="2">
        <v>99</v>
      </c>
      <c r="L256" s="2">
        <v>86</v>
      </c>
      <c r="M256" s="2">
        <v>75</v>
      </c>
      <c r="N256" s="2">
        <v>68</v>
      </c>
      <c r="O256" s="2">
        <v>62</v>
      </c>
      <c r="P256" s="2">
        <v>58</v>
      </c>
      <c r="Q256" s="2">
        <v>62</v>
      </c>
      <c r="R256" s="2">
        <v>65</v>
      </c>
      <c r="S256" s="2">
        <v>62</v>
      </c>
      <c r="T256" s="2">
        <v>60</v>
      </c>
      <c r="U256" s="2">
        <v>65</v>
      </c>
      <c r="V256" s="2">
        <v>69</v>
      </c>
      <c r="W256" s="2">
        <v>69</v>
      </c>
      <c r="X256" s="2">
        <v>73</v>
      </c>
      <c r="Y256" s="2">
        <v>84</v>
      </c>
      <c r="Z256" s="2">
        <v>100</v>
      </c>
      <c r="AA256" s="2">
        <v>100</v>
      </c>
      <c r="AC256" s="3">
        <f t="shared" si="3"/>
        <v>79.125</v>
      </c>
    </row>
    <row r="257" spans="2:29" x14ac:dyDescent="0.25">
      <c r="B257" s="4">
        <v>42622</v>
      </c>
      <c r="C257" s="3">
        <v>253</v>
      </c>
      <c r="D257" s="2">
        <v>99</v>
      </c>
      <c r="E257" s="2">
        <v>93</v>
      </c>
      <c r="F257" s="2">
        <v>89</v>
      </c>
      <c r="G257" s="2">
        <v>89</v>
      </c>
      <c r="H257" s="2">
        <v>85</v>
      </c>
      <c r="I257" s="2">
        <v>83</v>
      </c>
      <c r="J257" s="2">
        <v>87</v>
      </c>
      <c r="K257" s="2">
        <v>86</v>
      </c>
      <c r="L257" s="2">
        <v>88</v>
      </c>
      <c r="M257" s="2">
        <v>83</v>
      </c>
      <c r="N257" s="2">
        <v>82</v>
      </c>
      <c r="O257" s="2">
        <v>75</v>
      </c>
      <c r="P257" s="2">
        <v>65</v>
      </c>
      <c r="Q257" s="2">
        <v>59</v>
      </c>
      <c r="R257" s="2">
        <v>59</v>
      </c>
      <c r="S257" s="2">
        <v>59</v>
      </c>
      <c r="T257" s="2">
        <v>54</v>
      </c>
      <c r="U257" s="2">
        <v>59</v>
      </c>
      <c r="V257" s="2">
        <v>62</v>
      </c>
      <c r="W257" s="2">
        <v>69</v>
      </c>
      <c r="X257" s="2">
        <v>77</v>
      </c>
      <c r="Y257" s="2">
        <v>80</v>
      </c>
      <c r="Z257" s="2">
        <v>84</v>
      </c>
      <c r="AA257" s="2">
        <v>83</v>
      </c>
      <c r="AC257" s="3">
        <f t="shared" si="3"/>
        <v>77.041666666666671</v>
      </c>
    </row>
    <row r="258" spans="2:29" x14ac:dyDescent="0.25">
      <c r="B258" s="4">
        <v>42623</v>
      </c>
      <c r="C258" s="3">
        <v>254</v>
      </c>
      <c r="D258" s="2">
        <v>100</v>
      </c>
      <c r="E258" s="2">
        <v>98</v>
      </c>
      <c r="F258" s="2">
        <v>92</v>
      </c>
      <c r="G258" s="2">
        <v>92</v>
      </c>
      <c r="H258" s="2">
        <v>97</v>
      </c>
      <c r="I258" s="2">
        <v>97</v>
      </c>
      <c r="J258" s="2">
        <v>92</v>
      </c>
      <c r="K258" s="2">
        <v>96</v>
      </c>
      <c r="L258" s="2">
        <v>98</v>
      </c>
      <c r="M258" s="2">
        <v>84</v>
      </c>
      <c r="N258" s="2">
        <v>76</v>
      </c>
      <c r="O258" s="2">
        <v>65</v>
      </c>
      <c r="P258" s="2">
        <v>60</v>
      </c>
      <c r="Q258" s="2">
        <v>56</v>
      </c>
      <c r="R258" s="2">
        <v>57</v>
      </c>
      <c r="S258" s="2">
        <v>57</v>
      </c>
      <c r="T258" s="2">
        <v>61</v>
      </c>
      <c r="U258" s="2">
        <v>68</v>
      </c>
      <c r="V258" s="2">
        <v>61</v>
      </c>
      <c r="W258" s="2">
        <v>72</v>
      </c>
      <c r="X258" s="2">
        <v>79</v>
      </c>
      <c r="Y258" s="2">
        <v>87</v>
      </c>
      <c r="Z258" s="2">
        <v>100</v>
      </c>
      <c r="AA258" s="2">
        <v>100</v>
      </c>
      <c r="AC258" s="3">
        <f t="shared" si="3"/>
        <v>81.041666666666671</v>
      </c>
    </row>
    <row r="259" spans="2:29" x14ac:dyDescent="0.25">
      <c r="B259" s="4">
        <v>42624</v>
      </c>
      <c r="C259" s="3">
        <v>255</v>
      </c>
      <c r="D259" s="2">
        <v>100</v>
      </c>
      <c r="E259" s="2">
        <v>100</v>
      </c>
      <c r="F259" s="2">
        <v>100</v>
      </c>
      <c r="G259" s="2">
        <v>100</v>
      </c>
      <c r="H259" s="2">
        <v>100</v>
      </c>
      <c r="I259" s="2">
        <v>100</v>
      </c>
      <c r="J259" s="2">
        <v>100</v>
      </c>
      <c r="K259" s="2">
        <v>100</v>
      </c>
      <c r="L259" s="2">
        <v>100</v>
      </c>
      <c r="M259" s="2">
        <v>79</v>
      </c>
      <c r="N259" s="2">
        <v>68</v>
      </c>
      <c r="O259" s="2">
        <v>58</v>
      </c>
      <c r="P259" s="2">
        <v>55</v>
      </c>
      <c r="Q259" s="2">
        <v>53</v>
      </c>
      <c r="R259" s="2">
        <v>52</v>
      </c>
      <c r="S259" s="2">
        <v>48</v>
      </c>
      <c r="T259" s="2">
        <v>59</v>
      </c>
      <c r="U259" s="2">
        <v>65</v>
      </c>
      <c r="V259" s="2">
        <v>67</v>
      </c>
      <c r="W259" s="2">
        <v>73</v>
      </c>
      <c r="X259" s="2">
        <v>80</v>
      </c>
      <c r="Y259" s="2">
        <v>89</v>
      </c>
      <c r="Z259" s="2">
        <v>100</v>
      </c>
      <c r="AA259" s="2">
        <v>100</v>
      </c>
      <c r="AC259" s="3">
        <f t="shared" si="3"/>
        <v>81.083333333333329</v>
      </c>
    </row>
    <row r="260" spans="2:29" x14ac:dyDescent="0.25">
      <c r="B260" s="4">
        <v>42625</v>
      </c>
      <c r="C260" s="3">
        <v>256</v>
      </c>
      <c r="D260" s="2">
        <v>100</v>
      </c>
      <c r="E260" s="2">
        <v>100</v>
      </c>
      <c r="F260" s="2">
        <v>100</v>
      </c>
      <c r="G260" s="2">
        <v>100</v>
      </c>
      <c r="H260" s="2">
        <v>100</v>
      </c>
      <c r="I260" s="2">
        <v>100</v>
      </c>
      <c r="J260" s="2">
        <v>100</v>
      </c>
      <c r="K260" s="2">
        <v>100</v>
      </c>
      <c r="L260" s="2">
        <v>96</v>
      </c>
      <c r="M260" s="2">
        <v>74</v>
      </c>
      <c r="N260" s="2">
        <v>73</v>
      </c>
      <c r="O260" s="2">
        <v>72</v>
      </c>
      <c r="P260" s="2">
        <v>67</v>
      </c>
      <c r="Q260" s="2">
        <v>64</v>
      </c>
      <c r="R260" s="2">
        <v>66</v>
      </c>
      <c r="S260" s="2">
        <v>64</v>
      </c>
      <c r="T260" s="2">
        <v>60</v>
      </c>
      <c r="U260" s="2">
        <v>63</v>
      </c>
      <c r="V260" s="2">
        <v>68</v>
      </c>
      <c r="W260" s="2">
        <v>72</v>
      </c>
      <c r="X260" s="2">
        <v>74</v>
      </c>
      <c r="Y260" s="2">
        <v>81</v>
      </c>
      <c r="Z260" s="2">
        <v>86</v>
      </c>
      <c r="AA260" s="2">
        <v>100</v>
      </c>
      <c r="AC260" s="3">
        <f t="shared" si="3"/>
        <v>82.5</v>
      </c>
    </row>
    <row r="261" spans="2:29" x14ac:dyDescent="0.25">
      <c r="B261" s="4">
        <v>42626</v>
      </c>
      <c r="C261" s="3">
        <v>257</v>
      </c>
      <c r="D261" s="2">
        <v>100</v>
      </c>
      <c r="E261" s="2">
        <v>100</v>
      </c>
      <c r="F261" s="2">
        <v>100</v>
      </c>
      <c r="G261" s="2">
        <v>100</v>
      </c>
      <c r="H261" s="2">
        <v>100</v>
      </c>
      <c r="I261" s="2">
        <v>100</v>
      </c>
      <c r="J261" s="2">
        <v>100</v>
      </c>
      <c r="K261" s="2">
        <v>100</v>
      </c>
      <c r="L261" s="2">
        <v>100</v>
      </c>
      <c r="M261" s="2">
        <v>94</v>
      </c>
      <c r="N261" s="2">
        <v>78</v>
      </c>
      <c r="O261" s="2">
        <v>64</v>
      </c>
      <c r="P261" s="2">
        <v>64</v>
      </c>
      <c r="Q261" s="2">
        <v>63</v>
      </c>
      <c r="R261" s="2">
        <v>63</v>
      </c>
      <c r="S261" s="2">
        <v>66</v>
      </c>
      <c r="T261" s="2">
        <v>68</v>
      </c>
      <c r="U261" s="2">
        <v>66</v>
      </c>
      <c r="V261" s="2">
        <v>70</v>
      </c>
      <c r="W261" s="2">
        <v>71</v>
      </c>
      <c r="X261" s="2">
        <v>75</v>
      </c>
      <c r="Y261" s="2">
        <v>75</v>
      </c>
      <c r="Z261" s="2">
        <v>78</v>
      </c>
      <c r="AA261" s="2">
        <v>92</v>
      </c>
      <c r="AC261" s="3">
        <f t="shared" si="3"/>
        <v>82.791666666666671</v>
      </c>
    </row>
    <row r="262" spans="2:29" x14ac:dyDescent="0.25">
      <c r="B262" s="4">
        <v>42627</v>
      </c>
      <c r="C262" s="3">
        <v>258</v>
      </c>
      <c r="D262" s="2">
        <v>99</v>
      </c>
      <c r="E262" s="2">
        <v>99</v>
      </c>
      <c r="F262" s="2">
        <v>96</v>
      </c>
      <c r="G262" s="2">
        <v>70</v>
      </c>
      <c r="H262" s="2">
        <v>73</v>
      </c>
      <c r="I262" s="2">
        <v>100</v>
      </c>
      <c r="J262" s="2">
        <v>99</v>
      </c>
      <c r="K262" s="2">
        <v>100</v>
      </c>
      <c r="L262" s="2">
        <v>100</v>
      </c>
      <c r="M262" s="2">
        <v>74</v>
      </c>
      <c r="N262" s="2">
        <v>61</v>
      </c>
      <c r="O262" s="2">
        <v>51</v>
      </c>
      <c r="P262" s="2">
        <v>42</v>
      </c>
      <c r="Q262" s="2">
        <v>43</v>
      </c>
      <c r="R262" s="2">
        <v>36</v>
      </c>
      <c r="S262" s="2">
        <v>33</v>
      </c>
      <c r="T262" s="2">
        <v>30</v>
      </c>
      <c r="U262" s="2">
        <v>34</v>
      </c>
      <c r="V262" s="2">
        <v>44</v>
      </c>
      <c r="W262" s="2">
        <v>50</v>
      </c>
      <c r="X262" s="2">
        <v>79</v>
      </c>
      <c r="Y262" s="2">
        <v>93</v>
      </c>
      <c r="Z262" s="2">
        <v>100</v>
      </c>
      <c r="AA262" s="2">
        <v>100</v>
      </c>
      <c r="AC262" s="3">
        <f t="shared" ref="AC262:AC325" si="4">(SUM((D262:AA262))/24)</f>
        <v>71.083333333333329</v>
      </c>
    </row>
    <row r="263" spans="2:29" x14ac:dyDescent="0.25">
      <c r="B263" s="4">
        <v>42628</v>
      </c>
      <c r="C263" s="3">
        <v>259</v>
      </c>
      <c r="D263" s="2">
        <v>81</v>
      </c>
      <c r="E263" s="2">
        <v>70</v>
      </c>
      <c r="F263" s="2">
        <v>75</v>
      </c>
      <c r="G263" s="2">
        <v>68</v>
      </c>
      <c r="H263" s="2">
        <v>83</v>
      </c>
      <c r="I263" s="2">
        <v>85</v>
      </c>
      <c r="J263" s="2">
        <v>91</v>
      </c>
      <c r="K263" s="2">
        <v>67</v>
      </c>
      <c r="L263" s="2">
        <v>78</v>
      </c>
      <c r="M263" s="2">
        <v>64</v>
      </c>
      <c r="N263" s="2">
        <v>51</v>
      </c>
      <c r="O263" s="2">
        <v>46</v>
      </c>
      <c r="P263" s="2">
        <v>41</v>
      </c>
      <c r="Q263" s="2">
        <v>37</v>
      </c>
      <c r="R263" s="2">
        <v>42</v>
      </c>
      <c r="S263" s="2">
        <v>44</v>
      </c>
      <c r="T263" s="2">
        <v>45</v>
      </c>
      <c r="U263" s="2">
        <v>47</v>
      </c>
      <c r="V263" s="2">
        <v>51</v>
      </c>
      <c r="W263" s="2">
        <v>57</v>
      </c>
      <c r="X263" s="2">
        <v>57</v>
      </c>
      <c r="Y263" s="2">
        <v>78</v>
      </c>
      <c r="Z263" s="2">
        <v>100</v>
      </c>
      <c r="AA263" s="2">
        <v>100</v>
      </c>
      <c r="AC263" s="3">
        <f t="shared" si="4"/>
        <v>64.916666666666671</v>
      </c>
    </row>
    <row r="264" spans="2:29" x14ac:dyDescent="0.25">
      <c r="B264" s="4">
        <v>42629</v>
      </c>
      <c r="C264" s="3">
        <v>260</v>
      </c>
      <c r="D264" s="2">
        <v>100</v>
      </c>
      <c r="E264" s="2">
        <v>100</v>
      </c>
      <c r="F264" s="2">
        <v>100</v>
      </c>
      <c r="G264" s="2">
        <v>100</v>
      </c>
      <c r="H264" s="2">
        <v>100</v>
      </c>
      <c r="I264" s="2">
        <v>100</v>
      </c>
      <c r="J264" s="2">
        <v>100</v>
      </c>
      <c r="K264" s="2">
        <v>100</v>
      </c>
      <c r="L264" s="2">
        <v>88</v>
      </c>
      <c r="M264" s="2">
        <v>84</v>
      </c>
      <c r="N264" s="2">
        <v>58</v>
      </c>
      <c r="O264" s="2">
        <v>53</v>
      </c>
      <c r="P264" s="2">
        <v>50</v>
      </c>
      <c r="Q264" s="2">
        <v>46</v>
      </c>
      <c r="R264" s="2">
        <v>42</v>
      </c>
      <c r="S264" s="2">
        <v>38</v>
      </c>
      <c r="T264" s="2">
        <v>32</v>
      </c>
      <c r="U264" s="2">
        <v>33</v>
      </c>
      <c r="V264" s="2">
        <v>40</v>
      </c>
      <c r="W264" s="2">
        <v>52</v>
      </c>
      <c r="X264" s="2">
        <v>63</v>
      </c>
      <c r="Y264" s="2">
        <v>72</v>
      </c>
      <c r="Z264" s="2">
        <v>58</v>
      </c>
      <c r="AA264" s="2">
        <v>59</v>
      </c>
      <c r="AC264" s="3">
        <f t="shared" si="4"/>
        <v>69.5</v>
      </c>
    </row>
    <row r="265" spans="2:29" x14ac:dyDescent="0.25">
      <c r="B265" s="4">
        <v>42630</v>
      </c>
      <c r="C265" s="3">
        <v>261</v>
      </c>
      <c r="D265" s="2">
        <v>61</v>
      </c>
      <c r="E265" s="2">
        <v>62</v>
      </c>
      <c r="F265" s="2">
        <v>80</v>
      </c>
      <c r="G265" s="2">
        <v>81</v>
      </c>
      <c r="H265" s="2">
        <v>74</v>
      </c>
      <c r="I265" s="2">
        <v>68</v>
      </c>
      <c r="J265" s="2">
        <v>74</v>
      </c>
      <c r="K265" s="2">
        <v>75</v>
      </c>
      <c r="L265" s="2">
        <v>63</v>
      </c>
      <c r="M265" s="2">
        <v>58</v>
      </c>
      <c r="N265" s="2">
        <v>56</v>
      </c>
      <c r="O265" s="2">
        <v>57</v>
      </c>
      <c r="P265" s="2">
        <v>53</v>
      </c>
      <c r="Q265" s="2">
        <v>48</v>
      </c>
      <c r="R265" s="2">
        <v>49</v>
      </c>
      <c r="S265" s="2">
        <v>48</v>
      </c>
      <c r="T265" s="2">
        <v>42</v>
      </c>
      <c r="U265" s="2">
        <v>41</v>
      </c>
      <c r="V265" s="2">
        <v>42</v>
      </c>
      <c r="W265" s="2">
        <v>46</v>
      </c>
      <c r="X265" s="2">
        <v>52</v>
      </c>
      <c r="Y265" s="2">
        <v>55</v>
      </c>
      <c r="Z265" s="2">
        <v>55</v>
      </c>
      <c r="AA265" s="2">
        <v>57</v>
      </c>
      <c r="AC265" s="3">
        <f t="shared" si="4"/>
        <v>58.208333333333336</v>
      </c>
    </row>
    <row r="266" spans="2:29" x14ac:dyDescent="0.25">
      <c r="B266" s="4">
        <v>42631</v>
      </c>
      <c r="C266" s="3">
        <v>262</v>
      </c>
      <c r="D266" s="2">
        <v>59</v>
      </c>
      <c r="E266" s="2">
        <v>63</v>
      </c>
      <c r="F266" s="2">
        <v>69</v>
      </c>
      <c r="G266" s="2">
        <v>79</v>
      </c>
      <c r="H266" s="2">
        <v>71</v>
      </c>
      <c r="I266" s="2">
        <v>91</v>
      </c>
      <c r="J266" s="2">
        <v>100</v>
      </c>
      <c r="K266" s="2">
        <v>98</v>
      </c>
      <c r="L266" s="2">
        <v>90</v>
      </c>
      <c r="M266" s="2">
        <v>62</v>
      </c>
      <c r="N266" s="2">
        <v>48</v>
      </c>
      <c r="O266" s="2">
        <v>45</v>
      </c>
      <c r="P266" s="2">
        <v>41</v>
      </c>
      <c r="Q266" s="2">
        <v>39</v>
      </c>
      <c r="R266" s="2">
        <v>36</v>
      </c>
      <c r="S266" s="2">
        <v>31</v>
      </c>
      <c r="T266" s="2">
        <v>25</v>
      </c>
      <c r="U266" s="2">
        <v>24</v>
      </c>
      <c r="V266" s="2">
        <v>25</v>
      </c>
      <c r="W266" s="2">
        <v>25</v>
      </c>
      <c r="X266" s="2">
        <v>40</v>
      </c>
      <c r="Y266" s="2">
        <v>43</v>
      </c>
      <c r="Z266" s="2">
        <v>46</v>
      </c>
      <c r="AA266" s="2">
        <v>49</v>
      </c>
      <c r="AC266" s="3">
        <f t="shared" si="4"/>
        <v>54.125</v>
      </c>
    </row>
    <row r="267" spans="2:29" x14ac:dyDescent="0.25">
      <c r="B267" s="4">
        <v>42632</v>
      </c>
      <c r="C267" s="3">
        <v>263</v>
      </c>
      <c r="D267" s="2">
        <v>52</v>
      </c>
      <c r="E267" s="2">
        <v>55</v>
      </c>
      <c r="F267" s="2">
        <v>56</v>
      </c>
      <c r="G267" s="2">
        <v>65</v>
      </c>
      <c r="H267" s="2">
        <v>76</v>
      </c>
      <c r="I267" s="2">
        <v>83</v>
      </c>
      <c r="J267" s="2">
        <v>89</v>
      </c>
      <c r="K267" s="2">
        <v>100</v>
      </c>
      <c r="L267" s="2">
        <v>94</v>
      </c>
      <c r="M267" s="2">
        <v>59</v>
      </c>
      <c r="N267" s="2">
        <v>49</v>
      </c>
      <c r="O267" s="2">
        <v>44</v>
      </c>
      <c r="P267" s="2">
        <v>39</v>
      </c>
      <c r="Q267" s="2">
        <v>36</v>
      </c>
      <c r="R267" s="2">
        <v>37</v>
      </c>
      <c r="S267" s="2">
        <v>34</v>
      </c>
      <c r="T267" s="2">
        <v>36</v>
      </c>
      <c r="U267" s="2">
        <v>42</v>
      </c>
      <c r="V267" s="2">
        <v>52</v>
      </c>
      <c r="W267" s="2">
        <v>59</v>
      </c>
      <c r="X267" s="2">
        <v>64</v>
      </c>
      <c r="Y267" s="2">
        <v>76</v>
      </c>
      <c r="Z267" s="2">
        <v>77</v>
      </c>
      <c r="AA267" s="2">
        <v>75</v>
      </c>
      <c r="AC267" s="3">
        <f t="shared" si="4"/>
        <v>60.375</v>
      </c>
    </row>
    <row r="268" spans="2:29" x14ac:dyDescent="0.25">
      <c r="B268" s="4">
        <v>42633</v>
      </c>
      <c r="C268" s="3">
        <v>264</v>
      </c>
      <c r="D268" s="2">
        <v>78</v>
      </c>
      <c r="E268" s="2">
        <v>81</v>
      </c>
      <c r="F268" s="2">
        <v>87</v>
      </c>
      <c r="G268" s="2">
        <v>98</v>
      </c>
      <c r="H268" s="2">
        <v>85</v>
      </c>
      <c r="I268" s="2">
        <v>84</v>
      </c>
      <c r="J268" s="2">
        <v>89</v>
      </c>
      <c r="K268" s="2">
        <v>90</v>
      </c>
      <c r="L268" s="2">
        <v>96</v>
      </c>
      <c r="M268" s="2">
        <v>67</v>
      </c>
      <c r="N268" s="2">
        <v>59</v>
      </c>
      <c r="O268" s="2">
        <v>55</v>
      </c>
      <c r="P268" s="2">
        <v>51</v>
      </c>
      <c r="Q268" s="2">
        <v>45</v>
      </c>
      <c r="R268" s="2">
        <v>45</v>
      </c>
      <c r="S268" s="2">
        <v>42</v>
      </c>
      <c r="T268" s="2">
        <v>43</v>
      </c>
      <c r="U268" s="2">
        <v>47</v>
      </c>
      <c r="V268" s="2">
        <v>44</v>
      </c>
      <c r="W268" s="2">
        <v>45</v>
      </c>
      <c r="X268" s="2">
        <v>50</v>
      </c>
      <c r="Y268" s="2">
        <v>58</v>
      </c>
      <c r="Z268" s="2">
        <v>68</v>
      </c>
      <c r="AA268" s="2">
        <v>78</v>
      </c>
      <c r="AC268" s="3">
        <f t="shared" si="4"/>
        <v>66.041666666666671</v>
      </c>
    </row>
    <row r="269" spans="2:29" x14ac:dyDescent="0.25">
      <c r="B269" s="4">
        <v>42634</v>
      </c>
      <c r="C269" s="3">
        <v>265</v>
      </c>
      <c r="D269" s="2">
        <v>78</v>
      </c>
      <c r="E269" s="2">
        <v>79</v>
      </c>
      <c r="F269" s="2">
        <v>78</v>
      </c>
      <c r="G269" s="2">
        <v>81</v>
      </c>
      <c r="H269" s="2">
        <v>86</v>
      </c>
      <c r="I269" s="2">
        <v>89</v>
      </c>
      <c r="J269" s="2">
        <v>100</v>
      </c>
      <c r="K269" s="2">
        <v>100</v>
      </c>
      <c r="L269" s="2">
        <v>96</v>
      </c>
      <c r="M269" s="2">
        <v>66</v>
      </c>
      <c r="N269" s="2">
        <v>53</v>
      </c>
      <c r="O269" s="2">
        <v>47</v>
      </c>
      <c r="P269" s="2">
        <v>38</v>
      </c>
      <c r="Q269" s="2">
        <v>37</v>
      </c>
      <c r="R269" s="2">
        <v>43</v>
      </c>
      <c r="S269" s="2">
        <v>41</v>
      </c>
      <c r="T269" s="2">
        <v>43</v>
      </c>
      <c r="U269" s="2">
        <v>46</v>
      </c>
      <c r="V269" s="2">
        <v>53</v>
      </c>
      <c r="W269" s="2">
        <v>58</v>
      </c>
      <c r="X269" s="2">
        <v>71</v>
      </c>
      <c r="Y269" s="2">
        <v>82</v>
      </c>
      <c r="Z269" s="2">
        <v>87</v>
      </c>
      <c r="AA269" s="2">
        <v>82</v>
      </c>
      <c r="AC269" s="3">
        <f t="shared" si="4"/>
        <v>68.083333333333329</v>
      </c>
    </row>
    <row r="270" spans="2:29" x14ac:dyDescent="0.25">
      <c r="B270" s="4">
        <v>42635</v>
      </c>
      <c r="C270" s="3">
        <v>266</v>
      </c>
      <c r="D270" s="2">
        <v>83</v>
      </c>
      <c r="E270" s="2">
        <v>82</v>
      </c>
      <c r="F270" s="2">
        <v>83</v>
      </c>
      <c r="G270" s="2">
        <v>86</v>
      </c>
      <c r="H270" s="2">
        <v>97</v>
      </c>
      <c r="I270" s="2">
        <v>97</v>
      </c>
      <c r="J270" s="2">
        <v>99</v>
      </c>
      <c r="K270" s="2">
        <v>96</v>
      </c>
      <c r="L270" s="2">
        <v>100</v>
      </c>
      <c r="M270" s="2">
        <v>82</v>
      </c>
      <c r="N270" s="2">
        <v>67</v>
      </c>
      <c r="O270" s="2">
        <v>62</v>
      </c>
      <c r="P270" s="2">
        <v>64</v>
      </c>
      <c r="Q270" s="2">
        <v>57</v>
      </c>
      <c r="R270" s="2">
        <v>61</v>
      </c>
      <c r="S270" s="2">
        <v>58</v>
      </c>
      <c r="T270" s="2">
        <v>65</v>
      </c>
      <c r="U270" s="2">
        <v>65</v>
      </c>
      <c r="V270" s="2">
        <v>71</v>
      </c>
      <c r="W270" s="2">
        <v>75</v>
      </c>
      <c r="X270" s="2">
        <v>78</v>
      </c>
      <c r="Y270" s="2">
        <v>81</v>
      </c>
      <c r="Z270" s="2">
        <v>87</v>
      </c>
      <c r="AA270" s="2">
        <v>99</v>
      </c>
      <c r="AC270" s="3">
        <f t="shared" si="4"/>
        <v>78.958333333333329</v>
      </c>
    </row>
    <row r="271" spans="2:29" x14ac:dyDescent="0.25">
      <c r="B271" s="4">
        <v>42636</v>
      </c>
      <c r="C271" s="3">
        <v>267</v>
      </c>
      <c r="D271" s="2">
        <v>91</v>
      </c>
      <c r="E271" s="2">
        <v>90</v>
      </c>
      <c r="F271" s="2">
        <v>86</v>
      </c>
      <c r="G271" s="2">
        <v>84</v>
      </c>
      <c r="H271" s="2">
        <v>82</v>
      </c>
      <c r="I271" s="2">
        <v>85</v>
      </c>
      <c r="J271" s="2">
        <v>89</v>
      </c>
      <c r="K271" s="2">
        <v>88</v>
      </c>
      <c r="L271" s="2">
        <v>89</v>
      </c>
      <c r="M271" s="2">
        <v>82</v>
      </c>
      <c r="N271" s="2">
        <v>69</v>
      </c>
      <c r="O271" s="2">
        <v>66</v>
      </c>
      <c r="P271" s="2">
        <v>72</v>
      </c>
      <c r="Q271" s="2">
        <v>72</v>
      </c>
      <c r="R271" s="2">
        <v>74</v>
      </c>
      <c r="S271" s="2">
        <v>98</v>
      </c>
      <c r="T271" s="2">
        <v>97</v>
      </c>
      <c r="U271" s="2">
        <v>100</v>
      </c>
      <c r="V271" s="2">
        <v>100</v>
      </c>
      <c r="W271" s="2">
        <v>100</v>
      </c>
      <c r="X271" s="2">
        <v>100</v>
      </c>
      <c r="Y271" s="2">
        <v>100</v>
      </c>
      <c r="Z271" s="2">
        <v>100</v>
      </c>
      <c r="AA271" s="2">
        <v>96</v>
      </c>
      <c r="AC271" s="3">
        <f t="shared" si="4"/>
        <v>87.916666666666671</v>
      </c>
    </row>
    <row r="272" spans="2:29" x14ac:dyDescent="0.25">
      <c r="B272" s="4">
        <v>42637</v>
      </c>
      <c r="C272" s="3">
        <v>268</v>
      </c>
      <c r="D272" s="2">
        <v>91</v>
      </c>
      <c r="E272" s="2">
        <v>99</v>
      </c>
      <c r="F272" s="2">
        <v>100</v>
      </c>
      <c r="G272" s="2">
        <v>100</v>
      </c>
      <c r="H272" s="2">
        <v>88</v>
      </c>
      <c r="I272" s="2">
        <v>99</v>
      </c>
      <c r="J272" s="2">
        <v>100</v>
      </c>
      <c r="K272" s="2">
        <v>99</v>
      </c>
      <c r="L272" s="2">
        <v>93</v>
      </c>
      <c r="M272" s="2">
        <v>92</v>
      </c>
      <c r="N272" s="2">
        <v>66</v>
      </c>
      <c r="O272" s="2">
        <v>58</v>
      </c>
      <c r="P272" s="2">
        <v>55</v>
      </c>
      <c r="Q272" s="2">
        <v>62</v>
      </c>
      <c r="R272" s="2">
        <v>64</v>
      </c>
      <c r="S272" s="2">
        <v>67</v>
      </c>
      <c r="T272" s="2">
        <v>64</v>
      </c>
      <c r="U272" s="2">
        <v>66</v>
      </c>
      <c r="V272" s="2">
        <v>64</v>
      </c>
      <c r="W272" s="2">
        <v>71</v>
      </c>
      <c r="X272" s="2">
        <v>84</v>
      </c>
      <c r="Y272" s="2">
        <v>100</v>
      </c>
      <c r="Z272" s="2">
        <v>100</v>
      </c>
      <c r="AA272" s="2">
        <v>100</v>
      </c>
      <c r="AC272" s="3">
        <f t="shared" si="4"/>
        <v>82.583333333333329</v>
      </c>
    </row>
    <row r="273" spans="2:29" x14ac:dyDescent="0.25">
      <c r="B273" s="4">
        <v>42638</v>
      </c>
      <c r="C273" s="3">
        <v>269</v>
      </c>
      <c r="D273" s="2">
        <v>100</v>
      </c>
      <c r="E273" s="2">
        <v>100</v>
      </c>
      <c r="F273" s="2">
        <v>100</v>
      </c>
      <c r="G273" s="2">
        <v>100</v>
      </c>
      <c r="H273" s="2">
        <v>100</v>
      </c>
      <c r="I273" s="2">
        <v>100</v>
      </c>
      <c r="J273" s="2">
        <v>100</v>
      </c>
      <c r="K273" s="2">
        <v>100</v>
      </c>
      <c r="L273" s="2">
        <v>98</v>
      </c>
      <c r="M273" s="2">
        <v>76</v>
      </c>
      <c r="N273" s="2">
        <v>71</v>
      </c>
      <c r="O273" s="2">
        <v>67</v>
      </c>
      <c r="P273" s="2">
        <v>67</v>
      </c>
      <c r="Q273" s="2">
        <v>69</v>
      </c>
      <c r="R273" s="2">
        <v>67</v>
      </c>
      <c r="S273" s="2">
        <v>67</v>
      </c>
      <c r="T273" s="2">
        <v>65</v>
      </c>
      <c r="U273" s="2">
        <v>64</v>
      </c>
      <c r="V273" s="2">
        <v>65</v>
      </c>
      <c r="W273" s="2">
        <v>70</v>
      </c>
      <c r="X273" s="2">
        <v>74</v>
      </c>
      <c r="Y273" s="2">
        <v>76</v>
      </c>
      <c r="Z273" s="2">
        <v>97</v>
      </c>
      <c r="AA273" s="2">
        <v>98</v>
      </c>
      <c r="AC273" s="3">
        <f t="shared" si="4"/>
        <v>82.958333333333329</v>
      </c>
    </row>
    <row r="274" spans="2:29" x14ac:dyDescent="0.25">
      <c r="B274" s="4">
        <v>42639</v>
      </c>
      <c r="C274" s="3">
        <v>270</v>
      </c>
      <c r="D274" s="2">
        <v>99</v>
      </c>
      <c r="E274" s="2">
        <v>100</v>
      </c>
      <c r="F274" s="2">
        <v>100</v>
      </c>
      <c r="G274" s="2">
        <v>100</v>
      </c>
      <c r="H274" s="2">
        <v>100</v>
      </c>
      <c r="I274" s="2">
        <v>100</v>
      </c>
      <c r="J274" s="2">
        <v>100</v>
      </c>
      <c r="K274" s="2">
        <v>100</v>
      </c>
      <c r="L274" s="2">
        <v>100</v>
      </c>
      <c r="M274" s="2">
        <v>100</v>
      </c>
      <c r="N274" s="2">
        <v>82</v>
      </c>
      <c r="O274" s="2">
        <v>64</v>
      </c>
      <c r="P274" s="2">
        <v>64</v>
      </c>
      <c r="Q274" s="2">
        <v>65</v>
      </c>
      <c r="R274" s="2">
        <v>66</v>
      </c>
      <c r="S274" s="2">
        <v>63</v>
      </c>
      <c r="T274" s="2">
        <v>68</v>
      </c>
      <c r="U274" s="2">
        <v>65</v>
      </c>
      <c r="V274" s="2">
        <v>69</v>
      </c>
      <c r="W274" s="2">
        <v>76</v>
      </c>
      <c r="X274" s="2">
        <v>80</v>
      </c>
      <c r="Y274" s="2">
        <v>100</v>
      </c>
      <c r="Z274" s="2">
        <v>100</v>
      </c>
      <c r="AA274" s="2">
        <v>100</v>
      </c>
      <c r="AC274" s="3">
        <f t="shared" si="4"/>
        <v>85.875</v>
      </c>
    </row>
    <row r="275" spans="2:29" x14ac:dyDescent="0.25">
      <c r="B275" s="4">
        <v>42640</v>
      </c>
      <c r="C275" s="3">
        <v>271</v>
      </c>
      <c r="D275" s="2">
        <v>99</v>
      </c>
      <c r="E275" s="2">
        <v>100</v>
      </c>
      <c r="F275" s="2">
        <v>100</v>
      </c>
      <c r="G275" s="2">
        <v>100</v>
      </c>
      <c r="H275" s="2">
        <v>100</v>
      </c>
      <c r="I275" s="2">
        <v>100</v>
      </c>
      <c r="J275" s="2">
        <v>100</v>
      </c>
      <c r="K275" s="2">
        <v>100</v>
      </c>
      <c r="L275" s="2">
        <v>100</v>
      </c>
      <c r="M275" s="2">
        <v>99</v>
      </c>
      <c r="N275" s="2">
        <v>88</v>
      </c>
      <c r="O275" s="2">
        <v>68</v>
      </c>
      <c r="P275" s="2">
        <v>67</v>
      </c>
      <c r="Q275" s="2">
        <v>69</v>
      </c>
      <c r="R275" s="2">
        <v>71</v>
      </c>
      <c r="S275" s="2">
        <v>65</v>
      </c>
      <c r="T275" s="2">
        <v>66</v>
      </c>
      <c r="U275" s="2">
        <v>67</v>
      </c>
      <c r="V275" s="2">
        <v>70</v>
      </c>
      <c r="W275" s="2">
        <v>71</v>
      </c>
      <c r="X275" s="2">
        <v>75</v>
      </c>
      <c r="Y275" s="2">
        <v>82</v>
      </c>
      <c r="Z275" s="2">
        <v>95</v>
      </c>
      <c r="AA275" s="2">
        <v>92</v>
      </c>
      <c r="AC275" s="3">
        <f t="shared" si="4"/>
        <v>85.166666666666671</v>
      </c>
    </row>
    <row r="276" spans="2:29" x14ac:dyDescent="0.25">
      <c r="B276" s="4">
        <v>42641</v>
      </c>
      <c r="C276" s="3">
        <v>272</v>
      </c>
      <c r="D276" s="2">
        <v>90</v>
      </c>
      <c r="E276" s="2">
        <v>89</v>
      </c>
      <c r="F276" s="2">
        <v>100</v>
      </c>
      <c r="G276" s="2">
        <v>100</v>
      </c>
      <c r="H276" s="2">
        <v>100</v>
      </c>
      <c r="I276" s="2">
        <v>100</v>
      </c>
      <c r="J276" s="2">
        <v>100</v>
      </c>
      <c r="K276" s="2">
        <v>100</v>
      </c>
      <c r="L276" s="2">
        <v>100</v>
      </c>
      <c r="M276" s="2">
        <v>92</v>
      </c>
      <c r="N276" s="2">
        <v>67</v>
      </c>
      <c r="O276" s="2">
        <v>42</v>
      </c>
      <c r="P276" s="2">
        <v>39</v>
      </c>
      <c r="Q276" s="2">
        <v>42</v>
      </c>
      <c r="R276" s="2">
        <v>46</v>
      </c>
      <c r="S276" s="2">
        <v>49</v>
      </c>
      <c r="T276" s="2">
        <v>48</v>
      </c>
      <c r="U276" s="2">
        <v>45</v>
      </c>
      <c r="V276" s="2">
        <v>52</v>
      </c>
      <c r="W276" s="2">
        <v>66</v>
      </c>
      <c r="X276" s="2">
        <v>77</v>
      </c>
      <c r="Y276" s="2">
        <v>96</v>
      </c>
      <c r="Z276" s="2">
        <v>100</v>
      </c>
      <c r="AA276" s="2">
        <v>100</v>
      </c>
      <c r="AC276" s="3">
        <f t="shared" si="4"/>
        <v>76.666666666666671</v>
      </c>
    </row>
    <row r="277" spans="2:29" x14ac:dyDescent="0.25">
      <c r="B277" s="4">
        <v>42642</v>
      </c>
      <c r="C277" s="3">
        <v>273</v>
      </c>
      <c r="D277" s="2">
        <v>100</v>
      </c>
      <c r="E277" s="2">
        <v>100</v>
      </c>
      <c r="F277" s="2">
        <v>100</v>
      </c>
      <c r="G277" s="2">
        <v>100</v>
      </c>
      <c r="H277" s="2">
        <v>100</v>
      </c>
      <c r="I277" s="2">
        <v>100</v>
      </c>
      <c r="J277" s="2">
        <v>100</v>
      </c>
      <c r="K277" s="2">
        <v>100</v>
      </c>
      <c r="L277" s="2">
        <v>100</v>
      </c>
      <c r="M277" s="2">
        <v>83</v>
      </c>
      <c r="N277" s="2">
        <v>66</v>
      </c>
      <c r="O277" s="2">
        <v>56</v>
      </c>
      <c r="P277" s="2">
        <v>53</v>
      </c>
      <c r="Q277" s="2">
        <v>52</v>
      </c>
      <c r="R277" s="2">
        <v>50</v>
      </c>
      <c r="S277" s="2">
        <v>52</v>
      </c>
      <c r="T277" s="2">
        <v>57</v>
      </c>
      <c r="U277" s="2">
        <v>60</v>
      </c>
      <c r="V277" s="2">
        <v>64</v>
      </c>
      <c r="W277" s="2">
        <v>72</v>
      </c>
      <c r="X277" s="2">
        <v>84</v>
      </c>
      <c r="Y277" s="2">
        <v>100</v>
      </c>
      <c r="Z277" s="2">
        <v>100</v>
      </c>
      <c r="AA277" s="2">
        <v>100</v>
      </c>
      <c r="AC277" s="3">
        <f t="shared" si="4"/>
        <v>81.208333333333329</v>
      </c>
    </row>
    <row r="278" spans="2:29" x14ac:dyDescent="0.25">
      <c r="B278" s="4">
        <v>42643</v>
      </c>
      <c r="C278" s="3">
        <v>274</v>
      </c>
      <c r="D278" s="2">
        <v>100</v>
      </c>
      <c r="E278" s="2">
        <v>100</v>
      </c>
      <c r="F278" s="2">
        <v>100</v>
      </c>
      <c r="G278" s="2">
        <v>100</v>
      </c>
      <c r="H278" s="2">
        <v>100</v>
      </c>
      <c r="I278" s="2">
        <v>100</v>
      </c>
      <c r="J278" s="2">
        <v>100</v>
      </c>
      <c r="K278" s="2">
        <v>100</v>
      </c>
      <c r="L278" s="2">
        <v>100</v>
      </c>
      <c r="M278" s="2">
        <v>78</v>
      </c>
      <c r="N278" s="2">
        <v>70</v>
      </c>
      <c r="O278" s="2">
        <v>64</v>
      </c>
      <c r="P278" s="2">
        <v>62</v>
      </c>
      <c r="Q278" s="2">
        <v>58</v>
      </c>
      <c r="R278" s="2">
        <v>61</v>
      </c>
      <c r="S278" s="2">
        <v>61</v>
      </c>
      <c r="T278" s="2">
        <v>66</v>
      </c>
      <c r="U278" s="2">
        <v>63</v>
      </c>
      <c r="V278" s="2">
        <v>62</v>
      </c>
      <c r="W278" s="2">
        <v>70</v>
      </c>
      <c r="X278" s="2">
        <v>84</v>
      </c>
      <c r="Y278" s="2">
        <v>100</v>
      </c>
      <c r="Z278" s="2">
        <v>100</v>
      </c>
      <c r="AA278" s="2">
        <v>100</v>
      </c>
      <c r="AC278" s="3">
        <f t="shared" si="4"/>
        <v>83.291666666666671</v>
      </c>
    </row>
    <row r="279" spans="2:29" x14ac:dyDescent="0.25">
      <c r="B279" s="4">
        <v>42644</v>
      </c>
      <c r="C279" s="3">
        <v>275</v>
      </c>
      <c r="D279" s="2">
        <v>100</v>
      </c>
      <c r="E279" s="2">
        <v>100</v>
      </c>
      <c r="F279" s="2">
        <v>100</v>
      </c>
      <c r="G279" s="2">
        <v>100</v>
      </c>
      <c r="H279" s="2">
        <v>100</v>
      </c>
      <c r="I279" s="2">
        <v>100</v>
      </c>
      <c r="J279" s="2">
        <v>100</v>
      </c>
      <c r="K279" s="2">
        <v>100</v>
      </c>
      <c r="L279" s="2">
        <v>100</v>
      </c>
      <c r="M279" s="2">
        <v>97</v>
      </c>
      <c r="N279" s="2">
        <v>84</v>
      </c>
      <c r="O279" s="2">
        <v>79</v>
      </c>
      <c r="P279" s="2">
        <v>65</v>
      </c>
      <c r="Q279" s="2">
        <v>65</v>
      </c>
      <c r="R279" s="2">
        <v>66</v>
      </c>
      <c r="S279" s="2">
        <v>64</v>
      </c>
      <c r="T279" s="2">
        <v>64</v>
      </c>
      <c r="U279" s="2">
        <v>67</v>
      </c>
      <c r="V279" s="2">
        <v>73</v>
      </c>
      <c r="W279" s="2">
        <v>82</v>
      </c>
      <c r="X279" s="2">
        <v>95</v>
      </c>
      <c r="Y279" s="2">
        <v>100</v>
      </c>
      <c r="Z279" s="2">
        <v>100</v>
      </c>
      <c r="AA279" s="2">
        <v>100</v>
      </c>
      <c r="AC279" s="3">
        <f t="shared" si="4"/>
        <v>87.541666666666671</v>
      </c>
    </row>
    <row r="280" spans="2:29" x14ac:dyDescent="0.25">
      <c r="B280" s="4">
        <v>42645</v>
      </c>
      <c r="C280" s="3">
        <v>276</v>
      </c>
      <c r="D280" s="2">
        <v>100</v>
      </c>
      <c r="E280" s="2">
        <v>100</v>
      </c>
      <c r="F280" s="2">
        <v>100</v>
      </c>
      <c r="G280" s="2">
        <v>100</v>
      </c>
      <c r="H280" s="2">
        <v>100</v>
      </c>
      <c r="I280" s="2">
        <v>100</v>
      </c>
      <c r="J280" s="2">
        <v>100</v>
      </c>
      <c r="K280" s="2">
        <v>100</v>
      </c>
      <c r="L280" s="2">
        <v>100</v>
      </c>
      <c r="M280" s="2">
        <v>90</v>
      </c>
      <c r="N280" s="2">
        <v>82</v>
      </c>
      <c r="O280" s="2">
        <v>93</v>
      </c>
      <c r="P280" s="2">
        <v>87</v>
      </c>
      <c r="Q280" s="2">
        <v>74</v>
      </c>
      <c r="R280" s="2">
        <v>73</v>
      </c>
      <c r="S280" s="2">
        <v>69</v>
      </c>
      <c r="T280" s="2">
        <v>67</v>
      </c>
      <c r="U280" s="2">
        <v>71</v>
      </c>
      <c r="V280" s="2">
        <v>76</v>
      </c>
      <c r="W280" s="2">
        <v>81</v>
      </c>
      <c r="X280" s="2">
        <v>99</v>
      </c>
      <c r="Y280" s="2">
        <v>100</v>
      </c>
      <c r="Z280" s="2">
        <v>100</v>
      </c>
      <c r="AA280" s="2">
        <v>100</v>
      </c>
      <c r="AC280" s="3">
        <f t="shared" si="4"/>
        <v>90.083333333333329</v>
      </c>
    </row>
    <row r="281" spans="2:29" x14ac:dyDescent="0.25">
      <c r="B281" s="4">
        <v>42646</v>
      </c>
      <c r="C281" s="3">
        <v>277</v>
      </c>
      <c r="D281" s="2">
        <v>100</v>
      </c>
      <c r="E281" s="2">
        <v>100</v>
      </c>
      <c r="F281" s="2">
        <v>100</v>
      </c>
      <c r="G281" s="2">
        <v>100</v>
      </c>
      <c r="H281" s="2">
        <v>100</v>
      </c>
      <c r="I281" s="2">
        <v>100</v>
      </c>
      <c r="J281" s="2">
        <v>96</v>
      </c>
      <c r="K281" s="2">
        <v>97</v>
      </c>
      <c r="L281" s="2">
        <v>92</v>
      </c>
      <c r="M281" s="2">
        <v>88</v>
      </c>
      <c r="N281" s="2">
        <v>81</v>
      </c>
      <c r="O281" s="2">
        <v>77</v>
      </c>
      <c r="P281" s="2">
        <v>73</v>
      </c>
      <c r="Q281" s="2">
        <v>73</v>
      </c>
      <c r="R281" s="2">
        <v>72</v>
      </c>
      <c r="S281" s="2">
        <v>71</v>
      </c>
      <c r="T281" s="2">
        <v>74</v>
      </c>
      <c r="U281" s="2">
        <v>79</v>
      </c>
      <c r="V281" s="2">
        <v>77</v>
      </c>
      <c r="W281" s="2">
        <v>86</v>
      </c>
      <c r="X281" s="2">
        <v>98</v>
      </c>
      <c r="Y281" s="2">
        <v>100</v>
      </c>
      <c r="Z281" s="2">
        <v>100</v>
      </c>
      <c r="AA281" s="2">
        <v>100</v>
      </c>
      <c r="AC281" s="3">
        <f t="shared" si="4"/>
        <v>88.916666666666671</v>
      </c>
    </row>
    <row r="282" spans="2:29" x14ac:dyDescent="0.25">
      <c r="B282" s="4">
        <v>42647</v>
      </c>
      <c r="C282" s="3">
        <v>278</v>
      </c>
      <c r="D282" s="2">
        <v>100</v>
      </c>
      <c r="E282" s="2">
        <v>100</v>
      </c>
      <c r="F282" s="2">
        <v>100</v>
      </c>
      <c r="G282" s="2">
        <v>100</v>
      </c>
      <c r="H282" s="2">
        <v>100</v>
      </c>
      <c r="I282" s="2">
        <v>100</v>
      </c>
      <c r="J282" s="2">
        <v>100</v>
      </c>
      <c r="K282" s="2">
        <v>100</v>
      </c>
      <c r="L282" s="2">
        <v>100</v>
      </c>
      <c r="M282" s="2">
        <v>100</v>
      </c>
      <c r="N282" s="2">
        <v>82</v>
      </c>
      <c r="O282" s="2">
        <v>75</v>
      </c>
      <c r="P282" s="2">
        <v>65</v>
      </c>
      <c r="Q282" s="2">
        <v>63</v>
      </c>
      <c r="R282" s="2">
        <v>62</v>
      </c>
      <c r="S282" s="2">
        <v>62</v>
      </c>
      <c r="T282" s="2">
        <v>70</v>
      </c>
      <c r="U282" s="2">
        <v>73</v>
      </c>
      <c r="V282" s="2">
        <v>75</v>
      </c>
      <c r="W282" s="2">
        <v>79</v>
      </c>
      <c r="X282" s="2">
        <v>82</v>
      </c>
      <c r="Y282" s="2">
        <v>100</v>
      </c>
      <c r="Z282" s="2">
        <v>100</v>
      </c>
      <c r="AA282" s="2">
        <v>100</v>
      </c>
      <c r="AC282" s="3">
        <f t="shared" si="4"/>
        <v>87</v>
      </c>
    </row>
    <row r="283" spans="2:29" x14ac:dyDescent="0.25">
      <c r="B283" s="4">
        <v>42648</v>
      </c>
      <c r="C283" s="3">
        <v>279</v>
      </c>
      <c r="D283" s="2">
        <v>97</v>
      </c>
      <c r="E283" s="2">
        <v>92</v>
      </c>
      <c r="F283" s="2">
        <v>89</v>
      </c>
      <c r="G283" s="2">
        <v>88</v>
      </c>
      <c r="H283" s="2">
        <v>86</v>
      </c>
      <c r="I283" s="2">
        <v>89</v>
      </c>
      <c r="J283" s="2">
        <v>85</v>
      </c>
      <c r="K283" s="2">
        <v>91</v>
      </c>
      <c r="L283" s="2">
        <v>100</v>
      </c>
      <c r="M283" s="2">
        <v>85</v>
      </c>
      <c r="N283" s="2">
        <v>51</v>
      </c>
      <c r="O283" s="2">
        <v>48</v>
      </c>
      <c r="P283" s="2">
        <v>47</v>
      </c>
      <c r="Q283" s="2">
        <v>49</v>
      </c>
      <c r="R283" s="2">
        <v>51</v>
      </c>
      <c r="S283" s="2">
        <v>56</v>
      </c>
      <c r="T283" s="2">
        <v>58</v>
      </c>
      <c r="U283" s="2">
        <v>59</v>
      </c>
      <c r="V283" s="2">
        <v>63</v>
      </c>
      <c r="W283" s="2">
        <v>70</v>
      </c>
      <c r="X283" s="2">
        <v>78</v>
      </c>
      <c r="Y283" s="2">
        <v>98</v>
      </c>
      <c r="Z283" s="2">
        <v>100</v>
      </c>
      <c r="AA283" s="2">
        <v>100</v>
      </c>
      <c r="AC283" s="3">
        <f t="shared" si="4"/>
        <v>76.25</v>
      </c>
    </row>
    <row r="284" spans="2:29" x14ac:dyDescent="0.25">
      <c r="B284" s="4">
        <v>42649</v>
      </c>
      <c r="C284" s="3">
        <v>280</v>
      </c>
      <c r="D284" s="2">
        <v>90</v>
      </c>
      <c r="E284" s="2">
        <v>84</v>
      </c>
      <c r="F284" s="2">
        <v>84</v>
      </c>
      <c r="G284" s="2">
        <v>90</v>
      </c>
      <c r="H284" s="2">
        <v>89</v>
      </c>
      <c r="I284" s="2">
        <v>86</v>
      </c>
      <c r="J284" s="2">
        <v>88</v>
      </c>
      <c r="K284" s="2">
        <v>86</v>
      </c>
      <c r="L284" s="2">
        <v>78</v>
      </c>
      <c r="M284" s="2">
        <v>100</v>
      </c>
      <c r="N284" s="2">
        <v>99</v>
      </c>
      <c r="O284" s="2">
        <v>89</v>
      </c>
      <c r="P284" s="2">
        <v>82</v>
      </c>
      <c r="Q284" s="2">
        <v>81</v>
      </c>
      <c r="R284" s="2">
        <v>99</v>
      </c>
      <c r="S284" s="2">
        <v>91</v>
      </c>
      <c r="T284" s="2">
        <v>71</v>
      </c>
      <c r="U284" s="2">
        <v>71</v>
      </c>
      <c r="V284" s="2">
        <v>80</v>
      </c>
      <c r="W284" s="2">
        <v>79</v>
      </c>
      <c r="X284" s="2">
        <v>83</v>
      </c>
      <c r="Y284" s="2">
        <v>84</v>
      </c>
      <c r="Z284" s="2">
        <v>77</v>
      </c>
      <c r="AA284" s="2">
        <v>78</v>
      </c>
      <c r="AC284" s="3">
        <f t="shared" si="4"/>
        <v>84.958333333333329</v>
      </c>
    </row>
    <row r="285" spans="2:29" x14ac:dyDescent="0.25">
      <c r="B285" s="4">
        <v>42650</v>
      </c>
      <c r="C285" s="3">
        <v>281</v>
      </c>
      <c r="D285" s="2">
        <v>83</v>
      </c>
      <c r="E285" s="2">
        <v>91</v>
      </c>
      <c r="F285" s="2">
        <v>100</v>
      </c>
      <c r="G285" s="2">
        <v>100</v>
      </c>
      <c r="H285" s="2">
        <v>100</v>
      </c>
      <c r="I285" s="2">
        <v>100</v>
      </c>
      <c r="J285" s="2">
        <v>100</v>
      </c>
      <c r="K285" s="2">
        <v>100</v>
      </c>
      <c r="L285" s="2">
        <v>100</v>
      </c>
      <c r="M285" s="2">
        <v>100</v>
      </c>
      <c r="N285" s="2">
        <v>77</v>
      </c>
      <c r="O285" s="2">
        <v>73</v>
      </c>
      <c r="P285" s="2">
        <v>66</v>
      </c>
      <c r="Q285" s="2">
        <v>65</v>
      </c>
      <c r="R285" s="2">
        <v>68</v>
      </c>
      <c r="S285" s="2">
        <v>65</v>
      </c>
      <c r="T285" s="2">
        <v>66</v>
      </c>
      <c r="U285" s="2">
        <v>72</v>
      </c>
      <c r="V285" s="2">
        <v>77</v>
      </c>
      <c r="W285" s="2">
        <v>81</v>
      </c>
      <c r="X285" s="2">
        <v>98</v>
      </c>
      <c r="Y285" s="2">
        <v>100</v>
      </c>
      <c r="Z285" s="2">
        <v>100</v>
      </c>
      <c r="AA285" s="2">
        <v>100</v>
      </c>
      <c r="AC285" s="3">
        <f t="shared" si="4"/>
        <v>86.75</v>
      </c>
    </row>
    <row r="286" spans="2:29" x14ac:dyDescent="0.25">
      <c r="B286" s="4">
        <v>42651</v>
      </c>
      <c r="C286" s="3">
        <v>282</v>
      </c>
      <c r="D286" s="2">
        <v>100</v>
      </c>
      <c r="E286" s="2">
        <v>100</v>
      </c>
      <c r="F286" s="2">
        <v>100</v>
      </c>
      <c r="G286" s="2">
        <v>100</v>
      </c>
      <c r="H286" s="2">
        <v>100</v>
      </c>
      <c r="I286" s="2">
        <v>100</v>
      </c>
      <c r="J286" s="2">
        <v>100</v>
      </c>
      <c r="K286" s="2">
        <v>100</v>
      </c>
      <c r="L286" s="2">
        <v>100</v>
      </c>
      <c r="M286" s="2">
        <v>98</v>
      </c>
      <c r="N286" s="2">
        <v>72</v>
      </c>
      <c r="O286" s="2">
        <v>53</v>
      </c>
      <c r="P286" s="2">
        <v>44</v>
      </c>
      <c r="Q286" s="2">
        <v>48</v>
      </c>
      <c r="R286" s="2">
        <v>53</v>
      </c>
      <c r="S286" s="2">
        <v>68</v>
      </c>
      <c r="T286" s="2">
        <v>75</v>
      </c>
      <c r="U286" s="2">
        <v>76</v>
      </c>
      <c r="V286" s="2">
        <v>79</v>
      </c>
      <c r="W286" s="2">
        <v>82</v>
      </c>
      <c r="X286" s="2">
        <v>86</v>
      </c>
      <c r="Y286" s="2">
        <v>87</v>
      </c>
      <c r="Z286" s="2">
        <v>93</v>
      </c>
      <c r="AA286" s="2">
        <v>89</v>
      </c>
      <c r="AC286" s="3">
        <f t="shared" si="4"/>
        <v>83.458333333333329</v>
      </c>
    </row>
    <row r="287" spans="2:29" x14ac:dyDescent="0.25">
      <c r="B287" s="4">
        <v>42652</v>
      </c>
      <c r="C287" s="3">
        <v>283</v>
      </c>
      <c r="D287" s="2">
        <v>93</v>
      </c>
      <c r="E287" s="2">
        <v>100</v>
      </c>
      <c r="F287" s="2">
        <v>100</v>
      </c>
      <c r="G287" s="2">
        <v>88</v>
      </c>
      <c r="H287" s="2">
        <v>95</v>
      </c>
      <c r="I287" s="2">
        <v>100</v>
      </c>
      <c r="J287" s="2">
        <v>100</v>
      </c>
      <c r="K287" s="2">
        <v>100</v>
      </c>
      <c r="L287" s="2">
        <v>100</v>
      </c>
      <c r="M287" s="2">
        <v>100</v>
      </c>
      <c r="N287" s="2">
        <v>81</v>
      </c>
      <c r="O287" s="2">
        <v>99</v>
      </c>
      <c r="P287" s="2">
        <v>100</v>
      </c>
      <c r="Q287" s="2">
        <v>100</v>
      </c>
      <c r="R287" s="2">
        <v>100</v>
      </c>
      <c r="S287" s="2">
        <v>100</v>
      </c>
      <c r="T287" s="2">
        <v>100</v>
      </c>
      <c r="U287" s="2">
        <v>100</v>
      </c>
      <c r="V287" s="2">
        <v>100</v>
      </c>
      <c r="W287" s="2">
        <v>100</v>
      </c>
      <c r="X287" s="2">
        <v>100</v>
      </c>
      <c r="Y287" s="2">
        <v>100</v>
      </c>
      <c r="Z287" s="2">
        <v>100</v>
      </c>
      <c r="AA287" s="2">
        <v>100</v>
      </c>
      <c r="AC287" s="3">
        <f t="shared" si="4"/>
        <v>98.166666666666671</v>
      </c>
    </row>
    <row r="288" spans="2:29" x14ac:dyDescent="0.25">
      <c r="B288" s="4">
        <v>42653</v>
      </c>
      <c r="C288" s="3">
        <v>284</v>
      </c>
      <c r="D288" s="2">
        <v>100</v>
      </c>
      <c r="E288" s="2">
        <v>100</v>
      </c>
      <c r="F288" s="2">
        <v>100</v>
      </c>
      <c r="G288" s="2">
        <v>100</v>
      </c>
      <c r="H288" s="2">
        <v>91</v>
      </c>
      <c r="I288" s="2">
        <v>100</v>
      </c>
      <c r="J288" s="2">
        <v>100</v>
      </c>
      <c r="K288" s="2">
        <v>96</v>
      </c>
      <c r="L288" s="2">
        <v>90</v>
      </c>
      <c r="M288" s="2">
        <v>90</v>
      </c>
      <c r="N288" s="2">
        <v>83</v>
      </c>
      <c r="O288" s="2">
        <v>73</v>
      </c>
      <c r="P288" s="2">
        <v>60</v>
      </c>
      <c r="Q288" s="2">
        <v>56</v>
      </c>
      <c r="R288" s="2">
        <v>52</v>
      </c>
      <c r="S288" s="2">
        <v>58</v>
      </c>
      <c r="T288" s="2">
        <v>60</v>
      </c>
      <c r="U288" s="2">
        <v>61</v>
      </c>
      <c r="V288" s="2">
        <v>71</v>
      </c>
      <c r="W288" s="2">
        <v>76</v>
      </c>
      <c r="X288" s="2">
        <v>99</v>
      </c>
      <c r="Y288" s="2">
        <v>100</v>
      </c>
      <c r="Z288" s="2">
        <v>100</v>
      </c>
      <c r="AA288" s="2">
        <v>100</v>
      </c>
      <c r="AC288" s="3">
        <f t="shared" si="4"/>
        <v>84</v>
      </c>
    </row>
    <row r="289" spans="2:29" x14ac:dyDescent="0.25">
      <c r="B289" s="4">
        <v>42654</v>
      </c>
      <c r="C289" s="3">
        <v>285</v>
      </c>
      <c r="D289" s="2">
        <v>100</v>
      </c>
      <c r="E289" s="2">
        <v>100</v>
      </c>
      <c r="F289" s="2">
        <v>100</v>
      </c>
      <c r="G289" s="2">
        <v>100</v>
      </c>
      <c r="H289" s="2">
        <v>100</v>
      </c>
      <c r="I289" s="2">
        <v>79</v>
      </c>
      <c r="J289" s="2">
        <v>95</v>
      </c>
      <c r="K289" s="2">
        <v>100</v>
      </c>
      <c r="L289" s="2">
        <v>100</v>
      </c>
      <c r="M289" s="2">
        <v>77</v>
      </c>
      <c r="N289" s="2">
        <v>57</v>
      </c>
      <c r="O289" s="2">
        <v>46</v>
      </c>
      <c r="P289" s="2">
        <v>38</v>
      </c>
      <c r="Q289" s="2">
        <v>33</v>
      </c>
      <c r="R289" s="2">
        <v>33</v>
      </c>
      <c r="S289" s="2">
        <v>29</v>
      </c>
      <c r="T289" s="2">
        <v>30</v>
      </c>
      <c r="U289" s="2">
        <v>41</v>
      </c>
      <c r="V289" s="2">
        <v>61</v>
      </c>
      <c r="W289" s="2">
        <v>70</v>
      </c>
      <c r="X289" s="2">
        <v>69</v>
      </c>
      <c r="Y289" s="2">
        <v>69</v>
      </c>
      <c r="Z289" s="2">
        <v>68</v>
      </c>
      <c r="AA289" s="2">
        <v>67</v>
      </c>
      <c r="AC289" s="3">
        <f t="shared" si="4"/>
        <v>69.25</v>
      </c>
    </row>
    <row r="290" spans="2:29" x14ac:dyDescent="0.25">
      <c r="B290" s="4">
        <v>42655</v>
      </c>
      <c r="C290" s="3">
        <v>286</v>
      </c>
      <c r="D290" s="2">
        <v>65</v>
      </c>
      <c r="E290" s="2">
        <v>68</v>
      </c>
      <c r="F290" s="2">
        <v>68</v>
      </c>
      <c r="G290" s="2">
        <v>65</v>
      </c>
      <c r="H290" s="2">
        <v>62</v>
      </c>
      <c r="I290" s="2">
        <v>60</v>
      </c>
      <c r="J290" s="2">
        <v>59</v>
      </c>
      <c r="K290" s="2">
        <v>61</v>
      </c>
      <c r="L290" s="2">
        <v>62</v>
      </c>
      <c r="M290" s="2">
        <v>60</v>
      </c>
      <c r="N290" s="2">
        <v>59</v>
      </c>
      <c r="O290" s="2">
        <v>75</v>
      </c>
      <c r="P290" s="2">
        <v>87</v>
      </c>
      <c r="Q290" s="2">
        <v>100</v>
      </c>
      <c r="R290" s="2">
        <v>100</v>
      </c>
      <c r="S290" s="2">
        <v>100</v>
      </c>
      <c r="T290" s="2">
        <v>100</v>
      </c>
      <c r="U290" s="2">
        <v>99</v>
      </c>
      <c r="V290" s="2">
        <v>94</v>
      </c>
      <c r="W290" s="2">
        <v>91</v>
      </c>
      <c r="X290" s="2">
        <v>89</v>
      </c>
      <c r="Y290" s="2">
        <v>98</v>
      </c>
      <c r="Z290" s="2">
        <v>99</v>
      </c>
      <c r="AA290" s="2">
        <v>96</v>
      </c>
      <c r="AC290" s="3">
        <f t="shared" si="4"/>
        <v>79.875</v>
      </c>
    </row>
    <row r="291" spans="2:29" x14ac:dyDescent="0.25">
      <c r="B291" s="4">
        <v>42656</v>
      </c>
      <c r="C291" s="3">
        <v>287</v>
      </c>
      <c r="D291" s="2">
        <v>91</v>
      </c>
      <c r="E291" s="2">
        <v>97</v>
      </c>
      <c r="F291" s="2">
        <v>99</v>
      </c>
      <c r="G291" s="2">
        <v>100</v>
      </c>
      <c r="H291" s="2">
        <v>100</v>
      </c>
      <c r="I291" s="2">
        <v>100</v>
      </c>
      <c r="J291" s="2">
        <v>100</v>
      </c>
      <c r="K291" s="2">
        <v>100</v>
      </c>
      <c r="L291" s="2">
        <v>100</v>
      </c>
      <c r="M291" s="2">
        <v>100</v>
      </c>
      <c r="N291" s="2">
        <v>100</v>
      </c>
      <c r="O291" s="2">
        <v>95</v>
      </c>
      <c r="P291" s="2">
        <v>95</v>
      </c>
      <c r="Q291" s="2">
        <v>82</v>
      </c>
      <c r="R291" s="2">
        <v>80</v>
      </c>
      <c r="S291" s="2">
        <v>79</v>
      </c>
      <c r="T291" s="2">
        <v>91</v>
      </c>
      <c r="U291" s="2">
        <v>70</v>
      </c>
      <c r="V291" s="2">
        <v>85</v>
      </c>
      <c r="W291" s="2">
        <v>100</v>
      </c>
      <c r="X291" s="2">
        <v>100</v>
      </c>
      <c r="Y291" s="2">
        <v>100</v>
      </c>
      <c r="Z291" s="2">
        <v>100</v>
      </c>
      <c r="AA291" s="2">
        <v>100</v>
      </c>
      <c r="AC291" s="3">
        <f t="shared" si="4"/>
        <v>94.333333333333329</v>
      </c>
    </row>
    <row r="292" spans="2:29" x14ac:dyDescent="0.25">
      <c r="B292" s="4">
        <v>42657</v>
      </c>
      <c r="C292" s="3">
        <v>288</v>
      </c>
      <c r="D292" s="2">
        <v>100</v>
      </c>
      <c r="E292" s="2">
        <v>100</v>
      </c>
      <c r="F292" s="2">
        <v>100</v>
      </c>
      <c r="G292" s="2">
        <v>100</v>
      </c>
      <c r="H292" s="2">
        <v>100</v>
      </c>
      <c r="I292" s="2">
        <v>100</v>
      </c>
      <c r="J292" s="2">
        <v>100</v>
      </c>
      <c r="K292" s="2">
        <v>100</v>
      </c>
      <c r="L292" s="2">
        <v>100</v>
      </c>
      <c r="M292" s="2">
        <v>100</v>
      </c>
      <c r="N292" s="2">
        <v>92</v>
      </c>
      <c r="O292" s="2">
        <v>100</v>
      </c>
      <c r="P292" s="2">
        <v>80</v>
      </c>
      <c r="Q292" s="2">
        <v>79</v>
      </c>
      <c r="R292" s="2">
        <v>69</v>
      </c>
      <c r="S292" s="2">
        <v>65</v>
      </c>
      <c r="T292" s="2">
        <v>58</v>
      </c>
      <c r="U292" s="2">
        <v>61</v>
      </c>
      <c r="V292" s="2">
        <v>62</v>
      </c>
      <c r="W292" s="2">
        <v>71</v>
      </c>
      <c r="X292" s="2">
        <v>86</v>
      </c>
      <c r="Y292" s="2">
        <v>97</v>
      </c>
      <c r="Z292" s="2">
        <v>81</v>
      </c>
      <c r="AA292" s="2">
        <v>83</v>
      </c>
      <c r="AC292" s="3">
        <f t="shared" si="4"/>
        <v>86.833333333333329</v>
      </c>
    </row>
    <row r="293" spans="2:29" x14ac:dyDescent="0.25">
      <c r="B293" s="4">
        <v>42658</v>
      </c>
      <c r="C293" s="3">
        <v>289</v>
      </c>
      <c r="D293" s="2">
        <v>75</v>
      </c>
      <c r="E293" s="2">
        <v>84</v>
      </c>
      <c r="F293" s="2">
        <v>98</v>
      </c>
      <c r="G293" s="2">
        <v>92</v>
      </c>
      <c r="H293" s="2">
        <v>87</v>
      </c>
      <c r="I293" s="2">
        <v>85</v>
      </c>
      <c r="J293" s="2">
        <v>82</v>
      </c>
      <c r="K293" s="2">
        <v>86</v>
      </c>
      <c r="L293" s="2">
        <v>100</v>
      </c>
      <c r="M293" s="2">
        <v>84</v>
      </c>
      <c r="N293" s="2">
        <v>67</v>
      </c>
      <c r="O293" s="2">
        <v>57</v>
      </c>
      <c r="P293" s="2">
        <v>51</v>
      </c>
      <c r="Q293" s="2">
        <v>48</v>
      </c>
      <c r="R293" s="2">
        <v>46</v>
      </c>
      <c r="S293" s="2">
        <v>49</v>
      </c>
      <c r="T293" s="2">
        <v>54</v>
      </c>
      <c r="U293" s="2">
        <v>58</v>
      </c>
      <c r="V293" s="2">
        <v>67</v>
      </c>
      <c r="W293" s="2">
        <v>81</v>
      </c>
      <c r="X293" s="2">
        <v>100</v>
      </c>
      <c r="Y293" s="2">
        <v>100</v>
      </c>
      <c r="Z293" s="2">
        <v>100</v>
      </c>
      <c r="AA293" s="2">
        <v>100</v>
      </c>
      <c r="AC293" s="3">
        <f t="shared" si="4"/>
        <v>77.125</v>
      </c>
    </row>
    <row r="294" spans="2:29" x14ac:dyDescent="0.25">
      <c r="B294" s="4">
        <v>42659</v>
      </c>
      <c r="C294" s="3">
        <v>290</v>
      </c>
      <c r="D294" s="2">
        <v>100</v>
      </c>
      <c r="E294" s="2">
        <v>100</v>
      </c>
      <c r="F294" s="2">
        <v>100</v>
      </c>
      <c r="G294" s="2">
        <v>100</v>
      </c>
      <c r="H294" s="2">
        <v>100</v>
      </c>
      <c r="I294" s="2">
        <v>100</v>
      </c>
      <c r="J294" s="2">
        <v>100</v>
      </c>
      <c r="K294" s="2">
        <v>100</v>
      </c>
      <c r="L294" s="2">
        <v>100</v>
      </c>
      <c r="M294" s="2">
        <v>100</v>
      </c>
      <c r="N294" s="2">
        <v>81</v>
      </c>
      <c r="O294" s="2">
        <v>70</v>
      </c>
      <c r="P294" s="2">
        <v>66</v>
      </c>
      <c r="Q294" s="2">
        <v>61</v>
      </c>
      <c r="R294" s="2">
        <v>57</v>
      </c>
      <c r="S294" s="2">
        <v>62</v>
      </c>
      <c r="T294" s="2">
        <v>64</v>
      </c>
      <c r="U294" s="2">
        <v>66</v>
      </c>
      <c r="V294" s="2">
        <v>70</v>
      </c>
      <c r="W294" s="2">
        <v>77</v>
      </c>
      <c r="X294" s="2">
        <v>99</v>
      </c>
      <c r="Y294" s="2">
        <v>100</v>
      </c>
      <c r="Z294" s="2">
        <v>100</v>
      </c>
      <c r="AA294" s="2">
        <v>100</v>
      </c>
      <c r="AC294" s="3">
        <f t="shared" si="4"/>
        <v>86.375</v>
      </c>
    </row>
    <row r="295" spans="2:29" x14ac:dyDescent="0.25">
      <c r="B295" s="4">
        <v>42660</v>
      </c>
      <c r="C295" s="3">
        <v>291</v>
      </c>
      <c r="D295" s="2">
        <v>100</v>
      </c>
      <c r="E295" s="2">
        <v>100</v>
      </c>
      <c r="F295" s="2">
        <v>100</v>
      </c>
      <c r="G295" s="2">
        <v>100</v>
      </c>
      <c r="H295" s="2">
        <v>100</v>
      </c>
      <c r="I295" s="2">
        <v>100</v>
      </c>
      <c r="J295" s="2">
        <v>100</v>
      </c>
      <c r="K295" s="2">
        <v>100</v>
      </c>
      <c r="L295" s="2">
        <v>100</v>
      </c>
      <c r="M295" s="2">
        <v>100</v>
      </c>
      <c r="N295" s="2">
        <v>88</v>
      </c>
      <c r="O295" s="2">
        <v>82</v>
      </c>
      <c r="P295" s="2">
        <v>75</v>
      </c>
      <c r="Q295" s="2">
        <v>69</v>
      </c>
      <c r="R295" s="2">
        <v>68</v>
      </c>
      <c r="S295" s="2">
        <v>73</v>
      </c>
      <c r="T295" s="2">
        <v>75</v>
      </c>
      <c r="U295" s="2">
        <v>83</v>
      </c>
      <c r="V295" s="2">
        <v>87</v>
      </c>
      <c r="W295" s="2">
        <v>98</v>
      </c>
      <c r="X295" s="2">
        <v>100</v>
      </c>
      <c r="Y295" s="2">
        <v>100</v>
      </c>
      <c r="Z295" s="2">
        <v>100</v>
      </c>
      <c r="AA295" s="2">
        <v>100</v>
      </c>
      <c r="AC295" s="3">
        <f t="shared" si="4"/>
        <v>91.583333333333329</v>
      </c>
    </row>
    <row r="296" spans="2:29" x14ac:dyDescent="0.25">
      <c r="B296" s="4">
        <v>42661</v>
      </c>
      <c r="C296" s="3">
        <v>292</v>
      </c>
      <c r="D296" s="2">
        <v>100</v>
      </c>
      <c r="E296" s="2">
        <v>100</v>
      </c>
      <c r="F296" s="2">
        <v>99</v>
      </c>
      <c r="G296" s="2">
        <v>97</v>
      </c>
      <c r="H296" s="2">
        <v>89</v>
      </c>
      <c r="I296" s="2">
        <v>90</v>
      </c>
      <c r="J296" s="2">
        <v>100</v>
      </c>
      <c r="K296" s="2">
        <v>100</v>
      </c>
      <c r="L296" s="2">
        <v>100</v>
      </c>
      <c r="M296" s="2">
        <v>100</v>
      </c>
      <c r="N296" s="2">
        <v>84</v>
      </c>
      <c r="O296" s="2">
        <v>72</v>
      </c>
      <c r="P296" s="2">
        <v>65</v>
      </c>
      <c r="Q296" s="2">
        <v>60</v>
      </c>
      <c r="R296" s="2">
        <v>59</v>
      </c>
      <c r="S296" s="2">
        <v>58</v>
      </c>
      <c r="T296" s="2">
        <v>57</v>
      </c>
      <c r="U296" s="2">
        <v>65</v>
      </c>
      <c r="V296" s="2">
        <v>71</v>
      </c>
      <c r="W296" s="2">
        <v>77</v>
      </c>
      <c r="X296" s="2">
        <v>88</v>
      </c>
      <c r="Y296" s="2">
        <v>100</v>
      </c>
      <c r="Z296" s="2">
        <v>100</v>
      </c>
      <c r="AA296" s="2">
        <v>96</v>
      </c>
      <c r="AC296" s="3">
        <f t="shared" si="4"/>
        <v>84.458333333333329</v>
      </c>
    </row>
    <row r="297" spans="2:29" x14ac:dyDescent="0.25">
      <c r="B297" s="4">
        <v>42662</v>
      </c>
      <c r="C297" s="3">
        <v>293</v>
      </c>
      <c r="D297" s="2">
        <v>100</v>
      </c>
      <c r="E297" s="2">
        <v>100</v>
      </c>
      <c r="F297" s="2">
        <v>100</v>
      </c>
      <c r="G297" s="2">
        <v>100</v>
      </c>
      <c r="H297" s="2">
        <v>100</v>
      </c>
      <c r="I297" s="2">
        <v>100</v>
      </c>
      <c r="J297" s="2">
        <v>100</v>
      </c>
      <c r="K297" s="2">
        <v>100</v>
      </c>
      <c r="L297" s="2">
        <v>100</v>
      </c>
      <c r="M297" s="2">
        <v>99</v>
      </c>
      <c r="N297" s="2">
        <v>72</v>
      </c>
      <c r="O297" s="2">
        <v>57</v>
      </c>
      <c r="P297" s="2">
        <v>55</v>
      </c>
      <c r="Q297" s="2">
        <v>52</v>
      </c>
      <c r="R297" s="2">
        <v>48</v>
      </c>
      <c r="S297" s="2">
        <v>46</v>
      </c>
      <c r="T297" s="2">
        <v>44</v>
      </c>
      <c r="U297" s="2">
        <v>50</v>
      </c>
      <c r="V297" s="2">
        <v>57</v>
      </c>
      <c r="W297" s="2">
        <v>72</v>
      </c>
      <c r="X297" s="2">
        <v>97</v>
      </c>
      <c r="Y297" s="2">
        <v>100</v>
      </c>
      <c r="Z297" s="2">
        <v>99</v>
      </c>
      <c r="AA297" s="2">
        <v>99</v>
      </c>
      <c r="AC297" s="3">
        <f t="shared" si="4"/>
        <v>81.125</v>
      </c>
    </row>
    <row r="298" spans="2:29" x14ac:dyDescent="0.25">
      <c r="B298" s="4">
        <v>42663</v>
      </c>
      <c r="C298" s="3">
        <v>294</v>
      </c>
      <c r="D298" s="2">
        <v>100</v>
      </c>
      <c r="E298" s="2">
        <v>100</v>
      </c>
      <c r="F298" s="2">
        <v>100</v>
      </c>
      <c r="G298" s="2">
        <v>100</v>
      </c>
      <c r="H298" s="2">
        <v>100</v>
      </c>
      <c r="I298" s="2">
        <v>100</v>
      </c>
      <c r="J298" s="2">
        <v>100</v>
      </c>
      <c r="K298" s="2">
        <v>100</v>
      </c>
      <c r="L298" s="2">
        <v>100</v>
      </c>
      <c r="M298" s="2">
        <v>91</v>
      </c>
      <c r="N298" s="2">
        <v>74</v>
      </c>
      <c r="O298" s="2">
        <v>65</v>
      </c>
      <c r="P298" s="2">
        <v>58</v>
      </c>
      <c r="Q298" s="2">
        <v>44</v>
      </c>
      <c r="R298" s="2">
        <v>46</v>
      </c>
      <c r="S298" s="2">
        <v>49</v>
      </c>
      <c r="T298" s="2">
        <v>49</v>
      </c>
      <c r="U298" s="2">
        <v>73</v>
      </c>
      <c r="V298" s="2">
        <v>75</v>
      </c>
      <c r="W298" s="2">
        <v>86</v>
      </c>
      <c r="X298" s="2">
        <v>100</v>
      </c>
      <c r="Y298" s="2">
        <v>100</v>
      </c>
      <c r="Z298" s="2">
        <v>100</v>
      </c>
      <c r="AA298" s="2">
        <v>100</v>
      </c>
      <c r="AC298" s="3">
        <f t="shared" si="4"/>
        <v>83.75</v>
      </c>
    </row>
    <row r="299" spans="2:29" x14ac:dyDescent="0.25">
      <c r="B299" s="4">
        <v>42664</v>
      </c>
      <c r="C299" s="3">
        <v>295</v>
      </c>
      <c r="D299" s="2">
        <v>100</v>
      </c>
      <c r="E299" s="2">
        <v>100</v>
      </c>
      <c r="F299" s="2">
        <v>100</v>
      </c>
      <c r="G299" s="2">
        <v>100</v>
      </c>
      <c r="H299" s="2">
        <v>100</v>
      </c>
      <c r="I299" s="2">
        <v>96</v>
      </c>
      <c r="J299" s="2">
        <v>85</v>
      </c>
      <c r="K299" s="2">
        <v>88</v>
      </c>
      <c r="L299" s="2">
        <v>79</v>
      </c>
      <c r="M299" s="2">
        <v>72</v>
      </c>
      <c r="N299" s="2">
        <v>72</v>
      </c>
      <c r="O299" s="2">
        <v>63</v>
      </c>
      <c r="P299" s="2">
        <v>56</v>
      </c>
      <c r="Q299" s="2">
        <v>54</v>
      </c>
      <c r="R299" s="2">
        <v>59</v>
      </c>
      <c r="S299" s="2">
        <v>63</v>
      </c>
      <c r="T299" s="2">
        <v>68</v>
      </c>
      <c r="U299" s="2">
        <v>77</v>
      </c>
      <c r="V299" s="2">
        <v>100</v>
      </c>
      <c r="W299" s="2">
        <v>100</v>
      </c>
      <c r="X299" s="2">
        <v>100</v>
      </c>
      <c r="Y299" s="2">
        <v>100</v>
      </c>
      <c r="Z299" s="2">
        <v>100</v>
      </c>
      <c r="AA299" s="2">
        <v>100</v>
      </c>
      <c r="AC299" s="3">
        <f t="shared" si="4"/>
        <v>84.666666666666671</v>
      </c>
    </row>
    <row r="300" spans="2:29" x14ac:dyDescent="0.25">
      <c r="B300" s="4">
        <v>42665</v>
      </c>
      <c r="C300" s="3">
        <v>296</v>
      </c>
      <c r="D300" s="2">
        <v>100</v>
      </c>
      <c r="E300" s="2">
        <v>100</v>
      </c>
      <c r="F300" s="2">
        <v>100</v>
      </c>
      <c r="G300" s="2">
        <v>95</v>
      </c>
      <c r="H300" s="2">
        <v>91</v>
      </c>
      <c r="I300" s="2">
        <v>86</v>
      </c>
      <c r="J300" s="2">
        <v>89</v>
      </c>
      <c r="K300" s="2">
        <v>89</v>
      </c>
      <c r="L300" s="2">
        <v>89</v>
      </c>
      <c r="M300" s="2">
        <v>87</v>
      </c>
      <c r="N300" s="2">
        <v>82</v>
      </c>
      <c r="O300" s="2">
        <v>80</v>
      </c>
      <c r="P300" s="2">
        <v>75</v>
      </c>
      <c r="Q300" s="2">
        <v>73</v>
      </c>
      <c r="R300" s="2">
        <v>75</v>
      </c>
      <c r="S300" s="2">
        <v>73</v>
      </c>
      <c r="T300" s="2">
        <v>80</v>
      </c>
      <c r="U300" s="2">
        <v>83</v>
      </c>
      <c r="V300" s="2">
        <v>86</v>
      </c>
      <c r="W300" s="2">
        <v>99</v>
      </c>
      <c r="X300" s="2">
        <v>100</v>
      </c>
      <c r="Y300" s="2">
        <v>100</v>
      </c>
      <c r="Z300" s="2">
        <v>100</v>
      </c>
      <c r="AA300" s="2">
        <v>100</v>
      </c>
      <c r="AC300" s="3">
        <f t="shared" si="4"/>
        <v>88.833333333333329</v>
      </c>
    </row>
    <row r="301" spans="2:29" x14ac:dyDescent="0.25">
      <c r="B301" s="4">
        <v>42666</v>
      </c>
      <c r="C301" s="3">
        <v>297</v>
      </c>
      <c r="D301" s="2">
        <v>100</v>
      </c>
      <c r="E301" s="2">
        <v>100</v>
      </c>
      <c r="F301" s="2">
        <v>100</v>
      </c>
      <c r="G301" s="2">
        <v>100</v>
      </c>
      <c r="H301" s="2">
        <v>100</v>
      </c>
      <c r="I301" s="2">
        <v>100</v>
      </c>
      <c r="J301" s="2">
        <v>100</v>
      </c>
      <c r="K301" s="2">
        <v>100</v>
      </c>
      <c r="L301" s="2">
        <v>100</v>
      </c>
      <c r="M301" s="2">
        <v>98</v>
      </c>
      <c r="N301" s="2">
        <v>94</v>
      </c>
      <c r="O301" s="2">
        <v>84</v>
      </c>
      <c r="P301" s="2">
        <v>77</v>
      </c>
      <c r="Q301" s="2">
        <v>72</v>
      </c>
      <c r="R301" s="2">
        <v>72</v>
      </c>
      <c r="S301" s="2">
        <v>68</v>
      </c>
      <c r="T301" s="2">
        <v>64</v>
      </c>
      <c r="U301" s="2">
        <v>73</v>
      </c>
      <c r="V301" s="2">
        <v>77</v>
      </c>
      <c r="W301" s="2">
        <v>86</v>
      </c>
      <c r="X301" s="2">
        <v>100</v>
      </c>
      <c r="Y301" s="2">
        <v>100</v>
      </c>
      <c r="Z301" s="2">
        <v>100</v>
      </c>
      <c r="AA301" s="2">
        <v>100</v>
      </c>
      <c r="AC301" s="3">
        <f t="shared" si="4"/>
        <v>90.208333333333329</v>
      </c>
    </row>
    <row r="302" spans="2:29" x14ac:dyDescent="0.25">
      <c r="B302" s="4">
        <v>42667</v>
      </c>
      <c r="C302" s="3">
        <v>298</v>
      </c>
      <c r="D302" s="2">
        <v>100</v>
      </c>
      <c r="E302" s="2">
        <v>100</v>
      </c>
      <c r="F302" s="2">
        <v>100</v>
      </c>
      <c r="G302" s="2">
        <v>100</v>
      </c>
      <c r="H302" s="2">
        <v>100</v>
      </c>
      <c r="I302" s="2">
        <v>100</v>
      </c>
      <c r="J302" s="2">
        <v>100</v>
      </c>
      <c r="K302" s="2">
        <v>100</v>
      </c>
      <c r="L302" s="2">
        <v>100</v>
      </c>
      <c r="M302" s="2">
        <v>100</v>
      </c>
      <c r="N302" s="2">
        <v>88</v>
      </c>
      <c r="O302" s="2">
        <v>77</v>
      </c>
      <c r="P302" s="2">
        <v>68</v>
      </c>
      <c r="Q302" s="2">
        <v>66</v>
      </c>
      <c r="R302" s="2">
        <v>70</v>
      </c>
      <c r="S302" s="2">
        <v>75</v>
      </c>
      <c r="T302" s="2">
        <v>91</v>
      </c>
      <c r="U302" s="2">
        <v>85</v>
      </c>
      <c r="V302" s="2">
        <v>86</v>
      </c>
      <c r="W302" s="2">
        <v>100</v>
      </c>
      <c r="X302" s="2">
        <v>100</v>
      </c>
      <c r="Y302" s="2">
        <v>100</v>
      </c>
      <c r="Z302" s="2">
        <v>100</v>
      </c>
      <c r="AA302" s="2">
        <v>100</v>
      </c>
      <c r="AC302" s="3">
        <f t="shared" si="4"/>
        <v>91.916666666666671</v>
      </c>
    </row>
    <row r="303" spans="2:29" x14ac:dyDescent="0.25">
      <c r="B303" s="4">
        <v>42668</v>
      </c>
      <c r="C303" s="3">
        <v>299</v>
      </c>
      <c r="D303" s="2">
        <v>100</v>
      </c>
      <c r="E303" s="2">
        <v>100</v>
      </c>
      <c r="F303" s="2">
        <v>100</v>
      </c>
      <c r="G303" s="2">
        <v>100</v>
      </c>
      <c r="H303" s="2">
        <v>100</v>
      </c>
      <c r="I303" s="2">
        <v>100</v>
      </c>
      <c r="J303" s="2">
        <v>100</v>
      </c>
      <c r="K303" s="2">
        <v>100</v>
      </c>
      <c r="L303" s="2">
        <v>100</v>
      </c>
      <c r="M303" s="2">
        <v>100</v>
      </c>
      <c r="N303" s="2">
        <v>100</v>
      </c>
      <c r="O303" s="2">
        <v>100</v>
      </c>
      <c r="P303" s="2">
        <v>100</v>
      </c>
      <c r="Q303" s="2">
        <v>95</v>
      </c>
      <c r="R303" s="2">
        <v>85</v>
      </c>
      <c r="S303" s="2">
        <v>75</v>
      </c>
      <c r="T303" s="2">
        <v>76</v>
      </c>
      <c r="U303" s="2">
        <v>74</v>
      </c>
      <c r="V303" s="2">
        <v>91</v>
      </c>
      <c r="W303" s="2">
        <v>100</v>
      </c>
      <c r="X303" s="2">
        <v>95</v>
      </c>
      <c r="Y303" s="2">
        <v>90</v>
      </c>
      <c r="Z303" s="2">
        <v>90</v>
      </c>
      <c r="AA303" s="2">
        <v>95</v>
      </c>
      <c r="AC303" s="3">
        <f t="shared" si="4"/>
        <v>94.416666666666671</v>
      </c>
    </row>
    <row r="304" spans="2:29" x14ac:dyDescent="0.25">
      <c r="B304" s="4">
        <v>42669</v>
      </c>
      <c r="C304" s="3">
        <v>300</v>
      </c>
      <c r="D304" s="2">
        <v>100</v>
      </c>
      <c r="E304" s="2">
        <v>93</v>
      </c>
      <c r="F304" s="2">
        <v>89</v>
      </c>
      <c r="G304" s="2">
        <v>86</v>
      </c>
      <c r="H304" s="2">
        <v>98</v>
      </c>
      <c r="I304" s="2">
        <v>93</v>
      </c>
      <c r="J304" s="2">
        <v>95</v>
      </c>
      <c r="K304" s="2">
        <v>94</v>
      </c>
      <c r="L304" s="2">
        <v>100</v>
      </c>
      <c r="M304" s="2">
        <v>100</v>
      </c>
      <c r="N304" s="2">
        <v>97</v>
      </c>
      <c r="O304" s="2">
        <v>95</v>
      </c>
      <c r="P304" s="2">
        <v>84</v>
      </c>
      <c r="Q304" s="2">
        <v>80</v>
      </c>
      <c r="R304" s="2">
        <v>77</v>
      </c>
      <c r="S304" s="2">
        <v>73</v>
      </c>
      <c r="T304" s="2">
        <v>73</v>
      </c>
      <c r="U304" s="2">
        <v>72</v>
      </c>
      <c r="V304" s="2">
        <v>89</v>
      </c>
      <c r="W304" s="2">
        <v>100</v>
      </c>
      <c r="X304" s="2">
        <v>100</v>
      </c>
      <c r="Y304" s="2">
        <v>100</v>
      </c>
      <c r="Z304" s="2">
        <v>100</v>
      </c>
      <c r="AA304" s="2">
        <v>100</v>
      </c>
      <c r="AC304" s="3">
        <f t="shared" si="4"/>
        <v>91.166666666666671</v>
      </c>
    </row>
    <row r="305" spans="2:29" x14ac:dyDescent="0.25">
      <c r="B305" s="4">
        <v>42670</v>
      </c>
      <c r="C305" s="3">
        <v>301</v>
      </c>
      <c r="D305" s="2">
        <v>100</v>
      </c>
      <c r="E305" s="2">
        <v>100</v>
      </c>
      <c r="F305" s="2">
        <v>100</v>
      </c>
      <c r="G305" s="2">
        <v>100</v>
      </c>
      <c r="H305" s="2">
        <v>100</v>
      </c>
      <c r="I305" s="2">
        <v>100</v>
      </c>
      <c r="J305" s="2">
        <v>100</v>
      </c>
      <c r="K305" s="2">
        <v>100</v>
      </c>
      <c r="L305" s="2">
        <v>100</v>
      </c>
      <c r="M305" s="2">
        <v>100</v>
      </c>
      <c r="N305" s="2">
        <v>97</v>
      </c>
      <c r="O305" s="2">
        <v>80</v>
      </c>
      <c r="P305" s="2">
        <v>64</v>
      </c>
      <c r="Q305" s="2">
        <v>67</v>
      </c>
      <c r="R305" s="2">
        <v>77</v>
      </c>
      <c r="S305" s="2">
        <v>80</v>
      </c>
      <c r="T305" s="2">
        <v>77</v>
      </c>
      <c r="U305" s="2">
        <v>76</v>
      </c>
      <c r="V305" s="2">
        <v>79</v>
      </c>
      <c r="W305" s="2">
        <v>95</v>
      </c>
      <c r="X305" s="2">
        <v>100</v>
      </c>
      <c r="Y305" s="2">
        <v>100</v>
      </c>
      <c r="Z305" s="2">
        <v>100</v>
      </c>
      <c r="AA305" s="2">
        <v>100</v>
      </c>
      <c r="AC305" s="3">
        <f t="shared" si="4"/>
        <v>91.333333333333329</v>
      </c>
    </row>
    <row r="306" spans="2:29" x14ac:dyDescent="0.25">
      <c r="B306" s="4">
        <v>42671</v>
      </c>
      <c r="C306" s="3">
        <v>302</v>
      </c>
      <c r="D306" s="2">
        <v>100</v>
      </c>
      <c r="E306" s="2">
        <v>100</v>
      </c>
      <c r="F306" s="2">
        <v>100</v>
      </c>
      <c r="G306" s="2">
        <v>100</v>
      </c>
      <c r="H306" s="2">
        <v>100</v>
      </c>
      <c r="I306" s="2">
        <v>100</v>
      </c>
      <c r="J306" s="2">
        <v>100</v>
      </c>
      <c r="K306" s="2">
        <v>100</v>
      </c>
      <c r="L306" s="2">
        <v>100</v>
      </c>
      <c r="M306" s="2">
        <v>100</v>
      </c>
      <c r="N306" s="2">
        <v>100</v>
      </c>
      <c r="O306" s="2">
        <v>85</v>
      </c>
      <c r="P306" s="2">
        <v>73</v>
      </c>
      <c r="Q306" s="2">
        <v>67</v>
      </c>
      <c r="R306" s="2">
        <v>70</v>
      </c>
      <c r="S306" s="2">
        <v>74</v>
      </c>
      <c r="T306" s="2">
        <v>77</v>
      </c>
      <c r="U306" s="2">
        <v>78</v>
      </c>
      <c r="V306" s="2">
        <v>82</v>
      </c>
      <c r="W306" s="2">
        <v>93</v>
      </c>
      <c r="X306" s="2">
        <v>99</v>
      </c>
      <c r="Y306" s="2">
        <v>100</v>
      </c>
      <c r="Z306" s="2">
        <v>100</v>
      </c>
      <c r="AA306" s="2">
        <v>100</v>
      </c>
      <c r="AC306" s="3">
        <f t="shared" si="4"/>
        <v>91.583333333333329</v>
      </c>
    </row>
    <row r="307" spans="2:29" x14ac:dyDescent="0.25">
      <c r="B307" s="4">
        <v>42672</v>
      </c>
      <c r="C307" s="3">
        <v>303</v>
      </c>
      <c r="D307" s="2">
        <v>100</v>
      </c>
      <c r="E307" s="2">
        <v>100</v>
      </c>
      <c r="F307" s="2">
        <v>100</v>
      </c>
      <c r="G307" s="2">
        <v>100</v>
      </c>
      <c r="H307" s="2">
        <v>100</v>
      </c>
      <c r="I307" s="2">
        <v>100</v>
      </c>
      <c r="J307" s="2">
        <v>100</v>
      </c>
      <c r="K307" s="2">
        <v>100</v>
      </c>
      <c r="L307" s="2">
        <v>100</v>
      </c>
      <c r="M307" s="2">
        <v>100</v>
      </c>
      <c r="N307" s="2">
        <v>90</v>
      </c>
      <c r="O307" s="2">
        <v>68</v>
      </c>
      <c r="P307" s="2">
        <v>58</v>
      </c>
      <c r="Q307" s="2">
        <v>51</v>
      </c>
      <c r="R307" s="2">
        <v>45</v>
      </c>
      <c r="S307" s="2">
        <v>48</v>
      </c>
      <c r="T307" s="2">
        <v>55</v>
      </c>
      <c r="U307" s="2">
        <v>61</v>
      </c>
      <c r="V307" s="2">
        <v>66</v>
      </c>
      <c r="W307" s="2">
        <v>85</v>
      </c>
      <c r="X307" s="2">
        <v>100</v>
      </c>
      <c r="Y307" s="2">
        <v>100</v>
      </c>
      <c r="Z307" s="2">
        <v>100</v>
      </c>
      <c r="AA307" s="2">
        <v>100</v>
      </c>
      <c r="AC307" s="3">
        <f t="shared" si="4"/>
        <v>84.458333333333329</v>
      </c>
    </row>
    <row r="308" spans="2:29" x14ac:dyDescent="0.25">
      <c r="B308" s="4">
        <v>42673</v>
      </c>
      <c r="C308" s="3">
        <v>304</v>
      </c>
      <c r="D308" s="2">
        <v>100</v>
      </c>
      <c r="E308" s="2">
        <v>100</v>
      </c>
      <c r="F308" s="2">
        <v>100</v>
      </c>
      <c r="G308" s="2">
        <v>100</v>
      </c>
      <c r="H308" s="2">
        <v>99</v>
      </c>
      <c r="I308" s="2">
        <v>100</v>
      </c>
      <c r="J308" s="2">
        <v>100</v>
      </c>
      <c r="K308" s="2">
        <v>100</v>
      </c>
      <c r="L308" s="2">
        <v>100</v>
      </c>
      <c r="M308" s="2">
        <v>99</v>
      </c>
      <c r="N308" s="2">
        <v>71</v>
      </c>
      <c r="O308" s="2">
        <v>69</v>
      </c>
      <c r="P308" s="2">
        <v>65</v>
      </c>
      <c r="Q308" s="2">
        <v>68</v>
      </c>
      <c r="R308" s="2">
        <v>70</v>
      </c>
      <c r="S308" s="2">
        <v>73</v>
      </c>
      <c r="T308" s="2">
        <v>77</v>
      </c>
      <c r="U308" s="2">
        <v>83</v>
      </c>
      <c r="V308" s="2">
        <v>89</v>
      </c>
      <c r="W308" s="2">
        <v>91</v>
      </c>
      <c r="X308" s="2">
        <v>97</v>
      </c>
      <c r="Y308" s="2">
        <v>100</v>
      </c>
      <c r="Z308" s="2">
        <v>100</v>
      </c>
      <c r="AA308" s="2">
        <v>100</v>
      </c>
      <c r="AC308" s="3">
        <f t="shared" si="4"/>
        <v>89.625</v>
      </c>
    </row>
    <row r="309" spans="2:29" x14ac:dyDescent="0.25">
      <c r="B309" s="4">
        <v>42674</v>
      </c>
      <c r="C309" s="3">
        <v>305</v>
      </c>
      <c r="D309" s="2">
        <v>100</v>
      </c>
      <c r="E309" s="2">
        <v>100</v>
      </c>
      <c r="F309" s="2">
        <v>100</v>
      </c>
      <c r="G309" s="2">
        <v>100</v>
      </c>
      <c r="H309" s="2">
        <v>100</v>
      </c>
      <c r="I309" s="2">
        <v>100</v>
      </c>
      <c r="J309" s="2">
        <v>100</v>
      </c>
      <c r="K309" s="2">
        <v>100</v>
      </c>
      <c r="L309" s="2">
        <v>100</v>
      </c>
      <c r="M309" s="2">
        <v>92</v>
      </c>
      <c r="N309" s="2">
        <v>79</v>
      </c>
      <c r="O309" s="2">
        <v>73</v>
      </c>
      <c r="P309" s="2">
        <v>72</v>
      </c>
      <c r="Q309" s="2">
        <v>68</v>
      </c>
      <c r="R309" s="2">
        <v>66</v>
      </c>
      <c r="S309" s="2">
        <v>74</v>
      </c>
      <c r="T309" s="2">
        <v>73</v>
      </c>
      <c r="U309" s="2">
        <v>75</v>
      </c>
      <c r="V309" s="2">
        <v>91</v>
      </c>
      <c r="W309" s="2">
        <v>100</v>
      </c>
      <c r="X309" s="2">
        <v>100</v>
      </c>
      <c r="Y309" s="2">
        <v>100</v>
      </c>
      <c r="Z309" s="2">
        <v>100</v>
      </c>
      <c r="AA309" s="2">
        <v>99</v>
      </c>
      <c r="AC309" s="3">
        <f t="shared" si="4"/>
        <v>90.083333333333329</v>
      </c>
    </row>
    <row r="310" spans="2:29" x14ac:dyDescent="0.25">
      <c r="B310" s="4">
        <v>42675</v>
      </c>
      <c r="C310" s="3">
        <v>306</v>
      </c>
      <c r="D310" s="2">
        <v>99</v>
      </c>
      <c r="E310" s="2">
        <v>94</v>
      </c>
      <c r="F310" s="2">
        <v>91</v>
      </c>
      <c r="G310" s="2">
        <v>91</v>
      </c>
      <c r="H310" s="2">
        <v>93</v>
      </c>
      <c r="I310" s="2">
        <v>92</v>
      </c>
      <c r="J310" s="2">
        <v>96</v>
      </c>
      <c r="K310" s="2">
        <v>100</v>
      </c>
      <c r="L310" s="2">
        <v>90</v>
      </c>
      <c r="M310" s="2">
        <v>74</v>
      </c>
      <c r="N310" s="2">
        <v>66</v>
      </c>
      <c r="O310" s="2">
        <v>61</v>
      </c>
      <c r="P310" s="2">
        <v>57</v>
      </c>
      <c r="Q310" s="2">
        <v>57</v>
      </c>
      <c r="R310" s="2">
        <v>59</v>
      </c>
      <c r="S310" s="2">
        <v>62</v>
      </c>
      <c r="T310" s="2">
        <v>66</v>
      </c>
      <c r="U310" s="2">
        <v>73</v>
      </c>
      <c r="V310" s="2">
        <v>85</v>
      </c>
      <c r="W310" s="2">
        <v>100</v>
      </c>
      <c r="X310" s="2">
        <v>100</v>
      </c>
      <c r="Y310" s="2">
        <v>100</v>
      </c>
      <c r="Z310" s="2">
        <v>100</v>
      </c>
      <c r="AA310" s="2">
        <v>95</v>
      </c>
      <c r="AC310" s="3">
        <f t="shared" si="4"/>
        <v>83.375</v>
      </c>
    </row>
    <row r="311" spans="2:29" x14ac:dyDescent="0.25">
      <c r="B311" s="4">
        <v>42676</v>
      </c>
      <c r="C311" s="3">
        <v>307</v>
      </c>
      <c r="D311" s="2">
        <v>97</v>
      </c>
      <c r="E311" s="2">
        <v>100</v>
      </c>
      <c r="F311" s="2">
        <v>100</v>
      </c>
      <c r="G311" s="2">
        <v>100</v>
      </c>
      <c r="H311" s="2">
        <v>100</v>
      </c>
      <c r="I311" s="2">
        <v>100</v>
      </c>
      <c r="J311" s="2">
        <v>100</v>
      </c>
      <c r="K311" s="2">
        <v>100</v>
      </c>
      <c r="L311" s="2">
        <v>100</v>
      </c>
      <c r="M311" s="2">
        <v>81</v>
      </c>
      <c r="N311" s="2">
        <v>65</v>
      </c>
      <c r="O311" s="2">
        <v>62</v>
      </c>
      <c r="P311" s="2">
        <v>58</v>
      </c>
      <c r="Q311" s="2">
        <v>53</v>
      </c>
      <c r="R311" s="2">
        <v>55</v>
      </c>
      <c r="S311" s="2">
        <v>57</v>
      </c>
      <c r="T311" s="2">
        <v>56</v>
      </c>
      <c r="U311" s="2">
        <v>61</v>
      </c>
      <c r="V311" s="2">
        <v>78</v>
      </c>
      <c r="W311" s="2">
        <v>91</v>
      </c>
      <c r="X311" s="2">
        <v>95</v>
      </c>
      <c r="Y311" s="2">
        <v>97</v>
      </c>
      <c r="Z311" s="2">
        <v>96</v>
      </c>
      <c r="AA311" s="2">
        <v>99</v>
      </c>
      <c r="AC311" s="3">
        <f t="shared" si="4"/>
        <v>83.375</v>
      </c>
    </row>
    <row r="312" spans="2:29" x14ac:dyDescent="0.25">
      <c r="B312" s="4">
        <v>42677</v>
      </c>
      <c r="C312" s="3">
        <v>308</v>
      </c>
      <c r="D312" s="2">
        <v>100</v>
      </c>
      <c r="E312" s="2">
        <v>100</v>
      </c>
      <c r="F312" s="2">
        <v>100</v>
      </c>
      <c r="G312" s="2">
        <v>100</v>
      </c>
      <c r="H312" s="2">
        <v>100</v>
      </c>
      <c r="I312" s="2">
        <v>100</v>
      </c>
      <c r="J312" s="2">
        <v>100</v>
      </c>
      <c r="K312" s="2">
        <v>100</v>
      </c>
      <c r="L312" s="2">
        <v>96</v>
      </c>
      <c r="M312" s="2">
        <v>77</v>
      </c>
      <c r="N312" s="2">
        <v>63</v>
      </c>
      <c r="O312" s="2">
        <v>54</v>
      </c>
      <c r="P312" s="2">
        <v>50</v>
      </c>
      <c r="Q312" s="2">
        <v>52</v>
      </c>
      <c r="R312" s="2">
        <v>59</v>
      </c>
      <c r="S312" s="2">
        <v>63</v>
      </c>
      <c r="T312" s="2">
        <v>65</v>
      </c>
      <c r="U312" s="2">
        <v>71</v>
      </c>
      <c r="V312" s="2">
        <v>85</v>
      </c>
      <c r="W312" s="2">
        <v>99</v>
      </c>
      <c r="X312" s="2">
        <v>100</v>
      </c>
      <c r="Y312" s="2">
        <v>100</v>
      </c>
      <c r="Z312" s="2">
        <v>100</v>
      </c>
      <c r="AA312" s="2">
        <v>100</v>
      </c>
      <c r="AC312" s="3">
        <f t="shared" si="4"/>
        <v>84.75</v>
      </c>
    </row>
    <row r="313" spans="2:29" x14ac:dyDescent="0.25">
      <c r="B313" s="4">
        <v>42678</v>
      </c>
      <c r="C313" s="3">
        <v>309</v>
      </c>
      <c r="D313" s="2">
        <v>100</v>
      </c>
      <c r="E313" s="2">
        <v>100</v>
      </c>
      <c r="F313" s="2">
        <v>100</v>
      </c>
      <c r="G313" s="2">
        <v>100</v>
      </c>
      <c r="H313" s="2">
        <v>100</v>
      </c>
      <c r="I313" s="2">
        <v>100</v>
      </c>
      <c r="J313" s="2">
        <v>96</v>
      </c>
      <c r="K313" s="2">
        <v>96</v>
      </c>
      <c r="L313" s="2">
        <v>98</v>
      </c>
      <c r="M313" s="2">
        <v>92</v>
      </c>
      <c r="N313" s="2">
        <v>84</v>
      </c>
      <c r="O313" s="2">
        <v>79</v>
      </c>
      <c r="P313" s="2">
        <v>77</v>
      </c>
      <c r="Q313" s="2">
        <v>72</v>
      </c>
      <c r="R313" s="2">
        <v>60</v>
      </c>
      <c r="S313" s="2">
        <v>58</v>
      </c>
      <c r="T313" s="2">
        <v>70</v>
      </c>
      <c r="U313" s="2">
        <v>82</v>
      </c>
      <c r="V313" s="2">
        <v>87</v>
      </c>
      <c r="W313" s="2">
        <v>98</v>
      </c>
      <c r="X313" s="2">
        <v>100</v>
      </c>
      <c r="Y313" s="2">
        <v>100</v>
      </c>
      <c r="Z313" s="2">
        <v>100</v>
      </c>
      <c r="AA313" s="2">
        <v>100</v>
      </c>
      <c r="AC313" s="3">
        <f t="shared" si="4"/>
        <v>89.541666666666671</v>
      </c>
    </row>
    <row r="314" spans="2:29" x14ac:dyDescent="0.25">
      <c r="B314" s="4">
        <v>42679</v>
      </c>
      <c r="C314" s="3">
        <v>310</v>
      </c>
      <c r="D314" s="2">
        <v>100</v>
      </c>
      <c r="E314" s="2">
        <v>100</v>
      </c>
      <c r="F314" s="2">
        <v>100</v>
      </c>
      <c r="G314" s="2">
        <v>100</v>
      </c>
      <c r="H314" s="2">
        <v>100</v>
      </c>
      <c r="I314" s="2">
        <v>100</v>
      </c>
      <c r="J314" s="2">
        <v>100</v>
      </c>
      <c r="K314" s="2">
        <v>100</v>
      </c>
      <c r="L314" s="2">
        <v>100</v>
      </c>
      <c r="M314" s="2">
        <v>100</v>
      </c>
      <c r="N314" s="2">
        <v>100</v>
      </c>
      <c r="O314" s="2">
        <v>93</v>
      </c>
      <c r="P314" s="2">
        <v>82</v>
      </c>
      <c r="Q314" s="2">
        <v>79</v>
      </c>
      <c r="R314" s="2">
        <v>72</v>
      </c>
      <c r="S314" s="2">
        <v>66</v>
      </c>
      <c r="T314" s="2">
        <v>63</v>
      </c>
      <c r="U314" s="2">
        <v>67</v>
      </c>
      <c r="V314" s="2">
        <v>61</v>
      </c>
      <c r="W314" s="2">
        <v>61</v>
      </c>
      <c r="X314" s="2">
        <v>59</v>
      </c>
      <c r="Y314" s="2">
        <v>54</v>
      </c>
      <c r="Z314" s="2">
        <v>57</v>
      </c>
      <c r="AA314" s="2">
        <v>52</v>
      </c>
      <c r="AC314" s="3">
        <f t="shared" si="4"/>
        <v>81.916666666666671</v>
      </c>
    </row>
    <row r="315" spans="2:29" x14ac:dyDescent="0.25">
      <c r="B315" s="4">
        <v>42680</v>
      </c>
      <c r="C315" s="3">
        <v>311</v>
      </c>
      <c r="D315" s="2">
        <v>58</v>
      </c>
      <c r="E315" s="2">
        <v>59</v>
      </c>
      <c r="F315" s="2">
        <v>63</v>
      </c>
      <c r="G315" s="2">
        <v>69</v>
      </c>
      <c r="H315" s="2">
        <v>67</v>
      </c>
      <c r="I315" s="2">
        <v>80</v>
      </c>
      <c r="J315" s="2">
        <v>70</v>
      </c>
      <c r="K315" s="2">
        <v>69</v>
      </c>
      <c r="L315" s="2">
        <v>63</v>
      </c>
      <c r="M315" s="2">
        <v>64</v>
      </c>
      <c r="N315" s="2">
        <v>56</v>
      </c>
      <c r="O315" s="2">
        <v>53</v>
      </c>
      <c r="P315" s="2">
        <v>45</v>
      </c>
      <c r="Q315" s="2">
        <v>44</v>
      </c>
      <c r="R315" s="2">
        <v>42</v>
      </c>
      <c r="S315" s="2">
        <v>43</v>
      </c>
      <c r="T315" s="2">
        <v>43</v>
      </c>
      <c r="U315" s="2">
        <v>46</v>
      </c>
      <c r="V315" s="2">
        <v>48</v>
      </c>
      <c r="W315" s="2">
        <v>52</v>
      </c>
      <c r="X315" s="2">
        <v>51</v>
      </c>
      <c r="Y315" s="2">
        <v>54</v>
      </c>
      <c r="Z315" s="2">
        <v>54</v>
      </c>
      <c r="AA315" s="2">
        <v>58</v>
      </c>
      <c r="AC315" s="3">
        <f t="shared" si="4"/>
        <v>56.291666666666664</v>
      </c>
    </row>
    <row r="316" spans="2:29" x14ac:dyDescent="0.25">
      <c r="B316" s="4">
        <v>42681</v>
      </c>
      <c r="C316" s="3">
        <v>312</v>
      </c>
      <c r="D316" s="2">
        <v>55</v>
      </c>
      <c r="E316" s="2">
        <v>57</v>
      </c>
      <c r="F316" s="2">
        <v>53</v>
      </c>
      <c r="G316" s="2">
        <v>54</v>
      </c>
      <c r="H316" s="2">
        <v>60</v>
      </c>
      <c r="I316" s="2">
        <v>69</v>
      </c>
      <c r="J316" s="2">
        <v>71</v>
      </c>
      <c r="K316" s="2">
        <v>65</v>
      </c>
      <c r="L316" s="2">
        <v>56</v>
      </c>
      <c r="M316" s="2">
        <v>52</v>
      </c>
      <c r="N316" s="2">
        <v>46</v>
      </c>
      <c r="O316" s="2">
        <v>44</v>
      </c>
      <c r="P316" s="2">
        <v>43</v>
      </c>
      <c r="Q316" s="2">
        <v>42</v>
      </c>
      <c r="R316" s="2">
        <v>40</v>
      </c>
      <c r="S316" s="2">
        <v>39</v>
      </c>
      <c r="T316" s="2">
        <v>42</v>
      </c>
      <c r="U316" s="2">
        <v>47</v>
      </c>
      <c r="V316" s="2">
        <v>62</v>
      </c>
      <c r="W316" s="2">
        <v>70</v>
      </c>
      <c r="X316" s="2">
        <v>70</v>
      </c>
      <c r="Y316" s="2">
        <v>75</v>
      </c>
      <c r="Z316" s="2">
        <v>79</v>
      </c>
      <c r="AA316" s="2">
        <v>66</v>
      </c>
      <c r="AC316" s="3">
        <f t="shared" si="4"/>
        <v>56.541666666666664</v>
      </c>
    </row>
    <row r="317" spans="2:29" x14ac:dyDescent="0.25">
      <c r="B317" s="4">
        <v>42682</v>
      </c>
      <c r="C317" s="3">
        <v>313</v>
      </c>
      <c r="D317" s="2">
        <v>67</v>
      </c>
      <c r="E317" s="2">
        <v>75</v>
      </c>
      <c r="F317" s="2">
        <v>91</v>
      </c>
      <c r="G317" s="2">
        <v>99</v>
      </c>
      <c r="H317" s="2">
        <v>100</v>
      </c>
      <c r="I317" s="2">
        <v>100</v>
      </c>
      <c r="J317" s="2">
        <v>100</v>
      </c>
      <c r="K317" s="2">
        <v>100</v>
      </c>
      <c r="L317" s="2">
        <v>96</v>
      </c>
      <c r="M317" s="2">
        <v>64</v>
      </c>
      <c r="N317" s="2">
        <v>51</v>
      </c>
      <c r="O317" s="2">
        <v>41</v>
      </c>
      <c r="P317" s="2">
        <v>41</v>
      </c>
      <c r="Q317" s="2">
        <v>39</v>
      </c>
      <c r="R317" s="2">
        <v>36</v>
      </c>
      <c r="S317" s="2">
        <v>37</v>
      </c>
      <c r="T317" s="2">
        <v>41</v>
      </c>
      <c r="U317" s="2">
        <v>49</v>
      </c>
      <c r="V317" s="2">
        <v>52</v>
      </c>
      <c r="W317" s="2">
        <v>55</v>
      </c>
      <c r="X317" s="2">
        <v>53</v>
      </c>
      <c r="Y317" s="2">
        <v>50</v>
      </c>
      <c r="Z317" s="2">
        <v>49</v>
      </c>
      <c r="AA317" s="2">
        <v>52</v>
      </c>
      <c r="AC317" s="3">
        <f t="shared" si="4"/>
        <v>64.083333333333329</v>
      </c>
    </row>
    <row r="318" spans="2:29" x14ac:dyDescent="0.25">
      <c r="B318" s="4">
        <v>42683</v>
      </c>
      <c r="C318" s="3">
        <v>314</v>
      </c>
      <c r="D318" s="2">
        <v>52</v>
      </c>
      <c r="E318" s="2">
        <v>47</v>
      </c>
      <c r="F318" s="2">
        <v>45</v>
      </c>
      <c r="G318" s="2">
        <v>45</v>
      </c>
      <c r="H318" s="2">
        <v>46</v>
      </c>
      <c r="I318" s="2">
        <v>46</v>
      </c>
      <c r="J318" s="2">
        <v>56</v>
      </c>
      <c r="K318" s="2">
        <v>59</v>
      </c>
      <c r="L318" s="2">
        <v>58</v>
      </c>
      <c r="M318" s="2">
        <v>55</v>
      </c>
      <c r="N318" s="2">
        <v>53</v>
      </c>
      <c r="O318" s="2">
        <v>46</v>
      </c>
      <c r="P318" s="2">
        <v>43</v>
      </c>
      <c r="Q318" s="2">
        <v>39</v>
      </c>
      <c r="R318" s="2">
        <v>39</v>
      </c>
      <c r="S318" s="2">
        <v>40</v>
      </c>
      <c r="T318" s="2">
        <v>41</v>
      </c>
      <c r="U318" s="2">
        <v>44</v>
      </c>
      <c r="V318" s="2">
        <v>49</v>
      </c>
      <c r="W318" s="2">
        <v>51</v>
      </c>
      <c r="X318" s="2">
        <v>51</v>
      </c>
      <c r="Y318" s="2">
        <v>50</v>
      </c>
      <c r="Z318" s="2">
        <v>51</v>
      </c>
      <c r="AA318" s="2">
        <v>52</v>
      </c>
      <c r="AC318" s="3">
        <f t="shared" si="4"/>
        <v>48.25</v>
      </c>
    </row>
    <row r="319" spans="2:29" x14ac:dyDescent="0.25">
      <c r="B319" s="4">
        <v>42684</v>
      </c>
      <c r="C319" s="3">
        <v>315</v>
      </c>
      <c r="D319" s="2">
        <v>52</v>
      </c>
      <c r="E319" s="2">
        <v>50</v>
      </c>
      <c r="F319" s="2">
        <v>57</v>
      </c>
      <c r="G319" s="2">
        <v>73</v>
      </c>
      <c r="H319" s="2">
        <v>83</v>
      </c>
      <c r="I319" s="2">
        <v>82</v>
      </c>
      <c r="J319" s="2">
        <v>74</v>
      </c>
      <c r="K319" s="2">
        <v>76</v>
      </c>
      <c r="L319" s="2">
        <v>73</v>
      </c>
      <c r="M319" s="2">
        <v>56</v>
      </c>
      <c r="N319" s="2">
        <v>49</v>
      </c>
      <c r="O319" s="2">
        <v>46</v>
      </c>
      <c r="P319" s="2">
        <v>43</v>
      </c>
      <c r="Q319" s="2">
        <v>40</v>
      </c>
      <c r="R319" s="2">
        <v>40</v>
      </c>
      <c r="S319" s="2">
        <v>40</v>
      </c>
      <c r="T319" s="2">
        <v>41</v>
      </c>
      <c r="U319" s="2">
        <v>44</v>
      </c>
      <c r="V319" s="2">
        <v>48</v>
      </c>
      <c r="W319" s="2">
        <v>49</v>
      </c>
      <c r="X319" s="2">
        <v>50</v>
      </c>
      <c r="Y319" s="2">
        <v>48</v>
      </c>
      <c r="Z319" s="2">
        <v>47</v>
      </c>
      <c r="AA319" s="2">
        <v>43</v>
      </c>
      <c r="AC319" s="3">
        <f t="shared" si="4"/>
        <v>54.333333333333336</v>
      </c>
    </row>
    <row r="320" spans="2:29" x14ac:dyDescent="0.25">
      <c r="B320" s="4">
        <v>42685</v>
      </c>
      <c r="C320" s="3">
        <v>316</v>
      </c>
      <c r="D320" s="2">
        <v>49</v>
      </c>
      <c r="E320" s="2">
        <v>49</v>
      </c>
      <c r="F320" s="2">
        <v>50</v>
      </c>
      <c r="G320" s="2">
        <v>55</v>
      </c>
      <c r="H320" s="2">
        <v>54</v>
      </c>
      <c r="I320" s="2">
        <v>57</v>
      </c>
      <c r="J320" s="2">
        <v>62</v>
      </c>
      <c r="K320" s="2">
        <v>67</v>
      </c>
      <c r="L320" s="2">
        <v>58</v>
      </c>
      <c r="M320" s="2">
        <v>53</v>
      </c>
      <c r="N320" s="2">
        <v>51</v>
      </c>
      <c r="O320" s="2">
        <v>48</v>
      </c>
      <c r="P320" s="2">
        <v>44</v>
      </c>
      <c r="Q320" s="2">
        <v>44</v>
      </c>
      <c r="R320" s="2">
        <v>43</v>
      </c>
      <c r="S320" s="2">
        <v>43</v>
      </c>
      <c r="T320" s="2">
        <v>44</v>
      </c>
      <c r="U320" s="2">
        <v>48</v>
      </c>
      <c r="V320" s="2">
        <v>51</v>
      </c>
      <c r="W320" s="2">
        <v>56</v>
      </c>
      <c r="X320" s="2">
        <v>70</v>
      </c>
      <c r="Y320" s="2">
        <v>77</v>
      </c>
      <c r="Z320" s="2">
        <v>81</v>
      </c>
      <c r="AA320" s="2">
        <v>79</v>
      </c>
      <c r="AC320" s="3">
        <f t="shared" si="4"/>
        <v>55.541666666666664</v>
      </c>
    </row>
    <row r="321" spans="2:29" x14ac:dyDescent="0.25">
      <c r="B321" s="4">
        <v>42686</v>
      </c>
      <c r="C321" s="3">
        <v>317</v>
      </c>
      <c r="D321" s="2">
        <v>81</v>
      </c>
      <c r="E321" s="2">
        <v>81</v>
      </c>
      <c r="F321" s="2">
        <v>82</v>
      </c>
      <c r="G321" s="2">
        <v>88</v>
      </c>
      <c r="H321" s="2">
        <v>88</v>
      </c>
      <c r="I321" s="2">
        <v>89</v>
      </c>
      <c r="J321" s="2">
        <v>88</v>
      </c>
      <c r="K321" s="2">
        <v>100</v>
      </c>
      <c r="L321" s="2">
        <v>98</v>
      </c>
      <c r="M321" s="2">
        <v>77</v>
      </c>
      <c r="N321" s="2">
        <v>68</v>
      </c>
      <c r="O321" s="2">
        <v>64</v>
      </c>
      <c r="P321" s="2">
        <v>50</v>
      </c>
      <c r="Q321" s="2">
        <v>49</v>
      </c>
      <c r="R321" s="2">
        <v>47</v>
      </c>
      <c r="S321" s="2">
        <v>49</v>
      </c>
      <c r="T321" s="2">
        <v>49</v>
      </c>
      <c r="U321" s="2">
        <v>57</v>
      </c>
      <c r="V321" s="2">
        <v>76</v>
      </c>
      <c r="W321" s="2">
        <v>77</v>
      </c>
      <c r="X321" s="2">
        <v>81</v>
      </c>
      <c r="Y321" s="2">
        <v>81</v>
      </c>
      <c r="Z321" s="2">
        <v>85</v>
      </c>
      <c r="AA321" s="2">
        <v>79</v>
      </c>
      <c r="AC321" s="3">
        <f t="shared" si="4"/>
        <v>74.333333333333329</v>
      </c>
    </row>
    <row r="322" spans="2:29" x14ac:dyDescent="0.25">
      <c r="B322" s="4">
        <v>42687</v>
      </c>
      <c r="C322" s="3">
        <v>318</v>
      </c>
      <c r="D322" s="2">
        <v>82</v>
      </c>
      <c r="E322" s="2">
        <v>83</v>
      </c>
      <c r="F322" s="2">
        <v>85</v>
      </c>
      <c r="G322" s="2">
        <v>84</v>
      </c>
      <c r="H322" s="2">
        <v>81</v>
      </c>
      <c r="I322" s="2">
        <v>79</v>
      </c>
      <c r="J322" s="2">
        <v>81</v>
      </c>
      <c r="K322" s="2">
        <v>81</v>
      </c>
      <c r="L322" s="2">
        <v>85</v>
      </c>
      <c r="M322" s="2">
        <v>81</v>
      </c>
      <c r="N322" s="2">
        <v>66</v>
      </c>
      <c r="O322" s="2">
        <v>66</v>
      </c>
      <c r="P322" s="2">
        <v>60</v>
      </c>
      <c r="Q322" s="2">
        <v>59</v>
      </c>
      <c r="R322" s="2">
        <v>59</v>
      </c>
      <c r="S322" s="2">
        <v>60</v>
      </c>
      <c r="T322" s="2">
        <v>67</v>
      </c>
      <c r="U322" s="2">
        <v>75</v>
      </c>
      <c r="V322" s="2">
        <v>84</v>
      </c>
      <c r="W322" s="2">
        <v>97</v>
      </c>
      <c r="X322" s="2">
        <v>88</v>
      </c>
      <c r="Y322" s="2">
        <v>96</v>
      </c>
      <c r="Z322" s="2">
        <v>66</v>
      </c>
      <c r="AA322" s="2">
        <v>70</v>
      </c>
      <c r="AC322" s="3">
        <f t="shared" si="4"/>
        <v>76.458333333333329</v>
      </c>
    </row>
    <row r="323" spans="2:29" x14ac:dyDescent="0.25">
      <c r="B323" s="4">
        <v>42688</v>
      </c>
      <c r="C323" s="3">
        <v>319</v>
      </c>
      <c r="D323" s="2">
        <v>75</v>
      </c>
      <c r="E323" s="2">
        <v>92</v>
      </c>
      <c r="F323" s="2">
        <v>88</v>
      </c>
      <c r="G323" s="2">
        <v>100</v>
      </c>
      <c r="H323" s="2">
        <v>100</v>
      </c>
      <c r="I323" s="2">
        <v>100</v>
      </c>
      <c r="J323" s="2">
        <v>100</v>
      </c>
      <c r="K323" s="2">
        <v>93</v>
      </c>
      <c r="L323" s="2">
        <v>81</v>
      </c>
      <c r="M323" s="2">
        <v>73</v>
      </c>
      <c r="N323" s="2">
        <v>63</v>
      </c>
      <c r="O323" s="2">
        <v>53</v>
      </c>
      <c r="P323" s="2">
        <v>48</v>
      </c>
      <c r="Q323" s="2">
        <v>46</v>
      </c>
      <c r="R323" s="2">
        <v>46</v>
      </c>
      <c r="S323" s="2">
        <v>48</v>
      </c>
      <c r="T323" s="2">
        <v>53</v>
      </c>
      <c r="U323" s="2">
        <v>60</v>
      </c>
      <c r="V323" s="2">
        <v>80</v>
      </c>
      <c r="W323" s="2">
        <v>88</v>
      </c>
      <c r="X323" s="2">
        <v>99</v>
      </c>
      <c r="Y323" s="2">
        <v>93</v>
      </c>
      <c r="Z323" s="2">
        <v>94</v>
      </c>
      <c r="AA323" s="2">
        <v>100</v>
      </c>
      <c r="AC323" s="3">
        <f t="shared" si="4"/>
        <v>78.041666666666671</v>
      </c>
    </row>
    <row r="324" spans="2:29" x14ac:dyDescent="0.25">
      <c r="B324" s="4">
        <v>42689</v>
      </c>
      <c r="C324" s="3">
        <v>320</v>
      </c>
      <c r="D324" s="2">
        <v>100</v>
      </c>
      <c r="E324" s="2">
        <v>100</v>
      </c>
      <c r="F324" s="2">
        <v>100</v>
      </c>
      <c r="G324" s="2">
        <v>100</v>
      </c>
      <c r="H324" s="2">
        <v>99</v>
      </c>
      <c r="I324" s="2">
        <v>100</v>
      </c>
      <c r="J324" s="2">
        <v>100</v>
      </c>
      <c r="K324" s="2">
        <v>100</v>
      </c>
      <c r="L324" s="2">
        <v>100</v>
      </c>
      <c r="M324" s="2">
        <v>74</v>
      </c>
      <c r="N324" s="2">
        <v>61</v>
      </c>
      <c r="O324" s="2">
        <v>52</v>
      </c>
      <c r="P324" s="2">
        <v>52</v>
      </c>
      <c r="Q324" s="2">
        <v>49</v>
      </c>
      <c r="R324" s="2">
        <v>44</v>
      </c>
      <c r="S324" s="2">
        <v>54</v>
      </c>
      <c r="T324" s="2">
        <v>58</v>
      </c>
      <c r="U324" s="2">
        <v>63</v>
      </c>
      <c r="V324" s="2">
        <v>85</v>
      </c>
      <c r="W324" s="2">
        <v>87</v>
      </c>
      <c r="X324" s="2">
        <v>98</v>
      </c>
      <c r="Y324" s="2">
        <v>99</v>
      </c>
      <c r="Z324" s="2">
        <v>100</v>
      </c>
      <c r="AA324" s="2">
        <v>98</v>
      </c>
      <c r="AC324" s="3">
        <f t="shared" si="4"/>
        <v>82.208333333333329</v>
      </c>
    </row>
    <row r="325" spans="2:29" x14ac:dyDescent="0.25">
      <c r="B325" s="4">
        <v>42690</v>
      </c>
      <c r="C325" s="3">
        <v>321</v>
      </c>
      <c r="D325" s="2">
        <v>99</v>
      </c>
      <c r="E325" s="2">
        <v>94</v>
      </c>
      <c r="F325" s="2">
        <v>100</v>
      </c>
      <c r="G325" s="2">
        <v>94</v>
      </c>
      <c r="H325" s="2">
        <v>99</v>
      </c>
      <c r="I325" s="2">
        <v>97</v>
      </c>
      <c r="J325" s="2">
        <v>100</v>
      </c>
      <c r="K325" s="2">
        <v>100</v>
      </c>
      <c r="L325" s="2">
        <v>97</v>
      </c>
      <c r="M325" s="2">
        <v>68</v>
      </c>
      <c r="N325" s="2">
        <v>53</v>
      </c>
      <c r="O325" s="2">
        <v>48</v>
      </c>
      <c r="P325" s="2">
        <v>43</v>
      </c>
      <c r="Q325" s="2">
        <v>45</v>
      </c>
      <c r="R325" s="2">
        <v>49</v>
      </c>
      <c r="S325" s="2">
        <v>52</v>
      </c>
      <c r="T325" s="2">
        <v>55</v>
      </c>
      <c r="U325" s="2">
        <v>63</v>
      </c>
      <c r="V325" s="2">
        <v>84</v>
      </c>
      <c r="W325" s="2">
        <v>87</v>
      </c>
      <c r="X325" s="2">
        <v>93</v>
      </c>
      <c r="Y325" s="2">
        <v>92</v>
      </c>
      <c r="Z325" s="2">
        <v>98</v>
      </c>
      <c r="AA325" s="2">
        <v>100</v>
      </c>
      <c r="AC325" s="3">
        <f t="shared" si="4"/>
        <v>79.583333333333329</v>
      </c>
    </row>
    <row r="326" spans="2:29" x14ac:dyDescent="0.25">
      <c r="B326" s="4">
        <v>42691</v>
      </c>
      <c r="C326" s="3">
        <v>322</v>
      </c>
      <c r="D326" s="2">
        <v>100</v>
      </c>
      <c r="E326" s="2">
        <v>100</v>
      </c>
      <c r="F326" s="2">
        <v>100</v>
      </c>
      <c r="G326" s="2">
        <v>100</v>
      </c>
      <c r="H326" s="2">
        <v>100</v>
      </c>
      <c r="I326" s="2">
        <v>100</v>
      </c>
      <c r="J326" s="2">
        <v>100</v>
      </c>
      <c r="K326" s="2">
        <v>100</v>
      </c>
      <c r="L326" s="2">
        <v>100</v>
      </c>
      <c r="M326" s="2">
        <v>77</v>
      </c>
      <c r="N326" s="2">
        <v>57</v>
      </c>
      <c r="O326" s="2">
        <v>53</v>
      </c>
      <c r="P326" s="2">
        <v>51</v>
      </c>
      <c r="Q326" s="2">
        <v>51</v>
      </c>
      <c r="R326" s="2">
        <v>55</v>
      </c>
      <c r="S326" s="2">
        <v>61</v>
      </c>
      <c r="T326" s="2">
        <v>67</v>
      </c>
      <c r="U326" s="2">
        <v>70</v>
      </c>
      <c r="V326" s="2">
        <v>83</v>
      </c>
      <c r="W326" s="2">
        <v>100</v>
      </c>
      <c r="X326" s="2">
        <v>100</v>
      </c>
      <c r="Y326" s="2">
        <v>100</v>
      </c>
      <c r="Z326" s="2">
        <v>100</v>
      </c>
      <c r="AA326" s="2">
        <v>100</v>
      </c>
      <c r="AC326" s="3">
        <f t="shared" ref="AC326:AC370" si="5">(SUM((D326:AA326))/24)</f>
        <v>84.375</v>
      </c>
    </row>
    <row r="327" spans="2:29" x14ac:dyDescent="0.25">
      <c r="B327" s="4">
        <v>42692</v>
      </c>
      <c r="C327" s="3">
        <v>323</v>
      </c>
      <c r="D327" s="2">
        <v>100</v>
      </c>
      <c r="E327" s="2">
        <v>100</v>
      </c>
      <c r="F327" s="2">
        <v>100</v>
      </c>
      <c r="G327" s="2">
        <v>100</v>
      </c>
      <c r="H327" s="2">
        <v>100</v>
      </c>
      <c r="I327" s="2">
        <v>100</v>
      </c>
      <c r="J327" s="2">
        <v>100</v>
      </c>
      <c r="K327" s="2">
        <v>100</v>
      </c>
      <c r="L327" s="2">
        <v>100</v>
      </c>
      <c r="M327" s="2">
        <v>99</v>
      </c>
      <c r="N327" s="2">
        <v>82</v>
      </c>
      <c r="O327" s="2">
        <v>72</v>
      </c>
      <c r="P327" s="2">
        <v>67</v>
      </c>
      <c r="Q327" s="2">
        <v>67</v>
      </c>
      <c r="R327" s="2">
        <v>67</v>
      </c>
      <c r="S327" s="2">
        <v>75</v>
      </c>
      <c r="T327" s="2">
        <v>80</v>
      </c>
      <c r="U327" s="2">
        <v>84</v>
      </c>
      <c r="V327" s="2">
        <v>95</v>
      </c>
      <c r="W327" s="2">
        <v>100</v>
      </c>
      <c r="X327" s="2">
        <v>100</v>
      </c>
      <c r="Y327" s="2">
        <v>100</v>
      </c>
      <c r="Z327" s="2">
        <v>100</v>
      </c>
      <c r="AA327" s="2">
        <v>100</v>
      </c>
      <c r="AC327" s="3">
        <f t="shared" si="5"/>
        <v>91.166666666666671</v>
      </c>
    </row>
    <row r="328" spans="2:29" x14ac:dyDescent="0.25">
      <c r="B328" s="4">
        <v>42693</v>
      </c>
      <c r="C328" s="3">
        <v>324</v>
      </c>
      <c r="D328" s="2">
        <v>100</v>
      </c>
      <c r="E328" s="2">
        <v>100</v>
      </c>
      <c r="F328" s="2">
        <v>100</v>
      </c>
      <c r="G328" s="2">
        <v>100</v>
      </c>
      <c r="H328" s="2">
        <v>86</v>
      </c>
      <c r="I328" s="2">
        <v>86</v>
      </c>
      <c r="J328" s="2">
        <v>86</v>
      </c>
      <c r="K328" s="2">
        <v>90</v>
      </c>
      <c r="L328" s="2">
        <v>85</v>
      </c>
      <c r="M328" s="2">
        <v>71</v>
      </c>
      <c r="N328" s="2">
        <v>61</v>
      </c>
      <c r="O328" s="2">
        <v>54</v>
      </c>
      <c r="P328" s="2">
        <v>49</v>
      </c>
      <c r="Q328" s="2">
        <v>49</v>
      </c>
      <c r="R328" s="2">
        <v>48</v>
      </c>
      <c r="S328" s="2">
        <v>54</v>
      </c>
      <c r="T328" s="2">
        <v>58</v>
      </c>
      <c r="U328" s="2">
        <v>66</v>
      </c>
      <c r="V328" s="2">
        <v>87</v>
      </c>
      <c r="W328" s="2">
        <v>95</v>
      </c>
      <c r="X328" s="2">
        <v>100</v>
      </c>
      <c r="Y328" s="2">
        <v>100</v>
      </c>
      <c r="Z328" s="2">
        <v>100</v>
      </c>
      <c r="AA328" s="2">
        <v>100</v>
      </c>
      <c r="AC328" s="3">
        <f t="shared" si="5"/>
        <v>80.208333333333329</v>
      </c>
    </row>
    <row r="329" spans="2:29" x14ac:dyDescent="0.25">
      <c r="B329" s="4">
        <v>42694</v>
      </c>
      <c r="C329" s="3">
        <v>325</v>
      </c>
      <c r="D329" s="2">
        <v>97</v>
      </c>
      <c r="E329" s="2">
        <v>99</v>
      </c>
      <c r="F329" s="2">
        <v>98</v>
      </c>
      <c r="G329" s="2">
        <v>100</v>
      </c>
      <c r="H329" s="2">
        <v>100</v>
      </c>
      <c r="I329" s="2">
        <v>98</v>
      </c>
      <c r="J329" s="2">
        <v>84</v>
      </c>
      <c r="K329" s="2">
        <v>82</v>
      </c>
      <c r="L329" s="2">
        <v>83</v>
      </c>
      <c r="M329" s="2">
        <v>84</v>
      </c>
      <c r="N329" s="2">
        <v>64</v>
      </c>
      <c r="O329" s="2">
        <v>49</v>
      </c>
      <c r="P329" s="2">
        <v>49</v>
      </c>
      <c r="Q329" s="2">
        <v>58</v>
      </c>
      <c r="R329" s="2">
        <v>63</v>
      </c>
      <c r="S329" s="2">
        <v>66</v>
      </c>
      <c r="T329" s="2">
        <v>73</v>
      </c>
      <c r="U329" s="2">
        <v>76</v>
      </c>
      <c r="V329" s="2">
        <v>84</v>
      </c>
      <c r="W329" s="2">
        <v>97</v>
      </c>
      <c r="X329" s="2">
        <v>97</v>
      </c>
      <c r="Y329" s="2">
        <v>100</v>
      </c>
      <c r="Z329" s="2">
        <v>100</v>
      </c>
      <c r="AA329" s="2">
        <v>100</v>
      </c>
      <c r="AC329" s="3">
        <f t="shared" si="5"/>
        <v>83.375</v>
      </c>
    </row>
    <row r="330" spans="2:29" x14ac:dyDescent="0.25">
      <c r="B330" s="4">
        <v>42695</v>
      </c>
      <c r="C330" s="3">
        <v>326</v>
      </c>
      <c r="D330" s="2">
        <v>100</v>
      </c>
      <c r="E330" s="2">
        <v>100</v>
      </c>
      <c r="F330" s="2">
        <v>100</v>
      </c>
      <c r="G330" s="2">
        <v>100</v>
      </c>
      <c r="H330" s="2">
        <v>100</v>
      </c>
      <c r="I330" s="2">
        <v>100</v>
      </c>
      <c r="J330" s="2">
        <v>100</v>
      </c>
      <c r="K330" s="2">
        <v>100</v>
      </c>
      <c r="L330" s="2">
        <v>100</v>
      </c>
      <c r="M330" s="2">
        <v>100</v>
      </c>
      <c r="N330" s="2">
        <v>100</v>
      </c>
      <c r="O330" s="2">
        <v>100</v>
      </c>
      <c r="P330" s="2">
        <v>100</v>
      </c>
      <c r="Q330" s="2">
        <v>99</v>
      </c>
      <c r="R330" s="2">
        <v>92</v>
      </c>
      <c r="S330" s="2">
        <v>89</v>
      </c>
      <c r="T330" s="2">
        <v>88</v>
      </c>
      <c r="U330" s="2">
        <v>98</v>
      </c>
      <c r="V330" s="2">
        <v>98</v>
      </c>
      <c r="W330" s="2">
        <v>100</v>
      </c>
      <c r="X330" s="2">
        <v>100</v>
      </c>
      <c r="Y330" s="2">
        <v>100</v>
      </c>
      <c r="Z330" s="2">
        <v>100</v>
      </c>
      <c r="AA330" s="2">
        <v>100</v>
      </c>
      <c r="AC330" s="3">
        <f t="shared" si="5"/>
        <v>98.5</v>
      </c>
    </row>
    <row r="331" spans="2:29" x14ac:dyDescent="0.25">
      <c r="B331" s="4">
        <v>42696</v>
      </c>
      <c r="C331" s="3">
        <v>327</v>
      </c>
      <c r="D331" s="2">
        <v>100</v>
      </c>
      <c r="E331" s="2">
        <v>100</v>
      </c>
      <c r="F331" s="2">
        <v>100</v>
      </c>
      <c r="G331" s="2">
        <v>100</v>
      </c>
      <c r="H331" s="2">
        <v>100</v>
      </c>
      <c r="I331" s="2">
        <v>100</v>
      </c>
      <c r="J331" s="2">
        <v>100</v>
      </c>
      <c r="K331" s="2">
        <v>100</v>
      </c>
      <c r="L331" s="2">
        <v>100</v>
      </c>
      <c r="M331" s="2">
        <v>100</v>
      </c>
      <c r="N331" s="2">
        <v>100</v>
      </c>
      <c r="O331" s="2">
        <v>97</v>
      </c>
      <c r="P331" s="2">
        <v>83</v>
      </c>
      <c r="Q331" s="2">
        <v>90</v>
      </c>
      <c r="R331" s="2">
        <v>89</v>
      </c>
      <c r="S331" s="2">
        <v>86</v>
      </c>
      <c r="T331" s="2">
        <v>91</v>
      </c>
      <c r="U331" s="2">
        <v>96</v>
      </c>
      <c r="V331" s="2">
        <v>90</v>
      </c>
      <c r="W331" s="2">
        <v>92</v>
      </c>
      <c r="X331" s="2">
        <v>96</v>
      </c>
      <c r="Y331" s="2">
        <v>97</v>
      </c>
      <c r="Z331" s="2">
        <v>89</v>
      </c>
      <c r="AA331" s="2">
        <v>89</v>
      </c>
      <c r="AC331" s="3">
        <f t="shared" si="5"/>
        <v>95.208333333333329</v>
      </c>
    </row>
    <row r="332" spans="2:29" x14ac:dyDescent="0.25">
      <c r="B332" s="4">
        <v>42697</v>
      </c>
      <c r="C332" s="3">
        <v>328</v>
      </c>
      <c r="D332" s="2">
        <v>87</v>
      </c>
      <c r="E332" s="2">
        <v>82</v>
      </c>
      <c r="F332" s="2">
        <v>79</v>
      </c>
      <c r="G332" s="2">
        <v>76</v>
      </c>
      <c r="H332" s="2">
        <v>75</v>
      </c>
      <c r="I332" s="2">
        <v>74</v>
      </c>
      <c r="J332" s="2">
        <v>77</v>
      </c>
      <c r="K332" s="2">
        <v>78</v>
      </c>
      <c r="L332" s="2">
        <v>79</v>
      </c>
      <c r="M332" s="2">
        <v>78</v>
      </c>
      <c r="N332" s="2">
        <v>78</v>
      </c>
      <c r="O332" s="2">
        <v>68</v>
      </c>
      <c r="P332" s="2">
        <v>69</v>
      </c>
      <c r="Q332" s="2">
        <v>78</v>
      </c>
      <c r="R332" s="2">
        <v>83</v>
      </c>
      <c r="S332" s="2">
        <v>98</v>
      </c>
      <c r="T332" s="2">
        <v>100</v>
      </c>
      <c r="U332" s="2">
        <v>100</v>
      </c>
      <c r="V332" s="2">
        <v>100</v>
      </c>
      <c r="W332" s="2">
        <v>100</v>
      </c>
      <c r="X332" s="2">
        <v>100</v>
      </c>
      <c r="Y332" s="2">
        <v>100</v>
      </c>
      <c r="Z332" s="2">
        <v>93</v>
      </c>
      <c r="AA332" s="2">
        <v>94</v>
      </c>
      <c r="AC332" s="3">
        <f t="shared" si="5"/>
        <v>85.25</v>
      </c>
    </row>
    <row r="333" spans="2:29" x14ac:dyDescent="0.25">
      <c r="B333" s="4">
        <v>42698</v>
      </c>
      <c r="C333" s="3">
        <v>329</v>
      </c>
      <c r="D333" s="2">
        <v>100</v>
      </c>
      <c r="E333" s="2">
        <v>97</v>
      </c>
      <c r="F333" s="2">
        <v>100</v>
      </c>
      <c r="G333" s="2">
        <v>100</v>
      </c>
      <c r="H333" s="2">
        <v>100</v>
      </c>
      <c r="I333" s="2">
        <v>100</v>
      </c>
      <c r="J333" s="2">
        <v>100</v>
      </c>
      <c r="K333" s="2">
        <v>100</v>
      </c>
      <c r="L333" s="2">
        <v>100</v>
      </c>
      <c r="M333" s="2">
        <v>93</v>
      </c>
      <c r="N333" s="2">
        <v>79</v>
      </c>
      <c r="O333" s="2">
        <v>65</v>
      </c>
      <c r="P333" s="2">
        <v>60</v>
      </c>
      <c r="Q333" s="2">
        <v>59</v>
      </c>
      <c r="R333" s="2">
        <v>52</v>
      </c>
      <c r="S333" s="2">
        <v>53</v>
      </c>
      <c r="T333" s="2">
        <v>66</v>
      </c>
      <c r="U333" s="2">
        <v>70</v>
      </c>
      <c r="V333" s="2">
        <v>90</v>
      </c>
      <c r="W333" s="2">
        <v>100</v>
      </c>
      <c r="X333" s="2">
        <v>100</v>
      </c>
      <c r="Y333" s="2">
        <v>100</v>
      </c>
      <c r="Z333" s="2">
        <v>100</v>
      </c>
      <c r="AA333" s="2">
        <v>100</v>
      </c>
      <c r="AC333" s="3">
        <f t="shared" si="5"/>
        <v>86.833333333333329</v>
      </c>
    </row>
    <row r="334" spans="2:29" x14ac:dyDescent="0.25">
      <c r="B334" s="4">
        <v>42699</v>
      </c>
      <c r="C334" s="3">
        <v>330</v>
      </c>
      <c r="D334" s="2">
        <v>100</v>
      </c>
      <c r="E334" s="2">
        <v>100</v>
      </c>
      <c r="F334" s="2">
        <v>100</v>
      </c>
      <c r="G334" s="2">
        <v>100</v>
      </c>
      <c r="H334" s="2">
        <v>98</v>
      </c>
      <c r="I334" s="2">
        <v>100</v>
      </c>
      <c r="J334" s="2">
        <v>100</v>
      </c>
      <c r="K334" s="2">
        <v>100</v>
      </c>
      <c r="L334" s="2">
        <v>100</v>
      </c>
      <c r="M334" s="2">
        <v>82</v>
      </c>
      <c r="N334" s="2">
        <v>61</v>
      </c>
      <c r="O334" s="2">
        <v>56</v>
      </c>
      <c r="P334" s="2">
        <v>51</v>
      </c>
      <c r="Q334" s="2">
        <v>49</v>
      </c>
      <c r="R334" s="2">
        <v>49</v>
      </c>
      <c r="S334" s="2">
        <v>50</v>
      </c>
      <c r="T334" s="2">
        <v>55</v>
      </c>
      <c r="U334" s="2">
        <v>74</v>
      </c>
      <c r="V334" s="2">
        <v>87</v>
      </c>
      <c r="W334" s="2">
        <v>93</v>
      </c>
      <c r="X334" s="2">
        <v>100</v>
      </c>
      <c r="Y334" s="2">
        <v>96</v>
      </c>
      <c r="Z334" s="2">
        <v>79</v>
      </c>
      <c r="AA334" s="2">
        <v>78</v>
      </c>
      <c r="AC334" s="3">
        <f t="shared" si="5"/>
        <v>81.583333333333329</v>
      </c>
    </row>
    <row r="335" spans="2:29" x14ac:dyDescent="0.25">
      <c r="B335" s="4">
        <v>42700</v>
      </c>
      <c r="C335" s="3">
        <v>331</v>
      </c>
      <c r="D335" s="2">
        <v>79</v>
      </c>
      <c r="E335" s="2">
        <v>76</v>
      </c>
      <c r="F335" s="2">
        <v>78</v>
      </c>
      <c r="G335" s="2">
        <v>75</v>
      </c>
      <c r="H335" s="2">
        <v>72</v>
      </c>
      <c r="I335" s="2">
        <v>71</v>
      </c>
      <c r="J335" s="2">
        <v>71</v>
      </c>
      <c r="K335" s="2">
        <v>70</v>
      </c>
      <c r="L335" s="2">
        <v>69</v>
      </c>
      <c r="M335" s="2">
        <v>68</v>
      </c>
      <c r="N335" s="2">
        <v>68</v>
      </c>
      <c r="O335" s="2">
        <v>78</v>
      </c>
      <c r="P335" s="2">
        <v>66</v>
      </c>
      <c r="Q335" s="2">
        <v>68</v>
      </c>
      <c r="R335" s="2">
        <v>71</v>
      </c>
      <c r="S335" s="2">
        <v>74</v>
      </c>
      <c r="T335" s="2">
        <v>75</v>
      </c>
      <c r="U335" s="2">
        <v>80</v>
      </c>
      <c r="V335" s="2">
        <v>79</v>
      </c>
      <c r="W335" s="2">
        <v>83</v>
      </c>
      <c r="X335" s="2">
        <v>81</v>
      </c>
      <c r="Y335" s="2">
        <v>84</v>
      </c>
      <c r="Z335" s="2">
        <v>89</v>
      </c>
      <c r="AA335" s="2">
        <v>93</v>
      </c>
      <c r="AC335" s="3">
        <f t="shared" si="5"/>
        <v>75.75</v>
      </c>
    </row>
    <row r="336" spans="2:29" x14ac:dyDescent="0.25">
      <c r="B336" s="4">
        <v>42701</v>
      </c>
      <c r="C336" s="3">
        <v>332</v>
      </c>
      <c r="D336" s="2">
        <v>89</v>
      </c>
      <c r="E336" s="2">
        <v>86</v>
      </c>
      <c r="F336" s="2">
        <v>91</v>
      </c>
      <c r="G336" s="2">
        <v>88</v>
      </c>
      <c r="H336" s="2">
        <v>86</v>
      </c>
      <c r="I336" s="2">
        <v>85</v>
      </c>
      <c r="J336" s="2">
        <v>81</v>
      </c>
      <c r="K336" s="2">
        <v>74</v>
      </c>
      <c r="L336" s="2">
        <v>93</v>
      </c>
      <c r="M336" s="2">
        <v>100</v>
      </c>
      <c r="N336" s="2">
        <v>100</v>
      </c>
      <c r="O336" s="2">
        <v>100</v>
      </c>
      <c r="P336" s="2">
        <v>100</v>
      </c>
      <c r="Q336" s="2">
        <v>100</v>
      </c>
      <c r="R336" s="2">
        <v>100</v>
      </c>
      <c r="S336" s="2">
        <v>100</v>
      </c>
      <c r="T336" s="2">
        <v>100</v>
      </c>
      <c r="U336" s="2">
        <v>95</v>
      </c>
      <c r="V336" s="2">
        <v>85</v>
      </c>
      <c r="W336" s="2">
        <v>98</v>
      </c>
      <c r="X336" s="2">
        <v>94</v>
      </c>
      <c r="Y336" s="2">
        <v>93</v>
      </c>
      <c r="Z336" s="2">
        <v>92</v>
      </c>
      <c r="AA336" s="2">
        <v>90</v>
      </c>
      <c r="AC336" s="3">
        <f t="shared" si="5"/>
        <v>92.5</v>
      </c>
    </row>
    <row r="337" spans="2:29" x14ac:dyDescent="0.25">
      <c r="B337" s="4">
        <v>42702</v>
      </c>
      <c r="C337" s="3">
        <v>333</v>
      </c>
      <c r="D337" s="2">
        <v>98</v>
      </c>
      <c r="E337" s="2">
        <v>99</v>
      </c>
      <c r="F337" s="2">
        <v>92</v>
      </c>
      <c r="G337" s="2">
        <v>95</v>
      </c>
      <c r="H337" s="2">
        <v>93</v>
      </c>
      <c r="I337" s="2">
        <v>92</v>
      </c>
      <c r="J337" s="2">
        <v>87</v>
      </c>
      <c r="K337" s="2">
        <v>100</v>
      </c>
      <c r="L337" s="2">
        <v>100</v>
      </c>
      <c r="M337" s="2">
        <v>98</v>
      </c>
      <c r="N337" s="2">
        <v>78</v>
      </c>
      <c r="O337" s="2">
        <v>63</v>
      </c>
      <c r="P337" s="2">
        <v>61</v>
      </c>
      <c r="Q337" s="2">
        <v>65</v>
      </c>
      <c r="R337" s="2">
        <v>66</v>
      </c>
      <c r="S337" s="2">
        <v>69</v>
      </c>
      <c r="T337" s="2">
        <v>77</v>
      </c>
      <c r="U337" s="2">
        <v>83</v>
      </c>
      <c r="V337" s="2">
        <v>100</v>
      </c>
      <c r="W337" s="2">
        <v>100</v>
      </c>
      <c r="X337" s="2">
        <v>100</v>
      </c>
      <c r="Y337" s="2">
        <v>100</v>
      </c>
      <c r="Z337" s="2">
        <v>100</v>
      </c>
      <c r="AA337" s="2">
        <v>100</v>
      </c>
      <c r="AC337" s="3">
        <f t="shared" si="5"/>
        <v>88.166666666666671</v>
      </c>
    </row>
    <row r="338" spans="2:29" x14ac:dyDescent="0.25">
      <c r="B338" s="4">
        <v>42703</v>
      </c>
      <c r="C338" s="3">
        <v>334</v>
      </c>
      <c r="D338" s="2">
        <v>100</v>
      </c>
      <c r="E338" s="2">
        <v>100</v>
      </c>
      <c r="F338" s="2">
        <v>100</v>
      </c>
      <c r="G338" s="2">
        <v>100</v>
      </c>
      <c r="H338" s="2">
        <v>97</v>
      </c>
      <c r="I338" s="2">
        <v>100</v>
      </c>
      <c r="J338" s="2">
        <v>100</v>
      </c>
      <c r="K338" s="2">
        <v>100</v>
      </c>
      <c r="L338" s="2">
        <v>99</v>
      </c>
      <c r="M338" s="2">
        <v>98</v>
      </c>
      <c r="N338" s="2">
        <v>83</v>
      </c>
      <c r="O338" s="2">
        <v>70</v>
      </c>
      <c r="P338" s="2">
        <v>65</v>
      </c>
      <c r="Q338" s="2">
        <v>59</v>
      </c>
      <c r="R338" s="2">
        <v>62</v>
      </c>
      <c r="S338" s="2">
        <v>64</v>
      </c>
      <c r="T338" s="2">
        <v>74</v>
      </c>
      <c r="U338" s="2">
        <v>78</v>
      </c>
      <c r="V338" s="2">
        <v>81</v>
      </c>
      <c r="W338" s="2">
        <v>85</v>
      </c>
      <c r="X338" s="2">
        <v>83</v>
      </c>
      <c r="Y338" s="2">
        <v>81</v>
      </c>
      <c r="Z338" s="2">
        <v>81</v>
      </c>
      <c r="AA338" s="2">
        <v>80</v>
      </c>
      <c r="AC338" s="3">
        <f t="shared" si="5"/>
        <v>85</v>
      </c>
    </row>
    <row r="339" spans="2:29" x14ac:dyDescent="0.25">
      <c r="B339" s="4">
        <v>42704</v>
      </c>
      <c r="C339" s="3">
        <v>335</v>
      </c>
      <c r="D339" s="2">
        <v>82</v>
      </c>
      <c r="E339" s="2">
        <v>80</v>
      </c>
      <c r="F339" s="2">
        <v>80</v>
      </c>
      <c r="G339" s="2">
        <v>78</v>
      </c>
      <c r="H339" s="2">
        <v>77</v>
      </c>
      <c r="I339" s="2">
        <v>78</v>
      </c>
      <c r="J339" s="2">
        <v>80</v>
      </c>
      <c r="K339" s="2">
        <v>77</v>
      </c>
      <c r="L339" s="2">
        <v>77</v>
      </c>
      <c r="M339" s="2">
        <v>70</v>
      </c>
      <c r="N339" s="2">
        <v>61</v>
      </c>
      <c r="O339" s="2">
        <v>59</v>
      </c>
      <c r="P339" s="2">
        <v>59</v>
      </c>
      <c r="Q339" s="2">
        <v>56</v>
      </c>
      <c r="R339" s="2">
        <v>60</v>
      </c>
      <c r="S339" s="2">
        <v>64</v>
      </c>
      <c r="T339" s="2">
        <v>63</v>
      </c>
      <c r="U339" s="2">
        <v>69</v>
      </c>
      <c r="V339" s="2">
        <v>90</v>
      </c>
      <c r="W339" s="2">
        <v>100</v>
      </c>
      <c r="X339" s="2">
        <v>88</v>
      </c>
      <c r="Y339" s="2">
        <v>88</v>
      </c>
      <c r="Z339" s="2">
        <v>100</v>
      </c>
      <c r="AA339" s="2">
        <v>100</v>
      </c>
      <c r="AC339" s="3">
        <f t="shared" si="5"/>
        <v>76.5</v>
      </c>
    </row>
    <row r="340" spans="2:29" x14ac:dyDescent="0.25">
      <c r="B340" s="4">
        <v>42705</v>
      </c>
      <c r="C340" s="3">
        <v>336</v>
      </c>
      <c r="D340" s="2">
        <v>100</v>
      </c>
      <c r="E340" s="2">
        <v>100</v>
      </c>
      <c r="F340" s="2">
        <v>100</v>
      </c>
      <c r="G340" s="2">
        <v>100</v>
      </c>
      <c r="H340" s="2">
        <v>100</v>
      </c>
      <c r="I340" s="2">
        <v>100</v>
      </c>
      <c r="J340" s="2">
        <v>100</v>
      </c>
      <c r="K340" s="2">
        <v>100</v>
      </c>
      <c r="L340" s="2">
        <v>100</v>
      </c>
      <c r="M340" s="2">
        <v>93</v>
      </c>
      <c r="N340" s="2">
        <v>82</v>
      </c>
      <c r="O340" s="2">
        <v>64</v>
      </c>
      <c r="P340" s="2">
        <v>65</v>
      </c>
      <c r="Q340" s="2">
        <v>62</v>
      </c>
      <c r="R340" s="2">
        <v>65</v>
      </c>
      <c r="S340" s="2">
        <v>69</v>
      </c>
      <c r="T340" s="2">
        <v>77</v>
      </c>
      <c r="U340" s="2">
        <v>79</v>
      </c>
      <c r="V340" s="2">
        <v>92</v>
      </c>
      <c r="W340" s="2">
        <v>100</v>
      </c>
      <c r="X340" s="2">
        <v>100</v>
      </c>
      <c r="Y340" s="2">
        <v>100</v>
      </c>
      <c r="Z340" s="2">
        <v>100</v>
      </c>
      <c r="AA340" s="2">
        <v>100</v>
      </c>
      <c r="AC340" s="3">
        <f t="shared" si="5"/>
        <v>89.5</v>
      </c>
    </row>
    <row r="341" spans="2:29" x14ac:dyDescent="0.25">
      <c r="B341" s="4">
        <v>42706</v>
      </c>
      <c r="C341" s="3">
        <v>337</v>
      </c>
      <c r="D341" s="2">
        <v>100</v>
      </c>
      <c r="E341" s="2">
        <v>100</v>
      </c>
      <c r="F341" s="2">
        <v>100</v>
      </c>
      <c r="G341" s="2">
        <v>100</v>
      </c>
      <c r="H341" s="2">
        <v>100</v>
      </c>
      <c r="I341" s="2">
        <v>100</v>
      </c>
      <c r="J341" s="2">
        <v>100</v>
      </c>
      <c r="K341" s="2">
        <v>100</v>
      </c>
      <c r="L341" s="2">
        <v>100</v>
      </c>
      <c r="M341" s="2">
        <v>92</v>
      </c>
      <c r="N341" s="2">
        <v>69</v>
      </c>
      <c r="O341" s="2">
        <v>61</v>
      </c>
      <c r="P341" s="2">
        <v>58</v>
      </c>
      <c r="Q341" s="2">
        <v>55</v>
      </c>
      <c r="R341" s="2">
        <v>55</v>
      </c>
      <c r="S341" s="2">
        <v>58</v>
      </c>
      <c r="T341" s="2">
        <v>61</v>
      </c>
      <c r="U341" s="2">
        <v>72</v>
      </c>
      <c r="V341" s="2">
        <v>96</v>
      </c>
      <c r="W341" s="2">
        <v>100</v>
      </c>
      <c r="X341" s="2">
        <v>100</v>
      </c>
      <c r="Y341" s="2">
        <v>100</v>
      </c>
      <c r="Z341" s="2">
        <v>100</v>
      </c>
      <c r="AA341" s="2">
        <v>100</v>
      </c>
      <c r="AC341" s="3">
        <f t="shared" si="5"/>
        <v>86.541666666666671</v>
      </c>
    </row>
    <row r="342" spans="2:29" x14ac:dyDescent="0.25">
      <c r="B342" s="4">
        <v>42707</v>
      </c>
      <c r="C342" s="3">
        <v>338</v>
      </c>
      <c r="D342" s="2">
        <v>100</v>
      </c>
      <c r="E342" s="2">
        <v>100</v>
      </c>
      <c r="F342" s="2">
        <v>100</v>
      </c>
      <c r="G342" s="2">
        <v>100</v>
      </c>
      <c r="H342" s="2">
        <v>100</v>
      </c>
      <c r="I342" s="2">
        <v>100</v>
      </c>
      <c r="J342" s="2">
        <v>100</v>
      </c>
      <c r="K342" s="2">
        <v>100</v>
      </c>
      <c r="L342" s="2">
        <v>100</v>
      </c>
      <c r="M342" s="2">
        <v>100</v>
      </c>
      <c r="N342" s="2">
        <v>78</v>
      </c>
      <c r="O342" s="2">
        <v>66</v>
      </c>
      <c r="P342" s="2">
        <v>64</v>
      </c>
      <c r="Q342" s="2">
        <v>66</v>
      </c>
      <c r="R342" s="2">
        <v>69</v>
      </c>
      <c r="S342" s="2">
        <v>75</v>
      </c>
      <c r="T342" s="2">
        <v>79</v>
      </c>
      <c r="U342" s="2">
        <v>82</v>
      </c>
      <c r="V342" s="2">
        <v>88</v>
      </c>
      <c r="W342" s="2">
        <v>89</v>
      </c>
      <c r="X342" s="2">
        <v>91</v>
      </c>
      <c r="Y342" s="2">
        <v>85</v>
      </c>
      <c r="Z342" s="2">
        <v>79</v>
      </c>
      <c r="AA342" s="2">
        <v>78</v>
      </c>
      <c r="AC342" s="3">
        <f t="shared" si="5"/>
        <v>87.041666666666671</v>
      </c>
    </row>
    <row r="343" spans="2:29" x14ac:dyDescent="0.25">
      <c r="B343" s="4">
        <v>42708</v>
      </c>
      <c r="C343" s="3">
        <v>339</v>
      </c>
      <c r="D343" s="2">
        <v>78</v>
      </c>
      <c r="E343" s="2">
        <v>77</v>
      </c>
      <c r="F343" s="2">
        <v>77</v>
      </c>
      <c r="G343" s="2">
        <v>78</v>
      </c>
      <c r="H343" s="2">
        <v>80</v>
      </c>
      <c r="I343" s="2">
        <v>81</v>
      </c>
      <c r="J343" s="2">
        <v>84</v>
      </c>
      <c r="K343" s="2">
        <v>86</v>
      </c>
      <c r="L343" s="2">
        <v>83</v>
      </c>
      <c r="M343" s="2">
        <v>78</v>
      </c>
      <c r="N343" s="2">
        <v>79</v>
      </c>
      <c r="O343" s="2">
        <v>96</v>
      </c>
      <c r="P343" s="2">
        <v>100</v>
      </c>
      <c r="Q343" s="2">
        <v>100</v>
      </c>
      <c r="R343" s="2">
        <v>88</v>
      </c>
      <c r="S343" s="2">
        <v>76</v>
      </c>
      <c r="T343" s="2">
        <v>82</v>
      </c>
      <c r="U343" s="2">
        <v>89</v>
      </c>
      <c r="V343" s="2">
        <v>88</v>
      </c>
      <c r="W343" s="2">
        <v>87</v>
      </c>
      <c r="X343" s="2">
        <v>84</v>
      </c>
      <c r="Y343" s="2">
        <v>87</v>
      </c>
      <c r="Z343" s="2">
        <v>86</v>
      </c>
      <c r="AA343" s="2">
        <v>85</v>
      </c>
      <c r="AC343" s="3">
        <f t="shared" si="5"/>
        <v>84.541666666666671</v>
      </c>
    </row>
    <row r="344" spans="2:29" x14ac:dyDescent="0.25">
      <c r="B344" s="4">
        <v>42709</v>
      </c>
      <c r="C344" s="3">
        <v>340</v>
      </c>
      <c r="D344" s="2">
        <v>84</v>
      </c>
      <c r="E344" s="2">
        <v>85</v>
      </c>
      <c r="F344" s="2">
        <v>83</v>
      </c>
      <c r="G344" s="2">
        <v>81</v>
      </c>
      <c r="H344" s="2">
        <v>78</v>
      </c>
      <c r="I344" s="2">
        <v>77</v>
      </c>
      <c r="J344" s="2">
        <v>79</v>
      </c>
      <c r="K344" s="2">
        <v>78</v>
      </c>
      <c r="L344" s="2">
        <v>78</v>
      </c>
      <c r="M344" s="2">
        <v>78</v>
      </c>
      <c r="N344" s="2">
        <v>75</v>
      </c>
      <c r="O344" s="2">
        <v>71</v>
      </c>
      <c r="P344" s="2">
        <v>70</v>
      </c>
      <c r="Q344" s="2">
        <v>68</v>
      </c>
      <c r="R344" s="2">
        <v>67</v>
      </c>
      <c r="S344" s="2">
        <v>67</v>
      </c>
      <c r="T344" s="2">
        <v>67</v>
      </c>
      <c r="U344" s="2">
        <v>74</v>
      </c>
      <c r="V344" s="2">
        <v>76</v>
      </c>
      <c r="W344" s="2">
        <v>80</v>
      </c>
      <c r="X344" s="2">
        <v>84</v>
      </c>
      <c r="Y344" s="2">
        <v>100</v>
      </c>
      <c r="Z344" s="2">
        <v>100</v>
      </c>
      <c r="AA344" s="2">
        <v>97</v>
      </c>
      <c r="AC344" s="3">
        <f t="shared" si="5"/>
        <v>79.041666666666671</v>
      </c>
    </row>
    <row r="345" spans="2:29" x14ac:dyDescent="0.25">
      <c r="B345" s="4">
        <v>42710</v>
      </c>
      <c r="C345" s="3">
        <v>341</v>
      </c>
      <c r="D345" s="2">
        <v>95</v>
      </c>
      <c r="E345" s="2">
        <v>96</v>
      </c>
      <c r="F345" s="2">
        <v>100</v>
      </c>
      <c r="G345" s="2">
        <v>99</v>
      </c>
      <c r="H345" s="2">
        <v>100</v>
      </c>
      <c r="I345" s="2">
        <v>100</v>
      </c>
      <c r="J345" s="2">
        <v>90</v>
      </c>
      <c r="K345" s="2">
        <v>93</v>
      </c>
      <c r="L345" s="2">
        <v>84</v>
      </c>
      <c r="M345" s="2">
        <v>78</v>
      </c>
      <c r="N345" s="2">
        <v>67</v>
      </c>
      <c r="O345" s="2">
        <v>60</v>
      </c>
      <c r="P345" s="2">
        <v>50</v>
      </c>
      <c r="Q345" s="2">
        <v>48</v>
      </c>
      <c r="R345" s="2">
        <v>52</v>
      </c>
      <c r="S345" s="2">
        <v>57</v>
      </c>
      <c r="T345" s="2">
        <v>59</v>
      </c>
      <c r="U345" s="2">
        <v>74</v>
      </c>
      <c r="V345" s="2">
        <v>100</v>
      </c>
      <c r="W345" s="2">
        <v>100</v>
      </c>
      <c r="X345" s="2">
        <v>100</v>
      </c>
      <c r="Y345" s="2">
        <v>100</v>
      </c>
      <c r="Z345" s="2">
        <v>100</v>
      </c>
      <c r="AA345" s="2">
        <v>100</v>
      </c>
      <c r="AC345" s="3">
        <f t="shared" si="5"/>
        <v>83.416666666666671</v>
      </c>
    </row>
    <row r="346" spans="2:29" x14ac:dyDescent="0.25">
      <c r="B346" s="4">
        <v>42711</v>
      </c>
      <c r="C346" s="3">
        <v>342</v>
      </c>
      <c r="D346" s="2">
        <v>100</v>
      </c>
      <c r="E346" s="2">
        <v>100</v>
      </c>
      <c r="F346" s="2">
        <v>100</v>
      </c>
      <c r="G346" s="2">
        <v>100</v>
      </c>
      <c r="H346" s="2">
        <v>100</v>
      </c>
      <c r="I346" s="2">
        <v>100</v>
      </c>
      <c r="J346" s="2">
        <v>100</v>
      </c>
      <c r="K346" s="2">
        <v>100</v>
      </c>
      <c r="L346" s="2">
        <v>100</v>
      </c>
      <c r="M346" s="2">
        <v>92</v>
      </c>
      <c r="N346" s="2">
        <v>75</v>
      </c>
      <c r="O346" s="2">
        <v>61</v>
      </c>
      <c r="P346" s="2">
        <v>53</v>
      </c>
      <c r="Q346" s="2">
        <v>51</v>
      </c>
      <c r="R346" s="2">
        <v>49</v>
      </c>
      <c r="S346" s="2">
        <v>59</v>
      </c>
      <c r="T346" s="2">
        <v>63</v>
      </c>
      <c r="U346" s="2">
        <v>78</v>
      </c>
      <c r="V346" s="2">
        <v>96</v>
      </c>
      <c r="W346" s="2">
        <v>100</v>
      </c>
      <c r="X346" s="2">
        <v>100</v>
      </c>
      <c r="Y346" s="2">
        <v>100</v>
      </c>
      <c r="Z346" s="2">
        <v>100</v>
      </c>
      <c r="AA346" s="2">
        <v>100</v>
      </c>
      <c r="AC346" s="3">
        <f t="shared" si="5"/>
        <v>86.541666666666671</v>
      </c>
    </row>
    <row r="347" spans="2:29" x14ac:dyDescent="0.25">
      <c r="B347" s="4">
        <v>42712</v>
      </c>
      <c r="C347" s="3">
        <v>343</v>
      </c>
      <c r="D347" s="2">
        <v>100</v>
      </c>
      <c r="E347" s="2">
        <v>100</v>
      </c>
      <c r="F347" s="2">
        <v>100</v>
      </c>
      <c r="G347" s="2">
        <v>100</v>
      </c>
      <c r="H347" s="2">
        <v>100</v>
      </c>
      <c r="I347" s="2">
        <v>100</v>
      </c>
      <c r="J347" s="2">
        <v>100</v>
      </c>
      <c r="K347" s="2">
        <v>100</v>
      </c>
      <c r="L347" s="2">
        <v>100</v>
      </c>
      <c r="M347" s="2">
        <v>88</v>
      </c>
      <c r="N347" s="2">
        <v>75</v>
      </c>
      <c r="O347" s="2">
        <v>61</v>
      </c>
      <c r="P347" s="2">
        <v>54</v>
      </c>
      <c r="Q347" s="2">
        <v>52</v>
      </c>
      <c r="R347" s="2">
        <v>56</v>
      </c>
      <c r="S347" s="2">
        <v>55</v>
      </c>
      <c r="T347" s="2">
        <v>61</v>
      </c>
      <c r="U347" s="2">
        <v>78</v>
      </c>
      <c r="V347" s="2">
        <v>100</v>
      </c>
      <c r="W347" s="2">
        <v>100</v>
      </c>
      <c r="X347" s="2">
        <v>100</v>
      </c>
      <c r="Y347" s="2">
        <v>100</v>
      </c>
      <c r="Z347" s="2">
        <v>100</v>
      </c>
      <c r="AA347" s="2">
        <v>100</v>
      </c>
      <c r="AC347" s="3">
        <f t="shared" si="5"/>
        <v>86.666666666666671</v>
      </c>
    </row>
    <row r="348" spans="2:29" x14ac:dyDescent="0.25">
      <c r="B348" s="4">
        <v>42713</v>
      </c>
      <c r="C348" s="3">
        <v>344</v>
      </c>
      <c r="D348" s="2">
        <v>100</v>
      </c>
      <c r="E348" s="2">
        <v>100</v>
      </c>
      <c r="F348" s="2">
        <v>100</v>
      </c>
      <c r="G348" s="2">
        <v>100</v>
      </c>
      <c r="H348" s="2">
        <v>100</v>
      </c>
      <c r="I348" s="2">
        <v>100</v>
      </c>
      <c r="J348" s="2">
        <v>100</v>
      </c>
      <c r="K348" s="2">
        <v>100</v>
      </c>
      <c r="L348" s="2">
        <v>100</v>
      </c>
      <c r="M348" s="2">
        <v>87</v>
      </c>
      <c r="N348" s="2">
        <v>58</v>
      </c>
      <c r="O348" s="2">
        <v>54</v>
      </c>
      <c r="P348" s="2">
        <v>49</v>
      </c>
      <c r="Q348" s="2">
        <v>48</v>
      </c>
      <c r="R348" s="2">
        <v>46</v>
      </c>
      <c r="S348" s="2">
        <v>53</v>
      </c>
      <c r="T348" s="2">
        <v>56</v>
      </c>
      <c r="U348" s="2">
        <v>75</v>
      </c>
      <c r="V348" s="2">
        <v>99</v>
      </c>
      <c r="W348" s="2">
        <v>94</v>
      </c>
      <c r="X348" s="2">
        <v>100</v>
      </c>
      <c r="Y348" s="2">
        <v>100</v>
      </c>
      <c r="Z348" s="2">
        <v>100</v>
      </c>
      <c r="AA348" s="2">
        <v>100</v>
      </c>
      <c r="AC348" s="3">
        <f t="shared" si="5"/>
        <v>84.125</v>
      </c>
    </row>
    <row r="349" spans="2:29" x14ac:dyDescent="0.25">
      <c r="B349" s="4">
        <v>42714</v>
      </c>
      <c r="C349" s="3">
        <v>345</v>
      </c>
      <c r="D349" s="2">
        <v>100</v>
      </c>
      <c r="E349" s="2">
        <v>99</v>
      </c>
      <c r="F349" s="2">
        <v>100</v>
      </c>
      <c r="G349" s="2">
        <v>100</v>
      </c>
      <c r="H349" s="2">
        <v>96</v>
      </c>
      <c r="I349" s="2">
        <v>100</v>
      </c>
      <c r="J349" s="2">
        <v>100</v>
      </c>
      <c r="K349" s="2">
        <v>100</v>
      </c>
      <c r="L349" s="2">
        <v>100</v>
      </c>
      <c r="M349" s="2">
        <v>82</v>
      </c>
      <c r="N349" s="2">
        <v>73</v>
      </c>
      <c r="O349" s="2">
        <v>59</v>
      </c>
      <c r="P349" s="2">
        <v>56</v>
      </c>
      <c r="Q349" s="2">
        <v>55</v>
      </c>
      <c r="R349" s="2">
        <v>56</v>
      </c>
      <c r="S349" s="2">
        <v>61</v>
      </c>
      <c r="T349" s="2">
        <v>61</v>
      </c>
      <c r="U349" s="2">
        <v>76</v>
      </c>
      <c r="V349" s="2">
        <v>96</v>
      </c>
      <c r="W349" s="2">
        <v>100</v>
      </c>
      <c r="X349" s="2">
        <v>100</v>
      </c>
      <c r="Y349" s="2">
        <v>100</v>
      </c>
      <c r="Z349" s="2">
        <v>100</v>
      </c>
      <c r="AA349" s="2">
        <v>100</v>
      </c>
      <c r="AC349" s="3">
        <f t="shared" si="5"/>
        <v>86.25</v>
      </c>
    </row>
    <row r="350" spans="2:29" x14ac:dyDescent="0.25">
      <c r="B350" s="4">
        <v>42715</v>
      </c>
      <c r="C350" s="3">
        <v>346</v>
      </c>
      <c r="D350" s="2">
        <v>100</v>
      </c>
      <c r="E350" s="2">
        <v>100</v>
      </c>
      <c r="F350" s="2">
        <v>100</v>
      </c>
      <c r="G350" s="2">
        <v>100</v>
      </c>
      <c r="H350" s="2">
        <v>100</v>
      </c>
      <c r="I350" s="2">
        <v>100</v>
      </c>
      <c r="J350" s="2">
        <v>100</v>
      </c>
      <c r="K350" s="2">
        <v>100</v>
      </c>
      <c r="L350" s="2">
        <v>100</v>
      </c>
      <c r="M350" s="2">
        <v>98</v>
      </c>
      <c r="N350" s="2">
        <v>76</v>
      </c>
      <c r="O350" s="2">
        <v>68</v>
      </c>
      <c r="P350" s="2">
        <v>62</v>
      </c>
      <c r="Q350" s="2">
        <v>59</v>
      </c>
      <c r="R350" s="2">
        <v>58</v>
      </c>
      <c r="S350" s="2">
        <v>55</v>
      </c>
      <c r="T350" s="2">
        <v>60</v>
      </c>
      <c r="U350" s="2">
        <v>71</v>
      </c>
      <c r="V350" s="2">
        <v>92</v>
      </c>
      <c r="W350" s="2">
        <v>100</v>
      </c>
      <c r="X350" s="2">
        <v>96</v>
      </c>
      <c r="Y350" s="2">
        <v>100</v>
      </c>
      <c r="Z350" s="2">
        <v>100</v>
      </c>
      <c r="AA350" s="2">
        <v>100</v>
      </c>
      <c r="AC350" s="3">
        <f t="shared" si="5"/>
        <v>87.291666666666671</v>
      </c>
    </row>
    <row r="351" spans="2:29" x14ac:dyDescent="0.25">
      <c r="B351" s="4">
        <v>42716</v>
      </c>
      <c r="C351" s="3">
        <v>347</v>
      </c>
      <c r="D351" s="2">
        <v>100</v>
      </c>
      <c r="E351" s="2">
        <v>100</v>
      </c>
      <c r="F351" s="2">
        <v>100</v>
      </c>
      <c r="G351" s="2">
        <v>100</v>
      </c>
      <c r="H351" s="2">
        <v>100</v>
      </c>
      <c r="I351" s="2">
        <v>100</v>
      </c>
      <c r="J351" s="2">
        <v>100</v>
      </c>
      <c r="K351" s="2">
        <v>100</v>
      </c>
      <c r="L351" s="2">
        <v>100</v>
      </c>
      <c r="M351" s="2">
        <v>93</v>
      </c>
      <c r="N351" s="2">
        <v>73</v>
      </c>
      <c r="O351" s="2">
        <v>60</v>
      </c>
      <c r="P351" s="2">
        <v>59</v>
      </c>
      <c r="Q351" s="2">
        <v>51</v>
      </c>
      <c r="R351" s="2">
        <v>47</v>
      </c>
      <c r="S351" s="2">
        <v>46</v>
      </c>
      <c r="T351" s="2">
        <v>49</v>
      </c>
      <c r="U351" s="2">
        <v>68</v>
      </c>
      <c r="V351" s="2">
        <v>87</v>
      </c>
      <c r="W351" s="2">
        <v>100</v>
      </c>
      <c r="X351" s="2">
        <v>99</v>
      </c>
      <c r="Y351" s="2">
        <v>99</v>
      </c>
      <c r="Z351" s="2">
        <v>91</v>
      </c>
      <c r="AA351" s="2">
        <v>90</v>
      </c>
      <c r="AC351" s="3">
        <f t="shared" si="5"/>
        <v>83.833333333333329</v>
      </c>
    </row>
    <row r="352" spans="2:29" x14ac:dyDescent="0.25">
      <c r="B352" s="4">
        <v>42717</v>
      </c>
      <c r="C352" s="3">
        <v>348</v>
      </c>
      <c r="D352" s="2">
        <v>97</v>
      </c>
      <c r="E352" s="2">
        <v>77</v>
      </c>
      <c r="F352" s="2">
        <v>78</v>
      </c>
      <c r="G352" s="2">
        <v>79</v>
      </c>
      <c r="H352" s="2">
        <v>81</v>
      </c>
      <c r="I352" s="2">
        <v>83</v>
      </c>
      <c r="J352" s="2">
        <v>94</v>
      </c>
      <c r="K352" s="2">
        <v>98</v>
      </c>
      <c r="L352" s="2">
        <v>99</v>
      </c>
      <c r="M352" s="2">
        <v>76</v>
      </c>
      <c r="N352" s="2">
        <v>65</v>
      </c>
      <c r="O352" s="2">
        <v>56</v>
      </c>
      <c r="P352" s="2">
        <v>64</v>
      </c>
      <c r="Q352" s="2">
        <v>66</v>
      </c>
      <c r="R352" s="2">
        <v>69</v>
      </c>
      <c r="S352" s="2">
        <v>70</v>
      </c>
      <c r="T352" s="2">
        <v>72</v>
      </c>
      <c r="U352" s="2">
        <v>85</v>
      </c>
      <c r="V352" s="2">
        <v>100</v>
      </c>
      <c r="W352" s="2">
        <v>100</v>
      </c>
      <c r="X352" s="2">
        <v>100</v>
      </c>
      <c r="Y352" s="2">
        <v>100</v>
      </c>
      <c r="Z352" s="2">
        <v>100</v>
      </c>
      <c r="AA352" s="2">
        <v>100</v>
      </c>
      <c r="AC352" s="3">
        <f t="shared" si="5"/>
        <v>83.708333333333329</v>
      </c>
    </row>
    <row r="353" spans="2:29" x14ac:dyDescent="0.25">
      <c r="B353" s="4">
        <v>42718</v>
      </c>
      <c r="C353" s="3">
        <v>349</v>
      </c>
      <c r="D353" s="2">
        <v>100</v>
      </c>
      <c r="E353" s="2">
        <v>100</v>
      </c>
      <c r="F353" s="2">
        <v>100</v>
      </c>
      <c r="G353" s="2">
        <v>100</v>
      </c>
      <c r="H353" s="2">
        <v>100</v>
      </c>
      <c r="I353" s="2">
        <v>100</v>
      </c>
      <c r="J353" s="2">
        <v>100</v>
      </c>
      <c r="K353" s="2">
        <v>99</v>
      </c>
      <c r="L353" s="2">
        <v>100</v>
      </c>
      <c r="M353" s="2">
        <v>89</v>
      </c>
      <c r="N353" s="2">
        <v>78</v>
      </c>
      <c r="O353" s="2">
        <v>72</v>
      </c>
      <c r="P353" s="2">
        <v>68</v>
      </c>
      <c r="Q353" s="2">
        <v>66</v>
      </c>
      <c r="R353" s="2">
        <v>66</v>
      </c>
      <c r="S353" s="2">
        <v>67</v>
      </c>
      <c r="T353" s="2">
        <v>70</v>
      </c>
      <c r="U353" s="2">
        <v>83</v>
      </c>
      <c r="V353" s="2">
        <v>99</v>
      </c>
      <c r="W353" s="2">
        <v>100</v>
      </c>
      <c r="X353" s="2">
        <v>100</v>
      </c>
      <c r="Y353" s="2">
        <v>100</v>
      </c>
      <c r="Z353" s="2">
        <v>100</v>
      </c>
      <c r="AA353" s="2">
        <v>100</v>
      </c>
      <c r="AC353" s="3">
        <f t="shared" si="5"/>
        <v>89.875</v>
      </c>
    </row>
    <row r="354" spans="2:29" x14ac:dyDescent="0.25">
      <c r="B354" s="4">
        <v>42719</v>
      </c>
      <c r="C354" s="3">
        <v>350</v>
      </c>
      <c r="D354" s="2">
        <v>95</v>
      </c>
      <c r="E354" s="2">
        <v>88</v>
      </c>
      <c r="F354" s="2">
        <v>100</v>
      </c>
      <c r="G354" s="2">
        <v>100</v>
      </c>
      <c r="H354" s="2">
        <v>100</v>
      </c>
      <c r="I354" s="2">
        <v>100</v>
      </c>
      <c r="J354" s="2">
        <v>100</v>
      </c>
      <c r="K354" s="2">
        <v>100</v>
      </c>
      <c r="L354" s="2">
        <v>100</v>
      </c>
      <c r="M354" s="2">
        <v>98</v>
      </c>
      <c r="N354" s="2">
        <v>91</v>
      </c>
      <c r="O354" s="2">
        <v>89</v>
      </c>
      <c r="P354" s="2">
        <v>88</v>
      </c>
      <c r="Q354" s="2">
        <v>100</v>
      </c>
      <c r="R354" s="2">
        <v>100</v>
      </c>
      <c r="S354" s="2">
        <v>100</v>
      </c>
      <c r="T354" s="2">
        <v>86</v>
      </c>
      <c r="U354" s="2">
        <v>98</v>
      </c>
      <c r="V354" s="2">
        <v>100</v>
      </c>
      <c r="W354" s="2">
        <v>99</v>
      </c>
      <c r="X354" s="2">
        <v>100</v>
      </c>
      <c r="Y354" s="2">
        <v>100</v>
      </c>
      <c r="Z354" s="2">
        <v>96</v>
      </c>
      <c r="AA354" s="2">
        <v>99</v>
      </c>
      <c r="AC354" s="3">
        <f t="shared" si="5"/>
        <v>96.958333333333329</v>
      </c>
    </row>
    <row r="355" spans="2:29" x14ac:dyDescent="0.25">
      <c r="B355" s="4">
        <v>42720</v>
      </c>
      <c r="C355" s="3">
        <v>351</v>
      </c>
      <c r="D355" s="2">
        <v>99</v>
      </c>
      <c r="E355" s="2">
        <v>100</v>
      </c>
      <c r="F355" s="2">
        <v>100</v>
      </c>
      <c r="G355" s="2">
        <v>100</v>
      </c>
      <c r="H355" s="2">
        <v>100</v>
      </c>
      <c r="I355" s="2">
        <v>100</v>
      </c>
      <c r="J355" s="2">
        <v>100</v>
      </c>
      <c r="K355" s="2">
        <v>100</v>
      </c>
      <c r="L355" s="2">
        <v>100</v>
      </c>
      <c r="M355" s="2">
        <v>94</v>
      </c>
      <c r="N355" s="2">
        <v>85</v>
      </c>
      <c r="O355" s="2">
        <v>85</v>
      </c>
      <c r="P355" s="2">
        <v>85</v>
      </c>
      <c r="Q355" s="2">
        <v>96</v>
      </c>
      <c r="R355" s="2">
        <v>90</v>
      </c>
      <c r="S355" s="2">
        <v>84</v>
      </c>
      <c r="T355" s="2">
        <v>88</v>
      </c>
      <c r="U355" s="2">
        <v>90</v>
      </c>
      <c r="V355" s="2">
        <v>87</v>
      </c>
      <c r="W355" s="2">
        <v>100</v>
      </c>
      <c r="X355" s="2">
        <v>100</v>
      </c>
      <c r="Y355" s="2">
        <v>100</v>
      </c>
      <c r="Z355" s="2">
        <v>100</v>
      </c>
      <c r="AA355" s="2">
        <v>93</v>
      </c>
      <c r="AC355" s="3">
        <f t="shared" si="5"/>
        <v>94.833333333333329</v>
      </c>
    </row>
    <row r="356" spans="2:29" x14ac:dyDescent="0.25">
      <c r="B356" s="4">
        <v>42721</v>
      </c>
      <c r="C356" s="3">
        <v>352</v>
      </c>
      <c r="D356" s="2">
        <v>83</v>
      </c>
      <c r="E356" s="2">
        <v>79</v>
      </c>
      <c r="F356" s="2">
        <v>82</v>
      </c>
      <c r="G356" s="2">
        <v>83</v>
      </c>
      <c r="H356" s="2">
        <v>83</v>
      </c>
      <c r="I356" s="2">
        <v>84</v>
      </c>
      <c r="J356" s="2">
        <v>83</v>
      </c>
      <c r="K356" s="2">
        <v>80</v>
      </c>
      <c r="L356" s="2">
        <v>79</v>
      </c>
      <c r="M356" s="2">
        <v>90</v>
      </c>
      <c r="N356" s="2">
        <v>79</v>
      </c>
      <c r="O356" s="2">
        <v>74</v>
      </c>
      <c r="P356" s="2">
        <v>70</v>
      </c>
      <c r="Q356" s="2">
        <v>67</v>
      </c>
      <c r="R356" s="2">
        <v>62</v>
      </c>
      <c r="S356" s="2">
        <v>58</v>
      </c>
      <c r="T356" s="2">
        <v>59</v>
      </c>
      <c r="U356" s="2">
        <v>61</v>
      </c>
      <c r="V356" s="2">
        <v>69</v>
      </c>
      <c r="W356" s="2">
        <v>83</v>
      </c>
      <c r="X356" s="2">
        <v>85</v>
      </c>
      <c r="Y356" s="2">
        <v>85</v>
      </c>
      <c r="Z356" s="2">
        <v>87</v>
      </c>
      <c r="AA356" s="2">
        <v>98</v>
      </c>
      <c r="AC356" s="3">
        <f t="shared" si="5"/>
        <v>77.625</v>
      </c>
    </row>
    <row r="357" spans="2:29" x14ac:dyDescent="0.25">
      <c r="B357" s="4">
        <v>42722</v>
      </c>
      <c r="C357" s="3">
        <v>353</v>
      </c>
      <c r="D357" s="2">
        <v>100</v>
      </c>
      <c r="E357" s="2">
        <v>87</v>
      </c>
      <c r="F357" s="2">
        <v>100</v>
      </c>
      <c r="G357" s="2">
        <v>100</v>
      </c>
      <c r="H357" s="2">
        <v>86</v>
      </c>
      <c r="I357" s="2">
        <v>67</v>
      </c>
      <c r="J357" s="2">
        <v>66</v>
      </c>
      <c r="K357" s="2">
        <v>68</v>
      </c>
      <c r="L357" s="2">
        <v>73</v>
      </c>
      <c r="M357" s="2">
        <v>73</v>
      </c>
      <c r="N357" s="2">
        <v>70</v>
      </c>
      <c r="O357" s="2">
        <v>60</v>
      </c>
      <c r="P357" s="2">
        <v>50</v>
      </c>
      <c r="Q357" s="2">
        <v>50</v>
      </c>
      <c r="R357" s="2">
        <v>52</v>
      </c>
      <c r="S357" s="2">
        <v>53</v>
      </c>
      <c r="T357" s="2">
        <v>57</v>
      </c>
      <c r="U357" s="2">
        <v>63</v>
      </c>
      <c r="V357" s="2">
        <v>75</v>
      </c>
      <c r="W357" s="2">
        <v>72</v>
      </c>
      <c r="X357" s="2">
        <v>72</v>
      </c>
      <c r="Y357" s="2">
        <v>69</v>
      </c>
      <c r="Z357" s="2">
        <v>70</v>
      </c>
      <c r="AA357" s="2">
        <v>71</v>
      </c>
      <c r="AC357" s="3">
        <f t="shared" si="5"/>
        <v>71</v>
      </c>
    </row>
    <row r="358" spans="2:29" x14ac:dyDescent="0.25">
      <c r="B358" s="4">
        <v>42723</v>
      </c>
      <c r="C358" s="3">
        <v>354</v>
      </c>
      <c r="D358" s="2">
        <v>70</v>
      </c>
      <c r="E358" s="2">
        <v>76</v>
      </c>
      <c r="F358" s="2">
        <v>73</v>
      </c>
      <c r="G358" s="2">
        <v>72</v>
      </c>
      <c r="H358" s="2">
        <v>75</v>
      </c>
      <c r="I358" s="2">
        <v>74</v>
      </c>
      <c r="J358" s="2">
        <v>73</v>
      </c>
      <c r="K358" s="2">
        <v>76</v>
      </c>
      <c r="L358" s="2">
        <v>71</v>
      </c>
      <c r="M358" s="2">
        <v>68</v>
      </c>
      <c r="N358" s="2">
        <v>68</v>
      </c>
      <c r="O358" s="2">
        <v>74</v>
      </c>
      <c r="P358" s="2">
        <v>77</v>
      </c>
      <c r="Q358" s="2">
        <v>99</v>
      </c>
      <c r="R358" s="2">
        <v>100</v>
      </c>
      <c r="S358" s="2">
        <v>99</v>
      </c>
      <c r="T358" s="2">
        <v>96</v>
      </c>
      <c r="U358" s="2">
        <v>88</v>
      </c>
      <c r="V358" s="2">
        <v>83</v>
      </c>
      <c r="W358" s="2">
        <v>87</v>
      </c>
      <c r="X358" s="2">
        <v>80</v>
      </c>
      <c r="Y358" s="2">
        <v>88</v>
      </c>
      <c r="Z358" s="2">
        <v>82</v>
      </c>
      <c r="AA358" s="2">
        <v>59</v>
      </c>
      <c r="AC358" s="3">
        <f t="shared" si="5"/>
        <v>79.5</v>
      </c>
    </row>
    <row r="359" spans="2:29" x14ac:dyDescent="0.25">
      <c r="B359" s="4">
        <v>42724</v>
      </c>
      <c r="C359" s="3">
        <v>355</v>
      </c>
      <c r="D359" s="2">
        <v>51</v>
      </c>
      <c r="E359" s="2">
        <v>56</v>
      </c>
      <c r="F359" s="2">
        <v>78</v>
      </c>
      <c r="G359" s="2">
        <v>82</v>
      </c>
      <c r="H359" s="2">
        <v>87</v>
      </c>
      <c r="I359" s="2">
        <v>81</v>
      </c>
      <c r="J359" s="2">
        <v>79</v>
      </c>
      <c r="K359" s="2">
        <v>80</v>
      </c>
      <c r="L359" s="2">
        <v>86</v>
      </c>
      <c r="M359" s="2">
        <v>85</v>
      </c>
      <c r="N359" s="2">
        <v>97</v>
      </c>
      <c r="O359" s="2">
        <v>85</v>
      </c>
      <c r="P359" s="2">
        <v>64</v>
      </c>
      <c r="Q359" s="2">
        <v>61</v>
      </c>
      <c r="R359" s="2">
        <v>51</v>
      </c>
      <c r="S359" s="2">
        <v>51</v>
      </c>
      <c r="T359" s="2">
        <v>55</v>
      </c>
      <c r="U359" s="2">
        <v>61</v>
      </c>
      <c r="V359" s="2">
        <v>62</v>
      </c>
      <c r="W359" s="2">
        <v>62</v>
      </c>
      <c r="X359" s="2">
        <v>65</v>
      </c>
      <c r="Y359" s="2">
        <v>72</v>
      </c>
      <c r="Z359" s="2">
        <v>79</v>
      </c>
      <c r="AA359" s="2">
        <v>77</v>
      </c>
      <c r="AC359" s="3">
        <f t="shared" si="5"/>
        <v>71.125</v>
      </c>
    </row>
    <row r="360" spans="2:29" x14ac:dyDescent="0.25">
      <c r="B360" s="4">
        <v>42725</v>
      </c>
      <c r="C360" s="3">
        <v>356</v>
      </c>
      <c r="D360" s="2">
        <v>79</v>
      </c>
      <c r="E360" s="2">
        <v>88</v>
      </c>
      <c r="F360" s="2">
        <v>66</v>
      </c>
      <c r="G360" s="2">
        <v>76</v>
      </c>
      <c r="H360" s="2">
        <v>79</v>
      </c>
      <c r="I360" s="2">
        <v>99</v>
      </c>
      <c r="J360" s="2">
        <v>100</v>
      </c>
      <c r="K360" s="2">
        <v>98</v>
      </c>
      <c r="L360" s="2">
        <v>96</v>
      </c>
      <c r="M360" s="2">
        <v>93</v>
      </c>
      <c r="N360" s="2">
        <v>83</v>
      </c>
      <c r="O360" s="2">
        <v>66</v>
      </c>
      <c r="P360" s="2">
        <v>57</v>
      </c>
      <c r="Q360" s="2">
        <v>50</v>
      </c>
      <c r="R360" s="2">
        <v>45</v>
      </c>
      <c r="S360" s="2">
        <v>42</v>
      </c>
      <c r="T360" s="2">
        <v>49</v>
      </c>
      <c r="U360" s="2">
        <v>59</v>
      </c>
      <c r="V360" s="2">
        <v>64</v>
      </c>
      <c r="W360" s="2">
        <v>69</v>
      </c>
      <c r="X360" s="2">
        <v>76</v>
      </c>
      <c r="Y360" s="2">
        <v>69</v>
      </c>
      <c r="Z360" s="2">
        <v>78</v>
      </c>
      <c r="AA360" s="2">
        <v>75</v>
      </c>
      <c r="AC360" s="3">
        <f t="shared" si="5"/>
        <v>73.166666666666671</v>
      </c>
    </row>
    <row r="361" spans="2:29" x14ac:dyDescent="0.25">
      <c r="B361" s="4">
        <v>42726</v>
      </c>
      <c r="C361" s="3">
        <v>357</v>
      </c>
      <c r="D361" s="2">
        <v>81</v>
      </c>
      <c r="E361" s="2">
        <v>83</v>
      </c>
      <c r="F361" s="2">
        <v>86</v>
      </c>
      <c r="G361" s="2">
        <v>95</v>
      </c>
      <c r="H361" s="2">
        <v>100</v>
      </c>
      <c r="I361" s="2">
        <v>100</v>
      </c>
      <c r="J361" s="2">
        <v>100</v>
      </c>
      <c r="K361" s="2">
        <v>98</v>
      </c>
      <c r="L361" s="2">
        <v>100</v>
      </c>
      <c r="M361" s="2">
        <v>90</v>
      </c>
      <c r="N361" s="2">
        <v>65</v>
      </c>
      <c r="O361" s="2">
        <v>55</v>
      </c>
      <c r="P361" s="2">
        <v>53</v>
      </c>
      <c r="Q361" s="2">
        <v>53</v>
      </c>
      <c r="R361" s="2">
        <v>51</v>
      </c>
      <c r="S361" s="2">
        <v>53</v>
      </c>
      <c r="T361" s="2">
        <v>62</v>
      </c>
      <c r="U361" s="2">
        <v>81</v>
      </c>
      <c r="V361" s="2">
        <v>87</v>
      </c>
      <c r="W361" s="2">
        <v>99</v>
      </c>
      <c r="X361" s="2">
        <v>93</v>
      </c>
      <c r="Y361" s="2">
        <v>99</v>
      </c>
      <c r="Z361" s="2">
        <v>100</v>
      </c>
      <c r="AA361" s="2">
        <v>100</v>
      </c>
      <c r="AC361" s="3">
        <f t="shared" si="5"/>
        <v>82.666666666666671</v>
      </c>
    </row>
    <row r="362" spans="2:29" x14ac:dyDescent="0.25">
      <c r="B362" s="4">
        <v>42727</v>
      </c>
      <c r="C362" s="3">
        <v>358</v>
      </c>
      <c r="D362" s="2">
        <v>95</v>
      </c>
      <c r="E362" s="2">
        <v>97</v>
      </c>
      <c r="F362" s="2">
        <v>99</v>
      </c>
      <c r="G362" s="2">
        <v>92</v>
      </c>
      <c r="H362" s="2">
        <v>94</v>
      </c>
      <c r="I362" s="2">
        <v>98</v>
      </c>
      <c r="J362" s="2">
        <v>97</v>
      </c>
      <c r="K362" s="2">
        <v>100</v>
      </c>
      <c r="L362" s="2">
        <v>100</v>
      </c>
      <c r="M362" s="2">
        <v>84</v>
      </c>
      <c r="N362" s="2">
        <v>63</v>
      </c>
      <c r="O362" s="2">
        <v>58</v>
      </c>
      <c r="P362" s="2">
        <v>62</v>
      </c>
      <c r="Q362" s="2">
        <v>59</v>
      </c>
      <c r="R362" s="2">
        <v>59</v>
      </c>
      <c r="S362" s="2">
        <v>58</v>
      </c>
      <c r="T362" s="2">
        <v>57</v>
      </c>
      <c r="U362" s="2">
        <v>71</v>
      </c>
      <c r="V362" s="2">
        <v>98</v>
      </c>
      <c r="W362" s="2">
        <v>100</v>
      </c>
      <c r="X362" s="2">
        <v>100</v>
      </c>
      <c r="Y362" s="2">
        <v>100</v>
      </c>
      <c r="Z362" s="2">
        <v>100</v>
      </c>
      <c r="AA362" s="2">
        <v>100</v>
      </c>
      <c r="AC362" s="3">
        <f t="shared" si="5"/>
        <v>85.041666666666671</v>
      </c>
    </row>
    <row r="363" spans="2:29" x14ac:dyDescent="0.25">
      <c r="B363" s="4">
        <v>42728</v>
      </c>
      <c r="C363" s="3">
        <v>359</v>
      </c>
      <c r="D363" s="2">
        <v>100</v>
      </c>
      <c r="E363" s="2">
        <v>100</v>
      </c>
      <c r="F363" s="2">
        <v>100</v>
      </c>
      <c r="G363" s="2">
        <v>100</v>
      </c>
      <c r="H363" s="2">
        <v>100</v>
      </c>
      <c r="I363" s="2">
        <v>100</v>
      </c>
      <c r="J363" s="2">
        <v>100</v>
      </c>
      <c r="K363" s="2">
        <v>100</v>
      </c>
      <c r="L363" s="2">
        <v>100</v>
      </c>
      <c r="M363" s="2">
        <v>100</v>
      </c>
      <c r="N363" s="2">
        <v>88</v>
      </c>
      <c r="O363" s="2">
        <v>73</v>
      </c>
      <c r="P363" s="2">
        <v>67</v>
      </c>
      <c r="Q363" s="2">
        <v>64</v>
      </c>
      <c r="R363" s="2">
        <v>64</v>
      </c>
      <c r="S363" s="2">
        <v>65</v>
      </c>
      <c r="T363" s="2">
        <v>68</v>
      </c>
      <c r="U363" s="2">
        <v>78</v>
      </c>
      <c r="V363" s="2">
        <v>97</v>
      </c>
      <c r="W363" s="2">
        <v>100</v>
      </c>
      <c r="X363" s="2">
        <v>100</v>
      </c>
      <c r="Y363" s="2">
        <v>100</v>
      </c>
      <c r="Z363" s="2">
        <v>100</v>
      </c>
      <c r="AA363" s="2">
        <v>100</v>
      </c>
      <c r="AC363" s="3">
        <f t="shared" si="5"/>
        <v>90.166666666666671</v>
      </c>
    </row>
    <row r="364" spans="2:29" x14ac:dyDescent="0.25">
      <c r="B364" s="4">
        <v>42729</v>
      </c>
      <c r="C364" s="3">
        <v>360</v>
      </c>
      <c r="D364" s="2">
        <v>100</v>
      </c>
      <c r="E364" s="2">
        <v>100</v>
      </c>
      <c r="F364" s="2">
        <v>100</v>
      </c>
      <c r="G364" s="2">
        <v>100</v>
      </c>
      <c r="H364" s="2">
        <v>100</v>
      </c>
      <c r="I364" s="2">
        <v>100</v>
      </c>
      <c r="J364" s="2">
        <v>100</v>
      </c>
      <c r="K364" s="2">
        <v>100</v>
      </c>
      <c r="L364" s="2">
        <v>100</v>
      </c>
      <c r="M364" s="2">
        <v>100</v>
      </c>
      <c r="N364" s="2">
        <v>98</v>
      </c>
      <c r="O364" s="2">
        <v>77</v>
      </c>
      <c r="P364" s="2">
        <v>65</v>
      </c>
      <c r="Q364" s="2">
        <v>59</v>
      </c>
      <c r="R364" s="2">
        <v>60</v>
      </c>
      <c r="S364" s="2">
        <v>63</v>
      </c>
      <c r="T364" s="2">
        <v>70</v>
      </c>
      <c r="U364" s="2">
        <v>76</v>
      </c>
      <c r="V364" s="2">
        <v>85</v>
      </c>
      <c r="W364" s="2">
        <v>86</v>
      </c>
      <c r="X364" s="2">
        <v>100</v>
      </c>
      <c r="Y364" s="2">
        <v>100</v>
      </c>
      <c r="Z364" s="2">
        <v>100</v>
      </c>
      <c r="AA364" s="2">
        <v>100</v>
      </c>
      <c r="AC364" s="3">
        <f t="shared" si="5"/>
        <v>89.125</v>
      </c>
    </row>
    <row r="365" spans="2:29" x14ac:dyDescent="0.25">
      <c r="B365" s="4">
        <v>42730</v>
      </c>
      <c r="C365" s="3">
        <v>361</v>
      </c>
      <c r="D365" s="2">
        <v>95</v>
      </c>
      <c r="E365" s="2">
        <v>100</v>
      </c>
      <c r="F365" s="2">
        <v>100</v>
      </c>
      <c r="G365" s="2">
        <v>90</v>
      </c>
      <c r="H365" s="2">
        <v>91</v>
      </c>
      <c r="I365" s="2">
        <v>86</v>
      </c>
      <c r="J365" s="2">
        <v>80</v>
      </c>
      <c r="K365" s="2">
        <v>88</v>
      </c>
      <c r="L365" s="2">
        <v>91</v>
      </c>
      <c r="M365" s="2">
        <v>71</v>
      </c>
      <c r="N365" s="2">
        <v>51</v>
      </c>
      <c r="O365" s="2">
        <v>54</v>
      </c>
      <c r="P365" s="2">
        <v>52</v>
      </c>
      <c r="Q365" s="2">
        <v>49</v>
      </c>
      <c r="R365" s="2">
        <v>45</v>
      </c>
      <c r="S365" s="2">
        <v>51</v>
      </c>
      <c r="T365" s="2">
        <v>54</v>
      </c>
      <c r="U365" s="2">
        <v>67</v>
      </c>
      <c r="V365" s="2">
        <v>86</v>
      </c>
      <c r="W365" s="2">
        <v>100</v>
      </c>
      <c r="X365" s="2">
        <v>100</v>
      </c>
      <c r="Y365" s="2">
        <v>100</v>
      </c>
      <c r="Z365" s="2">
        <v>100</v>
      </c>
      <c r="AA365" s="2">
        <v>100</v>
      </c>
      <c r="AC365" s="3">
        <f t="shared" si="5"/>
        <v>79.208333333333329</v>
      </c>
    </row>
    <row r="366" spans="2:29" x14ac:dyDescent="0.25">
      <c r="B366" s="4">
        <v>42731</v>
      </c>
      <c r="C366" s="3">
        <v>362</v>
      </c>
      <c r="D366" s="2">
        <v>100</v>
      </c>
      <c r="E366" s="2">
        <v>100</v>
      </c>
      <c r="F366" s="2">
        <v>100</v>
      </c>
      <c r="G366" s="2">
        <v>100</v>
      </c>
      <c r="H366" s="2">
        <v>100</v>
      </c>
      <c r="I366" s="2">
        <v>100</v>
      </c>
      <c r="J366" s="2">
        <v>100</v>
      </c>
      <c r="K366" s="2">
        <v>100</v>
      </c>
      <c r="L366" s="2">
        <v>100</v>
      </c>
      <c r="M366" s="2">
        <v>96</v>
      </c>
      <c r="N366" s="2">
        <v>65</v>
      </c>
      <c r="O366" s="2">
        <v>54</v>
      </c>
      <c r="P366" s="2">
        <v>54</v>
      </c>
      <c r="Q366" s="2">
        <v>52</v>
      </c>
      <c r="R366" s="2">
        <v>52</v>
      </c>
      <c r="S366" s="2">
        <v>47</v>
      </c>
      <c r="T366" s="2">
        <v>60</v>
      </c>
      <c r="U366" s="2">
        <v>73</v>
      </c>
      <c r="V366" s="2">
        <v>82</v>
      </c>
      <c r="W366" s="2">
        <v>84</v>
      </c>
      <c r="X366" s="2">
        <v>82</v>
      </c>
      <c r="Y366" s="2">
        <v>82</v>
      </c>
      <c r="Z366" s="2">
        <v>87</v>
      </c>
      <c r="AA366" s="2">
        <v>85</v>
      </c>
      <c r="AC366" s="3">
        <f t="shared" si="5"/>
        <v>81.458333333333329</v>
      </c>
    </row>
    <row r="367" spans="2:29" x14ac:dyDescent="0.25">
      <c r="B367" s="4">
        <v>42732</v>
      </c>
      <c r="C367" s="3">
        <v>363</v>
      </c>
      <c r="D367" s="2">
        <v>89</v>
      </c>
      <c r="E367" s="2">
        <v>100</v>
      </c>
      <c r="F367" s="2">
        <v>100</v>
      </c>
      <c r="G367" s="2">
        <v>100</v>
      </c>
      <c r="H367" s="2">
        <v>97</v>
      </c>
      <c r="I367" s="2">
        <v>87</v>
      </c>
      <c r="J367" s="2">
        <v>92</v>
      </c>
      <c r="K367" s="2">
        <v>93</v>
      </c>
      <c r="L367" s="2">
        <v>88</v>
      </c>
      <c r="M367" s="2">
        <v>75</v>
      </c>
      <c r="N367" s="2">
        <v>67</v>
      </c>
      <c r="O367" s="2">
        <v>57</v>
      </c>
      <c r="P367" s="2">
        <v>50</v>
      </c>
      <c r="Q367" s="2">
        <v>48</v>
      </c>
      <c r="R367" s="2">
        <v>51</v>
      </c>
      <c r="S367" s="2">
        <v>56</v>
      </c>
      <c r="T367" s="2">
        <v>58</v>
      </c>
      <c r="U367" s="2">
        <v>66</v>
      </c>
      <c r="V367" s="2">
        <v>96</v>
      </c>
      <c r="W367" s="2">
        <v>100</v>
      </c>
      <c r="X367" s="2">
        <v>100</v>
      </c>
      <c r="Y367" s="2">
        <v>100</v>
      </c>
      <c r="Z367" s="2">
        <v>100</v>
      </c>
      <c r="AA367" s="2">
        <v>99</v>
      </c>
      <c r="AC367" s="3">
        <f t="shared" si="5"/>
        <v>82.041666666666671</v>
      </c>
    </row>
    <row r="368" spans="2:29" x14ac:dyDescent="0.25">
      <c r="B368" s="4">
        <v>42733</v>
      </c>
      <c r="C368" s="3">
        <v>364</v>
      </c>
      <c r="D368" s="2">
        <v>100</v>
      </c>
      <c r="E368" s="2">
        <v>100</v>
      </c>
      <c r="F368" s="2">
        <v>100</v>
      </c>
      <c r="G368" s="2">
        <v>100</v>
      </c>
      <c r="H368" s="2">
        <v>89</v>
      </c>
      <c r="I368" s="2">
        <v>98</v>
      </c>
      <c r="J368" s="2">
        <v>97</v>
      </c>
      <c r="K368" s="2">
        <v>100</v>
      </c>
      <c r="L368" s="2">
        <v>100</v>
      </c>
      <c r="M368" s="2">
        <v>83</v>
      </c>
      <c r="N368" s="2">
        <v>54</v>
      </c>
      <c r="O368" s="2">
        <v>50</v>
      </c>
      <c r="P368" s="2">
        <v>41</v>
      </c>
      <c r="Q368" s="2">
        <v>38</v>
      </c>
      <c r="R368" s="2">
        <v>34</v>
      </c>
      <c r="S368" s="2">
        <v>39</v>
      </c>
      <c r="T368" s="2">
        <v>50</v>
      </c>
      <c r="U368" s="2">
        <v>58</v>
      </c>
      <c r="V368" s="2">
        <v>80</v>
      </c>
      <c r="W368" s="2">
        <v>75</v>
      </c>
      <c r="X368" s="2">
        <v>78</v>
      </c>
      <c r="Y368" s="2">
        <v>79</v>
      </c>
      <c r="Z368" s="2">
        <v>76</v>
      </c>
      <c r="AA368" s="2">
        <v>92</v>
      </c>
      <c r="AC368" s="3">
        <f t="shared" si="5"/>
        <v>75.458333333333329</v>
      </c>
    </row>
    <row r="369" spans="2:29" x14ac:dyDescent="0.25">
      <c r="B369" s="4">
        <v>42734</v>
      </c>
      <c r="C369" s="3">
        <v>365</v>
      </c>
      <c r="D369" s="2">
        <v>98</v>
      </c>
      <c r="E369" s="2">
        <v>100</v>
      </c>
      <c r="F369" s="2">
        <v>100</v>
      </c>
      <c r="G369" s="2">
        <v>99</v>
      </c>
      <c r="H369" s="2">
        <v>93</v>
      </c>
      <c r="I369" s="2">
        <v>87</v>
      </c>
      <c r="J369" s="2">
        <v>83</v>
      </c>
      <c r="K369" s="2">
        <v>83</v>
      </c>
      <c r="L369" s="2">
        <v>87</v>
      </c>
      <c r="M369" s="2">
        <v>86</v>
      </c>
      <c r="N369" s="2">
        <v>77</v>
      </c>
      <c r="O369" s="2">
        <v>65</v>
      </c>
      <c r="P369" s="2">
        <v>64</v>
      </c>
      <c r="Q369" s="2">
        <v>63</v>
      </c>
      <c r="R369" s="2">
        <v>62</v>
      </c>
      <c r="S369" s="2">
        <v>61</v>
      </c>
      <c r="T369" s="2">
        <v>59</v>
      </c>
      <c r="U369" s="2">
        <v>67</v>
      </c>
      <c r="V369" s="2">
        <v>89</v>
      </c>
      <c r="W369" s="2">
        <v>100</v>
      </c>
      <c r="X369" s="2">
        <v>99</v>
      </c>
      <c r="Y369" s="2">
        <v>98</v>
      </c>
      <c r="Z369" s="2">
        <v>95</v>
      </c>
      <c r="AA369" s="2">
        <v>94</v>
      </c>
      <c r="AC369" s="3">
        <f t="shared" si="5"/>
        <v>83.708333333333329</v>
      </c>
    </row>
    <row r="370" spans="2:29" x14ac:dyDescent="0.25">
      <c r="B370" s="4">
        <v>42735</v>
      </c>
      <c r="C370" s="3">
        <v>366</v>
      </c>
      <c r="D370" s="6">
        <v>97</v>
      </c>
      <c r="E370" s="6">
        <v>77</v>
      </c>
      <c r="F370" s="6">
        <v>78</v>
      </c>
      <c r="G370" s="6">
        <v>79</v>
      </c>
      <c r="H370" s="6">
        <v>81</v>
      </c>
      <c r="I370" s="6">
        <v>83</v>
      </c>
      <c r="J370" s="6">
        <v>94</v>
      </c>
      <c r="K370" s="6">
        <v>98</v>
      </c>
      <c r="L370" s="6">
        <v>99</v>
      </c>
      <c r="M370" s="6">
        <v>76</v>
      </c>
      <c r="N370" s="6">
        <v>65</v>
      </c>
      <c r="O370" s="6">
        <v>61</v>
      </c>
      <c r="P370" s="6">
        <v>53</v>
      </c>
      <c r="Q370" s="6">
        <v>51</v>
      </c>
      <c r="R370" s="6">
        <v>49</v>
      </c>
      <c r="S370" s="6">
        <v>59</v>
      </c>
      <c r="T370" s="6">
        <v>63</v>
      </c>
      <c r="U370" s="6">
        <v>78</v>
      </c>
      <c r="V370" s="6">
        <v>96</v>
      </c>
      <c r="W370" s="6">
        <v>100</v>
      </c>
      <c r="X370" s="6">
        <v>100</v>
      </c>
      <c r="Y370" s="6">
        <v>100</v>
      </c>
      <c r="Z370" s="6">
        <v>100</v>
      </c>
      <c r="AA370" s="6">
        <v>100</v>
      </c>
      <c r="AC370" s="3">
        <f t="shared" si="5"/>
        <v>80.708333333333329</v>
      </c>
    </row>
  </sheetData>
  <sheetProtection selectLockedCells="1" selectUn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AA369"/>
  <sheetViews>
    <sheetView showGridLines="0" zoomScale="85" zoomScaleNormal="85" workbookViewId="0">
      <selection activeCell="W83" sqref="W83"/>
    </sheetView>
  </sheetViews>
  <sheetFormatPr defaultColWidth="11.42578125" defaultRowHeight="15" x14ac:dyDescent="0.25"/>
  <sheetData>
    <row r="2" spans="2:27" ht="15.75" thickBot="1" x14ac:dyDescent="0.3"/>
    <row r="3" spans="2:27" x14ac:dyDescent="0.25">
      <c r="B3" s="126" t="s">
        <v>106</v>
      </c>
      <c r="C3" s="127"/>
      <c r="D3" s="127"/>
      <c r="E3" s="127"/>
      <c r="F3" s="127"/>
      <c r="G3" s="127"/>
      <c r="H3" s="127"/>
      <c r="I3" s="128"/>
    </row>
    <row r="4" spans="2:27" ht="15.75" thickBot="1" x14ac:dyDescent="0.3">
      <c r="B4" s="129"/>
      <c r="C4" s="130"/>
      <c r="D4" s="130"/>
      <c r="E4" s="130"/>
      <c r="F4" s="130"/>
      <c r="G4" s="130"/>
      <c r="H4" s="130"/>
      <c r="I4" s="131"/>
    </row>
    <row r="5" spans="2:27" ht="19.5" thickBot="1" x14ac:dyDescent="0.35">
      <c r="B5" s="132" t="s">
        <v>78</v>
      </c>
      <c r="C5" s="133"/>
      <c r="D5" s="124">
        <f>Resultats!AF4</f>
        <v>5.2428061462284008</v>
      </c>
      <c r="E5" s="124"/>
      <c r="F5" s="122" t="s">
        <v>85</v>
      </c>
      <c r="G5" s="123"/>
      <c r="H5" s="124">
        <f>Resultats!AF10</f>
        <v>5.6726729126103486</v>
      </c>
      <c r="I5" s="125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2:27" ht="19.5" thickBot="1" x14ac:dyDescent="0.35">
      <c r="B6" s="122" t="s">
        <v>79</v>
      </c>
      <c r="C6" s="123"/>
      <c r="D6" s="124">
        <f>Resultats!AF5</f>
        <v>5.8730506348125271</v>
      </c>
      <c r="E6" s="124"/>
      <c r="F6" s="122" t="s">
        <v>86</v>
      </c>
      <c r="G6" s="123"/>
      <c r="H6" s="124">
        <f>Resultats!AF11</f>
        <v>5.9548491495416105</v>
      </c>
      <c r="I6" s="125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2:27" ht="19.5" thickBot="1" x14ac:dyDescent="0.35">
      <c r="B7" s="122" t="s">
        <v>80</v>
      </c>
      <c r="C7" s="123"/>
      <c r="D7" s="124">
        <f>Resultats!AF6</f>
        <v>6.6516645000205754</v>
      </c>
      <c r="E7" s="124"/>
      <c r="F7" s="122" t="s">
        <v>87</v>
      </c>
      <c r="G7" s="123"/>
      <c r="H7" s="124">
        <f>Resultats!AF12</f>
        <v>6.1164953077602702</v>
      </c>
      <c r="I7" s="125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2:27" ht="19.5" thickBot="1" x14ac:dyDescent="0.35">
      <c r="B8" s="122" t="s">
        <v>81</v>
      </c>
      <c r="C8" s="123"/>
      <c r="D8" s="124">
        <f>Resultats!AF7</f>
        <v>6.6022489793714083</v>
      </c>
      <c r="E8" s="124"/>
      <c r="F8" s="122" t="s">
        <v>88</v>
      </c>
      <c r="G8" s="123"/>
      <c r="H8" s="124">
        <f>Resultats!AF13</f>
        <v>5.7079996758626299</v>
      </c>
      <c r="I8" s="125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2:27" ht="19.5" thickBot="1" x14ac:dyDescent="0.35">
      <c r="B9" s="122" t="s">
        <v>83</v>
      </c>
      <c r="C9" s="123"/>
      <c r="D9" s="124">
        <f>Resultats!AF8</f>
        <v>6.1551713877326826</v>
      </c>
      <c r="E9" s="124"/>
      <c r="F9" s="122" t="s">
        <v>89</v>
      </c>
      <c r="G9" s="123"/>
      <c r="H9" s="124">
        <f>Resultats!AF14</f>
        <v>5.1288206048717901</v>
      </c>
      <c r="I9" s="125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2:27" ht="19.5" thickBot="1" x14ac:dyDescent="0.35">
      <c r="B10" s="122" t="s">
        <v>84</v>
      </c>
      <c r="C10" s="123"/>
      <c r="D10" s="124">
        <f>Resultats!AF9</f>
        <v>5.7295685884256491</v>
      </c>
      <c r="E10" s="124"/>
      <c r="F10" s="122" t="s">
        <v>90</v>
      </c>
      <c r="G10" s="123"/>
      <c r="H10" s="124">
        <f>Resultats!AF15</f>
        <v>4.4609265983680793</v>
      </c>
      <c r="I10" s="125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2:27" x14ac:dyDescent="0.25"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2:27" x14ac:dyDescent="0.2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2:27" x14ac:dyDescent="0.2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2:27" x14ac:dyDescent="0.25"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2:27" x14ac:dyDescent="0.25"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2:27" x14ac:dyDescent="0.25"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4:27" x14ac:dyDescent="0.25"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4:27" x14ac:dyDescent="0.25"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4:27" x14ac:dyDescent="0.25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4:27" x14ac:dyDescent="0.25"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4:27" x14ac:dyDescent="0.25"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4:27" x14ac:dyDescent="0.25"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4:27" x14ac:dyDescent="0.25"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4:27" x14ac:dyDescent="0.25"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4:27" x14ac:dyDescent="0.25"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4:27" x14ac:dyDescent="0.25"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4:27" x14ac:dyDescent="0.25"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4:27" x14ac:dyDescent="0.25"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4:27" x14ac:dyDescent="0.25"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4:27" x14ac:dyDescent="0.25"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4:27" x14ac:dyDescent="0.25"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4:27" x14ac:dyDescent="0.25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4:27" x14ac:dyDescent="0.25"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4:27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4:27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4:27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4:27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4:27" x14ac:dyDescent="0.25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4:27" x14ac:dyDescent="0.25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4:27" x14ac:dyDescent="0.25"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4:27" x14ac:dyDescent="0.25"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4:27" x14ac:dyDescent="0.25"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4:27" x14ac:dyDescent="0.25"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4:27" x14ac:dyDescent="0.25"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4:27" x14ac:dyDescent="0.25"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4:27" x14ac:dyDescent="0.25"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4:27" x14ac:dyDescent="0.25"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4:27" x14ac:dyDescent="0.25"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4:27" x14ac:dyDescent="0.25"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4:27" x14ac:dyDescent="0.25"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4:27" x14ac:dyDescent="0.25"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4:27" x14ac:dyDescent="0.25"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4:27" x14ac:dyDescent="0.25"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4:27" x14ac:dyDescent="0.25"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4:27" x14ac:dyDescent="0.25"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4:27" x14ac:dyDescent="0.25"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4:27" x14ac:dyDescent="0.25"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4:27" x14ac:dyDescent="0.25"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4:27" x14ac:dyDescent="0.25"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4:27" x14ac:dyDescent="0.25"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4:27" x14ac:dyDescent="0.25"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4:27" x14ac:dyDescent="0.25"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4:27" x14ac:dyDescent="0.25"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4:27" x14ac:dyDescent="0.25"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4:27" x14ac:dyDescent="0.25"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4:27" x14ac:dyDescent="0.25"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4:27" x14ac:dyDescent="0.25"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4:27" x14ac:dyDescent="0.25"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4:27" x14ac:dyDescent="0.25"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4:27" x14ac:dyDescent="0.25"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4:27" x14ac:dyDescent="0.25"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4:27" x14ac:dyDescent="0.25"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4:27" x14ac:dyDescent="0.25"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4:27" x14ac:dyDescent="0.25"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4:27" x14ac:dyDescent="0.25"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4:27" x14ac:dyDescent="0.25"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4:27" x14ac:dyDescent="0.25"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4:27" x14ac:dyDescent="0.25"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4:27" x14ac:dyDescent="0.25"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4:27" x14ac:dyDescent="0.25"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4:27" x14ac:dyDescent="0.25"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4:27" x14ac:dyDescent="0.25"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4:27" x14ac:dyDescent="0.25"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4:27" x14ac:dyDescent="0.25"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4:27" x14ac:dyDescent="0.25"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4:27" x14ac:dyDescent="0.25"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4:27" x14ac:dyDescent="0.25"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4:27" x14ac:dyDescent="0.25"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4:27" x14ac:dyDescent="0.25"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4:27" x14ac:dyDescent="0.25"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4:27" x14ac:dyDescent="0.25"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4:27" x14ac:dyDescent="0.25"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4:27" x14ac:dyDescent="0.25"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4:27" x14ac:dyDescent="0.25"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4:27" x14ac:dyDescent="0.25"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4:27" x14ac:dyDescent="0.25"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4:27" x14ac:dyDescent="0.25"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4:27" x14ac:dyDescent="0.25"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4:27" x14ac:dyDescent="0.25"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4:27" x14ac:dyDescent="0.25"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4:27" x14ac:dyDescent="0.25"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4:27" x14ac:dyDescent="0.25"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4:27" x14ac:dyDescent="0.25"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4:27" x14ac:dyDescent="0.25"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4:27" x14ac:dyDescent="0.25"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4:27" x14ac:dyDescent="0.25"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4:27" x14ac:dyDescent="0.25"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4:27" x14ac:dyDescent="0.25"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4:27" x14ac:dyDescent="0.25"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4:27" x14ac:dyDescent="0.25"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4:27" x14ac:dyDescent="0.25"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4:27" x14ac:dyDescent="0.25"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4:27" x14ac:dyDescent="0.25"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4:27" x14ac:dyDescent="0.25"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4:27" x14ac:dyDescent="0.25"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4:27" x14ac:dyDescent="0.25"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4:27" x14ac:dyDescent="0.25"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4:27" x14ac:dyDescent="0.25"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4:27" x14ac:dyDescent="0.25"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4:27" x14ac:dyDescent="0.25"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4:27" x14ac:dyDescent="0.25"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4:27" x14ac:dyDescent="0.25"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4:27" x14ac:dyDescent="0.25"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4:27" x14ac:dyDescent="0.25"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4:27" x14ac:dyDescent="0.25"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4:27" x14ac:dyDescent="0.25"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4:27" x14ac:dyDescent="0.25"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4:27" x14ac:dyDescent="0.25"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4:27" x14ac:dyDescent="0.25"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4:27" x14ac:dyDescent="0.25"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4:27" x14ac:dyDescent="0.25"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4:27" x14ac:dyDescent="0.25"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4:27" x14ac:dyDescent="0.25"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4:27" x14ac:dyDescent="0.25"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4:27" x14ac:dyDescent="0.25"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4:27" x14ac:dyDescent="0.25"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4:27" x14ac:dyDescent="0.25"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4:27" x14ac:dyDescent="0.25"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4:27" x14ac:dyDescent="0.25"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4:27" x14ac:dyDescent="0.25"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4:27" x14ac:dyDescent="0.25"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4:27" x14ac:dyDescent="0.25"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4:27" x14ac:dyDescent="0.25"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4:27" x14ac:dyDescent="0.25"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4:27" x14ac:dyDescent="0.25"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4:27" x14ac:dyDescent="0.25"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4:27" x14ac:dyDescent="0.25"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4:27" x14ac:dyDescent="0.25"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4:27" x14ac:dyDescent="0.25"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4:27" x14ac:dyDescent="0.25"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4:27" x14ac:dyDescent="0.25"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4:27" x14ac:dyDescent="0.25"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4:27" x14ac:dyDescent="0.25"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4:27" x14ac:dyDescent="0.25"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4:27" x14ac:dyDescent="0.25"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4:27" x14ac:dyDescent="0.25"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4:27" x14ac:dyDescent="0.25"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4:27" x14ac:dyDescent="0.25"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4:27" x14ac:dyDescent="0.25"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4:27" x14ac:dyDescent="0.25"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4:27" x14ac:dyDescent="0.25"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4:27" x14ac:dyDescent="0.25"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4:27" x14ac:dyDescent="0.25"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4:27" x14ac:dyDescent="0.25"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4:27" x14ac:dyDescent="0.25"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4:27" x14ac:dyDescent="0.25"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4:27" x14ac:dyDescent="0.25"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4:27" x14ac:dyDescent="0.25"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4:27" x14ac:dyDescent="0.25"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4:27" x14ac:dyDescent="0.25"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4:27" x14ac:dyDescent="0.25"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4:27" x14ac:dyDescent="0.25"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4:27" x14ac:dyDescent="0.25"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4:27" x14ac:dyDescent="0.25"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4:27" x14ac:dyDescent="0.25"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4:27" x14ac:dyDescent="0.25"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4:27" x14ac:dyDescent="0.25"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4:27" x14ac:dyDescent="0.25"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4:27" x14ac:dyDescent="0.25"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4:27" x14ac:dyDescent="0.25"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4:27" x14ac:dyDescent="0.25"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4:27" x14ac:dyDescent="0.25"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4:27" x14ac:dyDescent="0.25"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4:27" x14ac:dyDescent="0.25"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4:27" x14ac:dyDescent="0.25"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4:27" x14ac:dyDescent="0.25"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4:27" x14ac:dyDescent="0.25"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4:27" x14ac:dyDescent="0.25"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4:27" x14ac:dyDescent="0.25"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4:27" x14ac:dyDescent="0.25"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4:27" x14ac:dyDescent="0.25"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4:27" x14ac:dyDescent="0.25"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4:27" x14ac:dyDescent="0.25"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4:27" x14ac:dyDescent="0.25"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4:27" x14ac:dyDescent="0.25"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4:27" x14ac:dyDescent="0.25"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4:27" x14ac:dyDescent="0.25"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4:27" x14ac:dyDescent="0.25"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4:27" x14ac:dyDescent="0.25"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4:27" x14ac:dyDescent="0.25"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4:27" x14ac:dyDescent="0.25"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4:27" x14ac:dyDescent="0.25"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4:27" x14ac:dyDescent="0.25"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4:27" x14ac:dyDescent="0.25"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4:27" x14ac:dyDescent="0.25"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4:27" x14ac:dyDescent="0.25"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4:27" x14ac:dyDescent="0.25"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4:27" x14ac:dyDescent="0.25"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4:27" x14ac:dyDescent="0.25"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4:27" x14ac:dyDescent="0.25"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4:27" x14ac:dyDescent="0.25"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4:27" x14ac:dyDescent="0.25"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4:27" x14ac:dyDescent="0.25"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4:27" x14ac:dyDescent="0.25"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4:27" x14ac:dyDescent="0.25"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4:27" x14ac:dyDescent="0.25"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4:27" x14ac:dyDescent="0.25"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4:27" x14ac:dyDescent="0.25"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4:27" x14ac:dyDescent="0.25"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4:27" x14ac:dyDescent="0.25"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4:27" x14ac:dyDescent="0.25"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4:27" x14ac:dyDescent="0.25"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4:27" x14ac:dyDescent="0.25"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4:27" x14ac:dyDescent="0.25"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4:27" x14ac:dyDescent="0.25"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4:27" x14ac:dyDescent="0.25"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4:27" x14ac:dyDescent="0.25"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4:27" x14ac:dyDescent="0.25"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4:27" x14ac:dyDescent="0.25"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4:27" x14ac:dyDescent="0.25"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4:27" x14ac:dyDescent="0.25"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4:27" x14ac:dyDescent="0.25"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4:27" x14ac:dyDescent="0.25"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4:27" x14ac:dyDescent="0.25"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4:27" x14ac:dyDescent="0.25"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4:27" x14ac:dyDescent="0.25"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4:27" x14ac:dyDescent="0.25"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4:27" x14ac:dyDescent="0.25"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4:27" x14ac:dyDescent="0.25"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4:27" x14ac:dyDescent="0.25"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4:27" x14ac:dyDescent="0.25"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4:27" x14ac:dyDescent="0.25"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4:27" x14ac:dyDescent="0.25"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4:27" x14ac:dyDescent="0.25"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4:27" x14ac:dyDescent="0.25"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4:27" x14ac:dyDescent="0.25"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4:27" x14ac:dyDescent="0.25"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4:27" x14ac:dyDescent="0.25"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4:27" x14ac:dyDescent="0.25"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4:27" x14ac:dyDescent="0.25"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4:27" x14ac:dyDescent="0.25"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4:27" x14ac:dyDescent="0.25"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4:27" x14ac:dyDescent="0.25"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4:27" x14ac:dyDescent="0.25"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4:27" x14ac:dyDescent="0.25"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4:27" x14ac:dyDescent="0.25"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4:27" x14ac:dyDescent="0.25"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4:27" x14ac:dyDescent="0.25"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4:27" x14ac:dyDescent="0.25"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4:27" x14ac:dyDescent="0.25"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4:27" x14ac:dyDescent="0.25"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4:27" x14ac:dyDescent="0.25"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4:27" x14ac:dyDescent="0.25"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4:27" x14ac:dyDescent="0.25"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4:27" x14ac:dyDescent="0.25"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4:27" x14ac:dyDescent="0.25"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4:27" x14ac:dyDescent="0.25"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4:27" x14ac:dyDescent="0.25"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4:27" x14ac:dyDescent="0.25"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4:27" x14ac:dyDescent="0.25"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4:27" x14ac:dyDescent="0.25"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4:27" x14ac:dyDescent="0.25"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4:27" x14ac:dyDescent="0.25"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4:27" x14ac:dyDescent="0.25"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4:27" x14ac:dyDescent="0.25"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4:27" x14ac:dyDescent="0.25"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4:27" x14ac:dyDescent="0.25"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4:27" x14ac:dyDescent="0.25"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4:27" x14ac:dyDescent="0.25"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4:27" x14ac:dyDescent="0.25"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4:27" x14ac:dyDescent="0.25"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4:27" x14ac:dyDescent="0.25"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4:27" x14ac:dyDescent="0.25"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4:27" x14ac:dyDescent="0.25"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4:27" x14ac:dyDescent="0.25"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4:27" x14ac:dyDescent="0.25"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4:27" x14ac:dyDescent="0.25"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4:27" x14ac:dyDescent="0.25"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4:27" x14ac:dyDescent="0.25"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4:27" x14ac:dyDescent="0.25"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4:27" x14ac:dyDescent="0.25"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4:27" x14ac:dyDescent="0.25"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4:27" x14ac:dyDescent="0.25"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4:27" x14ac:dyDescent="0.25"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4:27" x14ac:dyDescent="0.25"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4:27" x14ac:dyDescent="0.25"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4:27" x14ac:dyDescent="0.25"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4:27" x14ac:dyDescent="0.25"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4:27" x14ac:dyDescent="0.25"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4:27" x14ac:dyDescent="0.25"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4:27" x14ac:dyDescent="0.25"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4:27" x14ac:dyDescent="0.25"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4:27" x14ac:dyDescent="0.25"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4:27" x14ac:dyDescent="0.25"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4:27" x14ac:dyDescent="0.25"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4:27" x14ac:dyDescent="0.25"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4:27" x14ac:dyDescent="0.25"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4:27" x14ac:dyDescent="0.25"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4:27" x14ac:dyDescent="0.25"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4:27" x14ac:dyDescent="0.25"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4:27" x14ac:dyDescent="0.25"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4:27" x14ac:dyDescent="0.25"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4:27" x14ac:dyDescent="0.25"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4:27" x14ac:dyDescent="0.25"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4:27" x14ac:dyDescent="0.25"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4:27" x14ac:dyDescent="0.25"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4:27" x14ac:dyDescent="0.25"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4:27" x14ac:dyDescent="0.25"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4:27" x14ac:dyDescent="0.25"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4:27" x14ac:dyDescent="0.25"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4:27" x14ac:dyDescent="0.25"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4:27" x14ac:dyDescent="0.25"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4:27" x14ac:dyDescent="0.25"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4:27" x14ac:dyDescent="0.25"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4:27" x14ac:dyDescent="0.25"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4:27" x14ac:dyDescent="0.25"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4:27" x14ac:dyDescent="0.25"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4:27" x14ac:dyDescent="0.25"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4:27" x14ac:dyDescent="0.25"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4:27" x14ac:dyDescent="0.25"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4:27" x14ac:dyDescent="0.25"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4:27" x14ac:dyDescent="0.25"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4:27" x14ac:dyDescent="0.25"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4:27" x14ac:dyDescent="0.25"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4:27" x14ac:dyDescent="0.25"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4:27" x14ac:dyDescent="0.25"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4:27" x14ac:dyDescent="0.25"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4:27" x14ac:dyDescent="0.25"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4:27" x14ac:dyDescent="0.25"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4:27" x14ac:dyDescent="0.25"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4:27" x14ac:dyDescent="0.25"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4:27" x14ac:dyDescent="0.25"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4:27" x14ac:dyDescent="0.25"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4:27" x14ac:dyDescent="0.25"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4:27" x14ac:dyDescent="0.25"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4:27" x14ac:dyDescent="0.25"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4:27" x14ac:dyDescent="0.25"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4:27" x14ac:dyDescent="0.25"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4:27" x14ac:dyDescent="0.25"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4:27" x14ac:dyDescent="0.25"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4:27" x14ac:dyDescent="0.25"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4:27" x14ac:dyDescent="0.25"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4:27" x14ac:dyDescent="0.25"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4:27" x14ac:dyDescent="0.25"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4:27" x14ac:dyDescent="0.25"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4:27" x14ac:dyDescent="0.25"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4:27" x14ac:dyDescent="0.25"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4:27" x14ac:dyDescent="0.25"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4:27" x14ac:dyDescent="0.25"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4:27" x14ac:dyDescent="0.25"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4:27" x14ac:dyDescent="0.25"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4:27" x14ac:dyDescent="0.25"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4:27" x14ac:dyDescent="0.25"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4:27" x14ac:dyDescent="0.25"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4:27" x14ac:dyDescent="0.25"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4:27" x14ac:dyDescent="0.25"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4:27" x14ac:dyDescent="0.25"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4:27" x14ac:dyDescent="0.25"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4:27" x14ac:dyDescent="0.25"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</sheetData>
  <sheetProtection sheet="1" objects="1" scenarios="1"/>
  <mergeCells count="25">
    <mergeCell ref="B6:C6"/>
    <mergeCell ref="D6:E6"/>
    <mergeCell ref="F6:G6"/>
    <mergeCell ref="H6:I6"/>
    <mergeCell ref="B3:I4"/>
    <mergeCell ref="B5:C5"/>
    <mergeCell ref="D5:E5"/>
    <mergeCell ref="F5:G5"/>
    <mergeCell ref="H5:I5"/>
    <mergeCell ref="B7:C7"/>
    <mergeCell ref="D7:E7"/>
    <mergeCell ref="F7:G7"/>
    <mergeCell ref="H7:I7"/>
    <mergeCell ref="B8:C8"/>
    <mergeCell ref="D8:E8"/>
    <mergeCell ref="F8:G8"/>
    <mergeCell ref="H8:I8"/>
    <mergeCell ref="B9:C9"/>
    <mergeCell ref="D9:E9"/>
    <mergeCell ref="F9:G9"/>
    <mergeCell ref="H9:I9"/>
    <mergeCell ref="B10:C10"/>
    <mergeCell ref="D10:E10"/>
    <mergeCell ref="F10:G10"/>
    <mergeCell ref="H10:I10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AA36"/>
  <sheetViews>
    <sheetView showGridLines="0" zoomScale="85" zoomScaleNormal="85" workbookViewId="0">
      <selection activeCell="P77" sqref="P77"/>
    </sheetView>
  </sheetViews>
  <sheetFormatPr defaultColWidth="11.42578125" defaultRowHeight="15" x14ac:dyDescent="0.25"/>
  <cols>
    <col min="1" max="2" width="11.42578125" style="60"/>
    <col min="3" max="3" width="19.28515625" style="7" customWidth="1"/>
    <col min="4" max="16384" width="11.42578125" style="60"/>
  </cols>
  <sheetData>
    <row r="1" spans="2:27" x14ac:dyDescent="0.25">
      <c r="C1" s="56"/>
    </row>
    <row r="3" spans="2:27" x14ac:dyDescent="0.25">
      <c r="F3" s="79"/>
    </row>
    <row r="4" spans="2:27" ht="15.75" thickBot="1" x14ac:dyDescent="0.3">
      <c r="C4" s="86"/>
    </row>
    <row r="5" spans="2:27" ht="15.75" thickBot="1" x14ac:dyDescent="0.3">
      <c r="C5" s="134" t="s">
        <v>94</v>
      </c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</row>
    <row r="6" spans="2:27" ht="15.75" thickBot="1" x14ac:dyDescent="0.3">
      <c r="B6" s="82" t="s">
        <v>92</v>
      </c>
      <c r="C6" s="135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</row>
    <row r="7" spans="2:27" ht="19.5" thickBot="1" x14ac:dyDescent="0.35">
      <c r="B7" s="83">
        <v>1</v>
      </c>
      <c r="C7" s="87">
        <v>0</v>
      </c>
      <c r="D7" s="84"/>
    </row>
    <row r="8" spans="2:27" ht="19.5" thickBot="1" x14ac:dyDescent="0.35">
      <c r="B8" s="83">
        <v>2</v>
      </c>
      <c r="C8" s="87">
        <v>0</v>
      </c>
    </row>
    <row r="9" spans="2:27" ht="19.5" thickBot="1" x14ac:dyDescent="0.35">
      <c r="B9" s="83">
        <v>3</v>
      </c>
      <c r="C9" s="87">
        <v>0</v>
      </c>
    </row>
    <row r="10" spans="2:27" ht="19.5" thickBot="1" x14ac:dyDescent="0.35">
      <c r="B10" s="83">
        <v>4</v>
      </c>
      <c r="C10" s="87">
        <v>0</v>
      </c>
    </row>
    <row r="11" spans="2:27" ht="19.5" thickBot="1" x14ac:dyDescent="0.35">
      <c r="B11" s="83">
        <v>5</v>
      </c>
      <c r="C11" s="87">
        <v>0</v>
      </c>
    </row>
    <row r="12" spans="2:27" ht="19.5" thickBot="1" x14ac:dyDescent="0.35">
      <c r="B12" s="83">
        <v>6</v>
      </c>
      <c r="C12" s="87">
        <v>0</v>
      </c>
    </row>
    <row r="13" spans="2:27" ht="19.5" thickBot="1" x14ac:dyDescent="0.35">
      <c r="B13" s="83">
        <v>7</v>
      </c>
      <c r="C13" s="87">
        <v>39.775133348263054</v>
      </c>
    </row>
    <row r="14" spans="2:27" ht="19.5" thickBot="1" x14ac:dyDescent="0.35">
      <c r="B14" s="83">
        <v>8</v>
      </c>
      <c r="C14" s="87">
        <v>178.94177483050302</v>
      </c>
    </row>
    <row r="15" spans="2:27" ht="19.5" thickBot="1" x14ac:dyDescent="0.35">
      <c r="B15" s="83">
        <v>9</v>
      </c>
      <c r="C15" s="87">
        <v>362.40456215308456</v>
      </c>
    </row>
    <row r="16" spans="2:27" ht="19.5" thickBot="1" x14ac:dyDescent="0.35">
      <c r="B16" s="83">
        <v>10</v>
      </c>
      <c r="C16" s="87">
        <v>543.41813624488202</v>
      </c>
    </row>
    <row r="17" spans="2:3" ht="19.5" thickBot="1" x14ac:dyDescent="0.35">
      <c r="B17" s="83">
        <v>11</v>
      </c>
      <c r="C17" s="87">
        <v>697.40688662700927</v>
      </c>
    </row>
    <row r="18" spans="2:3" ht="19.5" thickBot="1" x14ac:dyDescent="0.35">
      <c r="B18" s="83">
        <v>12</v>
      </c>
      <c r="C18" s="87">
        <v>804.04935347749654</v>
      </c>
    </row>
    <row r="19" spans="2:3" ht="19.5" thickBot="1" x14ac:dyDescent="0.35">
      <c r="B19" s="83">
        <v>13</v>
      </c>
      <c r="C19" s="87">
        <v>837.06223908157131</v>
      </c>
    </row>
    <row r="20" spans="2:3" ht="19.5" thickBot="1" x14ac:dyDescent="0.35">
      <c r="B20" s="83">
        <v>14</v>
      </c>
      <c r="C20" s="87">
        <v>790.89296790281071</v>
      </c>
    </row>
    <row r="21" spans="2:3" ht="19.5" thickBot="1" x14ac:dyDescent="0.35">
      <c r="B21" s="83">
        <v>15</v>
      </c>
      <c r="C21" s="87">
        <v>665.1460900388139</v>
      </c>
    </row>
    <row r="22" spans="2:3" ht="19.5" thickBot="1" x14ac:dyDescent="0.35">
      <c r="B22" s="83">
        <v>16</v>
      </c>
      <c r="C22" s="87">
        <v>461.4576815224811</v>
      </c>
    </row>
    <row r="23" spans="2:3" ht="19.5" thickBot="1" x14ac:dyDescent="0.35">
      <c r="B23" s="83">
        <v>17</v>
      </c>
      <c r="C23" s="87">
        <v>187.67677758727979</v>
      </c>
    </row>
    <row r="24" spans="2:3" ht="19.5" thickBot="1" x14ac:dyDescent="0.35">
      <c r="B24" s="83">
        <v>18</v>
      </c>
      <c r="C24" s="87">
        <v>31.187387376849603</v>
      </c>
    </row>
    <row r="25" spans="2:3" ht="19.5" thickBot="1" x14ac:dyDescent="0.35">
      <c r="B25" s="83">
        <v>19</v>
      </c>
      <c r="C25" s="87">
        <v>0</v>
      </c>
    </row>
    <row r="26" spans="2:3" ht="19.5" thickBot="1" x14ac:dyDescent="0.35">
      <c r="B26" s="83">
        <v>20</v>
      </c>
      <c r="C26" s="87">
        <v>0</v>
      </c>
    </row>
    <row r="27" spans="2:3" ht="19.5" thickBot="1" x14ac:dyDescent="0.35">
      <c r="B27" s="83">
        <v>21</v>
      </c>
      <c r="C27" s="87">
        <v>0</v>
      </c>
    </row>
    <row r="28" spans="2:3" ht="19.5" thickBot="1" x14ac:dyDescent="0.35">
      <c r="B28" s="83">
        <v>22</v>
      </c>
      <c r="C28" s="87">
        <v>0</v>
      </c>
    </row>
    <row r="29" spans="2:3" ht="19.5" thickBot="1" x14ac:dyDescent="0.35">
      <c r="B29" s="83">
        <v>23</v>
      </c>
      <c r="C29" s="87">
        <v>0</v>
      </c>
    </row>
    <row r="30" spans="2:3" ht="19.5" thickBot="1" x14ac:dyDescent="0.35">
      <c r="B30" s="83">
        <v>24</v>
      </c>
      <c r="C30" s="87">
        <v>0</v>
      </c>
    </row>
    <row r="32" spans="2:3" ht="15.75" thickBot="1" x14ac:dyDescent="0.3"/>
    <row r="33" spans="2:3" ht="15.75" x14ac:dyDescent="0.25">
      <c r="B33" s="136" t="s">
        <v>95</v>
      </c>
      <c r="C33" s="88">
        <f>Dades!J13</f>
        <v>43373</v>
      </c>
    </row>
    <row r="34" spans="2:3" ht="16.5" thickBot="1" x14ac:dyDescent="0.3">
      <c r="B34" s="137"/>
      <c r="C34" s="89">
        <f>Dades!J14</f>
        <v>272</v>
      </c>
    </row>
    <row r="35" spans="2:3" ht="15.75" thickBot="1" x14ac:dyDescent="0.3"/>
    <row r="36" spans="2:3" ht="19.5" thickBot="1" x14ac:dyDescent="0.35">
      <c r="B36" s="85" t="s">
        <v>82</v>
      </c>
      <c r="C36" s="90">
        <f>(SUM((C7:C30))/24)</f>
        <v>233.30912459129354</v>
      </c>
    </row>
  </sheetData>
  <sheetProtection sheet="1" objects="1" scenarios="1" formatCells="0"/>
  <mergeCells count="2">
    <mergeCell ref="C5:C6"/>
    <mergeCell ref="B33:B3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3:AA369"/>
  <sheetViews>
    <sheetView showGridLines="0" zoomScale="85" zoomScaleNormal="85" workbookViewId="0">
      <selection activeCell="B4" sqref="B4"/>
    </sheetView>
  </sheetViews>
  <sheetFormatPr defaultColWidth="11.42578125" defaultRowHeight="15" x14ac:dyDescent="0.25"/>
  <cols>
    <col min="1" max="1" width="11.42578125" style="60"/>
    <col min="2" max="2" width="12.85546875" style="91" bestFit="1" customWidth="1"/>
    <col min="3" max="3" width="8.7109375" style="92" customWidth="1"/>
    <col min="4" max="6" width="11.42578125" style="93"/>
    <col min="7" max="8" width="11.42578125" style="60"/>
    <col min="9" max="9" width="17.140625" style="60" customWidth="1"/>
    <col min="10" max="16384" width="11.42578125" style="60"/>
  </cols>
  <sheetData>
    <row r="3" spans="2:27" ht="15.75" thickBot="1" x14ac:dyDescent="0.3"/>
    <row r="4" spans="2:27" ht="19.5" thickBot="1" x14ac:dyDescent="0.35">
      <c r="B4" s="98"/>
      <c r="C4" s="99" t="s">
        <v>91</v>
      </c>
      <c r="D4" s="100">
        <f>Dades!P13</f>
        <v>31</v>
      </c>
      <c r="E4" s="100">
        <f>Dades!P14</f>
        <v>21</v>
      </c>
      <c r="F4" s="100">
        <f>Dades!P15</f>
        <v>51</v>
      </c>
      <c r="J4" s="101">
        <f>D4</f>
        <v>31</v>
      </c>
      <c r="K4" s="102">
        <f>E4</f>
        <v>21</v>
      </c>
      <c r="L4" s="103">
        <f>F4</f>
        <v>51</v>
      </c>
    </row>
    <row r="5" spans="2:27" ht="19.5" thickBot="1" x14ac:dyDescent="0.35">
      <c r="B5" s="109">
        <v>42736</v>
      </c>
      <c r="C5" s="96">
        <v>1</v>
      </c>
      <c r="D5" s="97">
        <v>4.0067906027556113</v>
      </c>
      <c r="E5" s="97">
        <v>3.6671473491146758</v>
      </c>
      <c r="F5" s="97">
        <v>4.4232284785575811</v>
      </c>
      <c r="G5" s="63"/>
      <c r="H5" s="63"/>
      <c r="I5" s="94" t="s">
        <v>78</v>
      </c>
      <c r="J5" s="104">
        <f>(SUM((D5:D35))/30)</f>
        <v>4.7309769072983219</v>
      </c>
      <c r="K5" s="105">
        <f t="shared" ref="K5:L5" si="0">(SUM((E5:E35))/30)</f>
        <v>4.3163991422836894</v>
      </c>
      <c r="L5" s="106">
        <f t="shared" si="0"/>
        <v>5.2428061462284008</v>
      </c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</row>
    <row r="6" spans="2:27" ht="19.5" thickBot="1" x14ac:dyDescent="0.35">
      <c r="B6" s="109">
        <v>42737</v>
      </c>
      <c r="C6" s="96">
        <f>B6-$B$5+1</f>
        <v>2</v>
      </c>
      <c r="D6" s="97">
        <v>4.0680612311903781</v>
      </c>
      <c r="E6" s="97">
        <v>3.7260876278887567</v>
      </c>
      <c r="F6" s="97">
        <v>4.4853608746273075</v>
      </c>
      <c r="G6" s="63"/>
      <c r="H6" s="63"/>
      <c r="I6" s="94" t="s">
        <v>93</v>
      </c>
      <c r="J6" s="104">
        <f>(SUM((D37:D64))/28)</f>
        <v>5.6201662499791691</v>
      </c>
      <c r="K6" s="105">
        <f t="shared" ref="K6:L6" si="1">(SUM((E37:E64))/28)</f>
        <v>5.3011286007060026</v>
      </c>
      <c r="L6" s="106">
        <f t="shared" si="1"/>
        <v>5.8938875821948242</v>
      </c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</row>
    <row r="7" spans="2:27" ht="19.5" thickBot="1" x14ac:dyDescent="0.35">
      <c r="B7" s="109">
        <v>42738</v>
      </c>
      <c r="C7" s="96">
        <f t="shared" ref="C7:C70" si="2">B7-$B$5+1</f>
        <v>3</v>
      </c>
      <c r="D7" s="97">
        <v>4.0637243619889674</v>
      </c>
      <c r="E7" s="97">
        <v>3.7227141521997709</v>
      </c>
      <c r="F7" s="97">
        <v>4.4793575589785233</v>
      </c>
      <c r="G7" s="63"/>
      <c r="H7" s="63"/>
      <c r="I7" s="94" t="s">
        <v>80</v>
      </c>
      <c r="J7" s="104">
        <f>(SUM((D65:D95))/31)</f>
        <v>6.7068676044050912</v>
      </c>
      <c r="K7" s="105">
        <f t="shared" ref="K7:L7" si="3">(SUM((E65:E95))/31)</f>
        <v>6.5152135829781459</v>
      </c>
      <c r="L7" s="106">
        <f t="shared" si="3"/>
        <v>6.6650336502844363</v>
      </c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</row>
    <row r="8" spans="2:27" ht="19.5" thickBot="1" x14ac:dyDescent="0.35">
      <c r="B8" s="109">
        <v>42739</v>
      </c>
      <c r="C8" s="96">
        <f t="shared" si="2"/>
        <v>4</v>
      </c>
      <c r="D8" s="97">
        <v>4.0705866522314427</v>
      </c>
      <c r="E8" s="97">
        <v>3.7295523203703116</v>
      </c>
      <c r="F8" s="97">
        <v>4.4856828881295634</v>
      </c>
      <c r="G8" s="63"/>
      <c r="H8" s="63"/>
      <c r="I8" s="94" t="s">
        <v>81</v>
      </c>
      <c r="J8" s="104">
        <f>(SUM((D96:D125))/30)</f>
        <v>7.0365923852061636</v>
      </c>
      <c r="K8" s="105">
        <f t="shared" ref="K8:L8" si="4">(SUM((E96:E125))/30)</f>
        <v>7.0569788316437947</v>
      </c>
      <c r="L8" s="106">
        <f t="shared" si="4"/>
        <v>6.5958772645149093</v>
      </c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</row>
    <row r="9" spans="2:27" ht="19.5" thickBot="1" x14ac:dyDescent="0.35">
      <c r="B9" s="109">
        <v>42740</v>
      </c>
      <c r="C9" s="96">
        <f t="shared" si="2"/>
        <v>5</v>
      </c>
      <c r="D9" s="97">
        <v>4.1252215919883639</v>
      </c>
      <c r="E9" s="97">
        <v>3.7824199827793383</v>
      </c>
      <c r="F9" s="97">
        <v>4.5404408023807026</v>
      </c>
      <c r="G9" s="63"/>
      <c r="H9" s="63"/>
      <c r="I9" s="94" t="s">
        <v>83</v>
      </c>
      <c r="J9" s="104">
        <f>(SUM((D126:D156))/31)</f>
        <v>6.8183710872347838</v>
      </c>
      <c r="K9" s="105">
        <f t="shared" ref="K9:L9" si="5">(SUM((E126:E156))/31)</f>
        <v>6.9831870351958427</v>
      </c>
      <c r="L9" s="106">
        <f t="shared" si="5"/>
        <v>6.1345138978904741</v>
      </c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</row>
    <row r="10" spans="2:27" ht="19.5" thickBot="1" x14ac:dyDescent="0.35">
      <c r="B10" s="109">
        <v>42741</v>
      </c>
      <c r="C10" s="96">
        <f t="shared" si="2"/>
        <v>6</v>
      </c>
      <c r="D10" s="97">
        <v>4.1438939068731857</v>
      </c>
      <c r="E10" s="97">
        <v>3.8011304293873467</v>
      </c>
      <c r="F10" s="97">
        <v>4.5578600736727655</v>
      </c>
      <c r="G10" s="63"/>
      <c r="H10" s="63"/>
      <c r="I10" s="94" t="s">
        <v>84</v>
      </c>
      <c r="J10" s="104">
        <f>(SUM((D157:D186))/30)</f>
        <v>6.4719270618208489</v>
      </c>
      <c r="K10" s="105">
        <f t="shared" ref="K10:L10" si="6">(SUM((E157:E186))/30)</f>
        <v>6.6907528179235634</v>
      </c>
      <c r="L10" s="106">
        <f t="shared" si="6"/>
        <v>5.7212842164956736</v>
      </c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</row>
    <row r="11" spans="2:27" ht="19.5" thickBot="1" x14ac:dyDescent="0.35">
      <c r="B11" s="109">
        <v>42742</v>
      </c>
      <c r="C11" s="96">
        <f t="shared" si="2"/>
        <v>7</v>
      </c>
      <c r="D11" s="97">
        <v>4.130648836689498</v>
      </c>
      <c r="E11" s="97">
        <v>3.7889092579285912</v>
      </c>
      <c r="F11" s="97">
        <v>4.5431954587160694</v>
      </c>
      <c r="G11" s="63"/>
      <c r="H11" s="63"/>
      <c r="I11" s="94" t="s">
        <v>85</v>
      </c>
      <c r="J11" s="104">
        <f>(SUM((D187:D217))/31)</f>
        <v>6.3556534321841909</v>
      </c>
      <c r="K11" s="105">
        <f t="shared" ref="K11:L11" si="7">(SUM((E187:E217))/31)</f>
        <v>6.5345849109440053</v>
      </c>
      <c r="L11" s="106">
        <f t="shared" si="7"/>
        <v>5.6771462824513925</v>
      </c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</row>
    <row r="12" spans="2:27" ht="19.5" thickBot="1" x14ac:dyDescent="0.35">
      <c r="B12" s="109">
        <v>42743</v>
      </c>
      <c r="C12" s="96">
        <f t="shared" si="2"/>
        <v>8</v>
      </c>
      <c r="D12" s="97">
        <v>4.1493441050571489</v>
      </c>
      <c r="E12" s="97">
        <v>3.8074568520392407</v>
      </c>
      <c r="F12" s="97">
        <v>4.5609191523493164</v>
      </c>
      <c r="G12" s="63"/>
      <c r="H12" s="63"/>
      <c r="I12" s="94" t="s">
        <v>86</v>
      </c>
      <c r="J12" s="104">
        <f>(SUM((D218:D248))/31)</f>
        <v>6.4310126652721102</v>
      </c>
      <c r="K12" s="105">
        <f t="shared" ref="K12:L12" si="8">(SUM((E218:E248))/31)</f>
        <v>6.4923387189128228</v>
      </c>
      <c r="L12" s="106">
        <f t="shared" si="8"/>
        <v>5.9634779089196233</v>
      </c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2:27" ht="19.5" thickBot="1" x14ac:dyDescent="0.35">
      <c r="B13" s="109">
        <v>42744</v>
      </c>
      <c r="C13" s="96">
        <f t="shared" si="2"/>
        <v>9</v>
      </c>
      <c r="D13" s="97">
        <v>4.8903066033319353</v>
      </c>
      <c r="E13" s="97">
        <v>4.2954574558976972</v>
      </c>
      <c r="F13" s="97">
        <v>5.7334313059025668</v>
      </c>
      <c r="G13" s="63"/>
      <c r="H13" s="63"/>
      <c r="I13" s="94" t="s">
        <v>87</v>
      </c>
      <c r="J13" s="104">
        <f>(SUM((D249:D278))/30)</f>
        <v>6.2663392442628725</v>
      </c>
      <c r="K13" s="105">
        <f t="shared" ref="K13:L13" si="9">(SUM((E249:E278))/30)</f>
        <v>6.1519704164410154</v>
      </c>
      <c r="L13" s="106">
        <f t="shared" si="9"/>
        <v>6.1154396371292021</v>
      </c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2:27" ht="19.5" thickBot="1" x14ac:dyDescent="0.35">
      <c r="B14" s="109">
        <v>42745</v>
      </c>
      <c r="C14" s="96">
        <f t="shared" si="2"/>
        <v>10</v>
      </c>
      <c r="D14" s="97">
        <v>4.801882923558213</v>
      </c>
      <c r="E14" s="97">
        <v>4.2422952343872504</v>
      </c>
      <c r="F14" s="97">
        <v>5.5832852289495891</v>
      </c>
      <c r="G14" s="63"/>
      <c r="H14" s="63"/>
      <c r="I14" s="94" t="s">
        <v>88</v>
      </c>
      <c r="J14" s="104">
        <f>(SUM((D279:D309))/31)</f>
        <v>5.5079562674222746</v>
      </c>
      <c r="K14" s="105">
        <f t="shared" ref="K14:L14" si="10">(SUM((E279:E309))/31)</f>
        <v>5.2448502166160118</v>
      </c>
      <c r="L14" s="106">
        <f t="shared" si="10"/>
        <v>5.6862212415518734</v>
      </c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2:27" ht="19.5" thickBot="1" x14ac:dyDescent="0.35">
      <c r="B15" s="109">
        <v>42746</v>
      </c>
      <c r="C15" s="96">
        <f t="shared" si="2"/>
        <v>11</v>
      </c>
      <c r="D15" s="97">
        <v>4.7600848075938504</v>
      </c>
      <c r="E15" s="97">
        <v>4.2356647151533116</v>
      </c>
      <c r="F15" s="97">
        <v>5.477389963416873</v>
      </c>
      <c r="G15" s="63"/>
      <c r="H15" s="63"/>
      <c r="I15" s="94" t="s">
        <v>89</v>
      </c>
      <c r="J15" s="104">
        <f>(SUM((D310:D339))/30)</f>
        <v>4.6745030708933433</v>
      </c>
      <c r="K15" s="105">
        <f t="shared" ref="K15:L15" si="11">(SUM((E310:E339))/30)</f>
        <v>4.2903205017293713</v>
      </c>
      <c r="L15" s="106">
        <f t="shared" si="11"/>
        <v>5.132540750533555</v>
      </c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2:27" ht="19.5" thickBot="1" x14ac:dyDescent="0.35">
      <c r="B16" s="109">
        <v>42747</v>
      </c>
      <c r="C16" s="96">
        <f t="shared" si="2"/>
        <v>12</v>
      </c>
      <c r="D16" s="97">
        <v>4.6826947723227965</v>
      </c>
      <c r="E16" s="97">
        <v>4.1935577834737003</v>
      </c>
      <c r="F16" s="97">
        <v>5.337683010775649</v>
      </c>
      <c r="G16" s="63"/>
      <c r="H16" s="63"/>
      <c r="I16" s="94" t="s">
        <v>90</v>
      </c>
      <c r="J16" s="104">
        <f>(SUM((D340:D370))/31)</f>
        <v>3.8723777040824365</v>
      </c>
      <c r="K16" s="105">
        <f t="shared" ref="K16:L16" si="12">(SUM((E340:E370))/31)</f>
        <v>3.5388217307681531</v>
      </c>
      <c r="L16" s="106">
        <f t="shared" si="12"/>
        <v>4.2854742483108899</v>
      </c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x14ac:dyDescent="0.25">
      <c r="B17" s="109">
        <v>42748</v>
      </c>
      <c r="C17" s="96">
        <f t="shared" si="2"/>
        <v>13</v>
      </c>
      <c r="D17" s="97">
        <v>4.6060289154253153</v>
      </c>
      <c r="E17" s="97">
        <v>4.1492161093603492</v>
      </c>
      <c r="F17" s="97">
        <v>5.2042753500938224</v>
      </c>
      <c r="G17" s="63"/>
      <c r="H17" s="63"/>
      <c r="I17" s="95"/>
      <c r="J17" s="80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x14ac:dyDescent="0.25">
      <c r="B18" s="109">
        <v>42749</v>
      </c>
      <c r="C18" s="96">
        <f t="shared" si="2"/>
        <v>14</v>
      </c>
      <c r="D18" s="97">
        <v>4.5360965518480256</v>
      </c>
      <c r="E18" s="97">
        <v>4.1070938692078132</v>
      </c>
      <c r="F18" s="97">
        <v>5.0857537695818573</v>
      </c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</row>
    <row r="19" spans="2:27" x14ac:dyDescent="0.25">
      <c r="B19" s="109">
        <v>42750</v>
      </c>
      <c r="C19" s="96">
        <f t="shared" si="2"/>
        <v>15</v>
      </c>
      <c r="D19" s="97">
        <v>4.5368915712171969</v>
      </c>
      <c r="E19" s="97">
        <v>4.1281851528255231</v>
      </c>
      <c r="F19" s="97">
        <v>5.0481644375824315</v>
      </c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x14ac:dyDescent="0.25">
      <c r="B20" s="109">
        <v>42751</v>
      </c>
      <c r="C20" s="96">
        <f t="shared" si="2"/>
        <v>16</v>
      </c>
      <c r="D20" s="97">
        <v>4.5384984400284925</v>
      </c>
      <c r="E20" s="97">
        <v>4.1464360942803333</v>
      </c>
      <c r="F20" s="97">
        <v>5.0184459843514126</v>
      </c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x14ac:dyDescent="0.25">
      <c r="B21" s="109">
        <v>42752</v>
      </c>
      <c r="C21" s="96">
        <f t="shared" si="2"/>
        <v>17</v>
      </c>
      <c r="D21" s="97">
        <v>4.5114083578784934</v>
      </c>
      <c r="E21" s="97">
        <v>4.1318969759966437</v>
      </c>
      <c r="F21" s="97">
        <v>4.9692157241824795</v>
      </c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x14ac:dyDescent="0.25">
      <c r="B22" s="109">
        <v>42753</v>
      </c>
      <c r="C22" s="96">
        <f t="shared" si="2"/>
        <v>18</v>
      </c>
      <c r="D22" s="97">
        <v>4.5062878803517101</v>
      </c>
      <c r="E22" s="97">
        <v>4.1348209893766494</v>
      </c>
      <c r="F22" s="97">
        <v>4.9491868001994286</v>
      </c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x14ac:dyDescent="0.25">
      <c r="B23" s="109">
        <v>42754</v>
      </c>
      <c r="C23" s="96">
        <f t="shared" si="2"/>
        <v>19</v>
      </c>
      <c r="D23" s="97">
        <v>4.5380471603277943</v>
      </c>
      <c r="E23" s="97">
        <v>4.1713160803198566</v>
      </c>
      <c r="F23" s="97">
        <v>4.9702685260784794</v>
      </c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x14ac:dyDescent="0.25">
      <c r="B24" s="109">
        <v>42755</v>
      </c>
      <c r="C24" s="96">
        <f t="shared" si="2"/>
        <v>20</v>
      </c>
      <c r="D24" s="97">
        <v>4.5649476811100804</v>
      </c>
      <c r="E24" s="97">
        <v>4.2007899928634771</v>
      </c>
      <c r="F24" s="97">
        <v>4.990742645097022</v>
      </c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x14ac:dyDescent="0.25">
      <c r="B25" s="109">
        <v>42756</v>
      </c>
      <c r="C25" s="96">
        <f t="shared" si="2"/>
        <v>21</v>
      </c>
      <c r="D25" s="97">
        <v>4.5902291085396207</v>
      </c>
      <c r="E25" s="97">
        <v>4.2276083948623064</v>
      </c>
      <c r="F25" s="97">
        <v>5.011636225915356</v>
      </c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x14ac:dyDescent="0.25">
      <c r="B26" s="109">
        <v>42757</v>
      </c>
      <c r="C26" s="96">
        <f t="shared" si="2"/>
        <v>22</v>
      </c>
      <c r="D26" s="97">
        <v>4.6151759035565449</v>
      </c>
      <c r="E26" s="97">
        <v>4.2524987126491096</v>
      </c>
      <c r="F26" s="97">
        <v>5.0351036053252205</v>
      </c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</row>
    <row r="27" spans="2:27" x14ac:dyDescent="0.25">
      <c r="B27" s="109">
        <v>42758</v>
      </c>
      <c r="C27" s="96">
        <f t="shared" si="2"/>
        <v>23</v>
      </c>
      <c r="D27" s="97">
        <v>4.6599133179164403</v>
      </c>
      <c r="E27" s="97">
        <v>4.2950247552308136</v>
      </c>
      <c r="F27" s="97">
        <v>5.0812079985168621</v>
      </c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</row>
    <row r="28" spans="2:27" x14ac:dyDescent="0.25">
      <c r="B28" s="109">
        <v>42759</v>
      </c>
      <c r="C28" s="96">
        <f t="shared" si="2"/>
        <v>24</v>
      </c>
      <c r="D28" s="97">
        <v>4.7045937086310783</v>
      </c>
      <c r="E28" s="97">
        <v>4.3356877420396884</v>
      </c>
      <c r="F28" s="97">
        <v>5.1306088793307829</v>
      </c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</row>
    <row r="29" spans="2:27" x14ac:dyDescent="0.25">
      <c r="B29" s="109">
        <v>42760</v>
      </c>
      <c r="C29" s="96">
        <f t="shared" si="2"/>
        <v>25</v>
      </c>
      <c r="D29" s="97">
        <v>4.7673199336559291</v>
      </c>
      <c r="E29" s="97">
        <v>4.3908163406885503</v>
      </c>
      <c r="F29" s="97">
        <v>5.2036389767429823</v>
      </c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</row>
    <row r="30" spans="2:27" x14ac:dyDescent="0.25">
      <c r="B30" s="109">
        <v>42761</v>
      </c>
      <c r="C30" s="96">
        <f t="shared" si="2"/>
        <v>26</v>
      </c>
      <c r="D30" s="97">
        <v>4.8470844354688447</v>
      </c>
      <c r="E30" s="97">
        <v>4.4584437850396403</v>
      </c>
      <c r="F30" s="97">
        <v>5.3011159053769301</v>
      </c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</row>
    <row r="31" spans="2:27" x14ac:dyDescent="0.25">
      <c r="B31" s="109">
        <v>42762</v>
      </c>
      <c r="C31" s="96">
        <f t="shared" si="2"/>
        <v>27</v>
      </c>
      <c r="D31" s="97">
        <v>4.9325347496176386</v>
      </c>
      <c r="E31" s="97">
        <v>4.5283888490019493</v>
      </c>
      <c r="F31" s="97">
        <v>5.4102671311719694</v>
      </c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</row>
    <row r="32" spans="2:27" x14ac:dyDescent="0.25">
      <c r="B32" s="109">
        <v>42763</v>
      </c>
      <c r="C32" s="96">
        <f t="shared" si="2"/>
        <v>28</v>
      </c>
      <c r="D32" s="97">
        <v>5.041590018968245</v>
      </c>
      <c r="E32" s="97">
        <v>4.6190551994287565</v>
      </c>
      <c r="F32" s="97">
        <v>5.5469470056404733</v>
      </c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</row>
    <row r="33" spans="2:27" x14ac:dyDescent="0.25">
      <c r="B33" s="109">
        <v>42764</v>
      </c>
      <c r="C33" s="96">
        <f t="shared" si="2"/>
        <v>29</v>
      </c>
      <c r="D33" s="97">
        <v>5.1178990234683006</v>
      </c>
      <c r="E33" s="97">
        <v>4.6809049402061342</v>
      </c>
      <c r="F33" s="97">
        <v>5.644413347882578</v>
      </c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</row>
    <row r="34" spans="2:27" x14ac:dyDescent="0.25">
      <c r="B34" s="109">
        <v>42765</v>
      </c>
      <c r="C34" s="96">
        <f t="shared" si="2"/>
        <v>30</v>
      </c>
      <c r="D34" s="97">
        <v>5.2043772222801481</v>
      </c>
      <c r="E34" s="97">
        <v>4.7614217498999514</v>
      </c>
      <c r="F34" s="97">
        <v>5.737337483012702</v>
      </c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</row>
    <row r="35" spans="2:27" x14ac:dyDescent="0.25">
      <c r="B35" s="109">
        <v>42766</v>
      </c>
      <c r="C35" s="96">
        <f t="shared" si="2"/>
        <v>31</v>
      </c>
      <c r="D35" s="97">
        <v>5.2171428430783395</v>
      </c>
      <c r="E35" s="97">
        <v>4.7799753746131479</v>
      </c>
      <c r="F35" s="97">
        <v>5.7380197943127103</v>
      </c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</row>
    <row r="36" spans="2:27" x14ac:dyDescent="0.25">
      <c r="B36" s="109">
        <v>42767</v>
      </c>
      <c r="C36" s="96">
        <f t="shared" si="2"/>
        <v>32</v>
      </c>
      <c r="D36" s="97">
        <v>5.2147976818223327</v>
      </c>
      <c r="E36" s="97">
        <v>4.7911741349731356</v>
      </c>
      <c r="F36" s="97">
        <v>5.7102406625132334</v>
      </c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</row>
    <row r="37" spans="2:27" x14ac:dyDescent="0.25">
      <c r="B37" s="109">
        <v>42768</v>
      </c>
      <c r="C37" s="96">
        <f t="shared" si="2"/>
        <v>33</v>
      </c>
      <c r="D37" s="97">
        <v>5.2069756252370016</v>
      </c>
      <c r="E37" s="97">
        <v>4.7994521793417277</v>
      </c>
      <c r="F37" s="97">
        <v>5.6722199596232095</v>
      </c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</row>
    <row r="38" spans="2:27" x14ac:dyDescent="0.25">
      <c r="B38" s="109">
        <v>42769</v>
      </c>
      <c r="C38" s="96">
        <f t="shared" si="2"/>
        <v>34</v>
      </c>
      <c r="D38" s="97">
        <v>5.2443962354233911</v>
      </c>
      <c r="E38" s="97">
        <v>4.8518210816087128</v>
      </c>
      <c r="F38" s="97">
        <v>5.6790714213569888</v>
      </c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</row>
    <row r="39" spans="2:27" x14ac:dyDescent="0.25">
      <c r="B39" s="109">
        <v>42770</v>
      </c>
      <c r="C39" s="96">
        <f t="shared" si="2"/>
        <v>35</v>
      </c>
      <c r="D39" s="97">
        <v>5.2542056703479005</v>
      </c>
      <c r="E39" s="97">
        <v>4.8751330987492114</v>
      </c>
      <c r="F39" s="97">
        <v>5.6626338206850253</v>
      </c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</row>
    <row r="40" spans="2:27" x14ac:dyDescent="0.25">
      <c r="B40" s="109">
        <v>42771</v>
      </c>
      <c r="C40" s="96">
        <f t="shared" si="2"/>
        <v>36</v>
      </c>
      <c r="D40" s="97">
        <v>5.2288265901548501</v>
      </c>
      <c r="E40" s="97">
        <v>4.8612919971923034</v>
      </c>
      <c r="F40" s="97">
        <v>5.616683471295226</v>
      </c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</row>
    <row r="41" spans="2:27" x14ac:dyDescent="0.25">
      <c r="B41" s="109">
        <v>42772</v>
      </c>
      <c r="C41" s="96">
        <f t="shared" si="2"/>
        <v>37</v>
      </c>
      <c r="D41" s="97">
        <v>5.2264389402008673</v>
      </c>
      <c r="E41" s="97">
        <v>4.8676843800825109</v>
      </c>
      <c r="F41" s="97">
        <v>5.5974909907491988</v>
      </c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</row>
    <row r="42" spans="2:27" x14ac:dyDescent="0.25">
      <c r="B42" s="109">
        <v>42773</v>
      </c>
      <c r="C42" s="96">
        <f t="shared" si="2"/>
        <v>38</v>
      </c>
      <c r="D42" s="97">
        <v>5.3108473122553681</v>
      </c>
      <c r="E42" s="97">
        <v>4.9579415832962468</v>
      </c>
      <c r="F42" s="97">
        <v>5.6655639188379663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</row>
    <row r="43" spans="2:27" x14ac:dyDescent="0.25">
      <c r="B43" s="109">
        <v>42774</v>
      </c>
      <c r="C43" s="96">
        <f t="shared" si="2"/>
        <v>39</v>
      </c>
      <c r="D43" s="97">
        <v>5.3048777308002109</v>
      </c>
      <c r="E43" s="97">
        <v>4.9581825626362823</v>
      </c>
      <c r="F43" s="97">
        <v>5.6478360040049846</v>
      </c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</row>
    <row r="44" spans="2:27" x14ac:dyDescent="0.25">
      <c r="B44" s="109">
        <v>42775</v>
      </c>
      <c r="C44" s="96">
        <f t="shared" si="2"/>
        <v>40</v>
      </c>
      <c r="D44" s="97">
        <v>5.3377657126404712</v>
      </c>
      <c r="E44" s="97">
        <v>4.9959783483629812</v>
      </c>
      <c r="F44" s="97">
        <v>5.6691300924841732</v>
      </c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</row>
    <row r="45" spans="2:27" x14ac:dyDescent="0.25">
      <c r="B45" s="109">
        <v>42776</v>
      </c>
      <c r="C45" s="96">
        <f t="shared" si="2"/>
        <v>41</v>
      </c>
      <c r="D45" s="97">
        <v>5.3557010031716787</v>
      </c>
      <c r="E45" s="97">
        <v>5.0184236050120514</v>
      </c>
      <c r="F45" s="97">
        <v>5.6771068833597775</v>
      </c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</row>
    <row r="46" spans="2:27" x14ac:dyDescent="0.25">
      <c r="B46" s="109">
        <v>42777</v>
      </c>
      <c r="C46" s="96">
        <f t="shared" si="2"/>
        <v>42</v>
      </c>
      <c r="D46" s="97">
        <v>5.392105509732076</v>
      </c>
      <c r="E46" s="97">
        <v>5.0580704797622511</v>
      </c>
      <c r="F46" s="97">
        <v>5.7047304938996222</v>
      </c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</row>
    <row r="47" spans="2:27" x14ac:dyDescent="0.25">
      <c r="B47" s="109">
        <v>42778</v>
      </c>
      <c r="C47" s="96">
        <f t="shared" si="2"/>
        <v>43</v>
      </c>
      <c r="D47" s="97">
        <v>5.4246818937535659</v>
      </c>
      <c r="E47" s="97">
        <v>5.094534481703513</v>
      </c>
      <c r="F47" s="97">
        <v>5.7276757244747847</v>
      </c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</row>
    <row r="48" spans="2:27" x14ac:dyDescent="0.25">
      <c r="B48" s="109">
        <v>42779</v>
      </c>
      <c r="C48" s="96">
        <f t="shared" si="2"/>
        <v>44</v>
      </c>
      <c r="D48" s="97">
        <v>5.4592658815233142</v>
      </c>
      <c r="E48" s="97">
        <v>5.1330198988922886</v>
      </c>
      <c r="F48" s="97">
        <v>5.7524845899353654</v>
      </c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</row>
    <row r="49" spans="2:27" x14ac:dyDescent="0.25">
      <c r="B49" s="109">
        <v>42780</v>
      </c>
      <c r="C49" s="96">
        <f t="shared" si="2"/>
        <v>45</v>
      </c>
      <c r="D49" s="97">
        <v>5.5389402439782431</v>
      </c>
      <c r="E49" s="97">
        <v>5.2152174008639944</v>
      </c>
      <c r="F49" s="97">
        <v>5.8222332403490249</v>
      </c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</row>
    <row r="50" spans="2:27" x14ac:dyDescent="0.25">
      <c r="B50" s="109">
        <v>42781</v>
      </c>
      <c r="C50" s="96">
        <f t="shared" si="2"/>
        <v>46</v>
      </c>
      <c r="D50" s="97">
        <v>5.6334794741722432</v>
      </c>
      <c r="E50" s="97">
        <v>5.3126213536741265</v>
      </c>
      <c r="F50" s="97">
        <v>5.9053077317397058</v>
      </c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</row>
    <row r="51" spans="2:27" x14ac:dyDescent="0.25">
      <c r="B51" s="109">
        <v>42782</v>
      </c>
      <c r="C51" s="96">
        <f t="shared" si="2"/>
        <v>47</v>
      </c>
      <c r="D51" s="97">
        <v>5.6669205366921718</v>
      </c>
      <c r="E51" s="97">
        <v>5.3499394457028782</v>
      </c>
      <c r="F51" s="97">
        <v>5.9291210407278676</v>
      </c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</row>
    <row r="52" spans="2:27" x14ac:dyDescent="0.25">
      <c r="B52" s="109">
        <v>42783</v>
      </c>
      <c r="C52" s="96">
        <f t="shared" si="2"/>
        <v>48</v>
      </c>
      <c r="D52" s="97">
        <v>5.6897480054356793</v>
      </c>
      <c r="E52" s="97">
        <v>5.3765467470780379</v>
      </c>
      <c r="F52" s="97">
        <v>5.9430921261509218</v>
      </c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</row>
    <row r="53" spans="2:27" x14ac:dyDescent="0.25">
      <c r="B53" s="109">
        <v>42784</v>
      </c>
      <c r="C53" s="96">
        <f t="shared" si="2"/>
        <v>49</v>
      </c>
      <c r="D53" s="97">
        <v>5.7038182450811883</v>
      </c>
      <c r="E53" s="97">
        <v>5.3948863052483036</v>
      </c>
      <c r="F53" s="97">
        <v>5.9503375476698537</v>
      </c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</row>
    <row r="54" spans="2:27" x14ac:dyDescent="0.25">
      <c r="B54" s="109">
        <v>42785</v>
      </c>
      <c r="C54" s="96">
        <f t="shared" si="2"/>
        <v>50</v>
      </c>
      <c r="D54" s="97">
        <v>5.7495439550979439</v>
      </c>
      <c r="E54" s="97">
        <v>5.4461284270037273</v>
      </c>
      <c r="F54" s="97">
        <v>5.9864065086576765</v>
      </c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</row>
    <row r="55" spans="2:27" x14ac:dyDescent="0.25">
      <c r="B55" s="109">
        <v>42786</v>
      </c>
      <c r="C55" s="96">
        <f t="shared" si="2"/>
        <v>51</v>
      </c>
      <c r="D55" s="97">
        <v>5.7875356243070888</v>
      </c>
      <c r="E55" s="97">
        <v>5.489932634144699</v>
      </c>
      <c r="F55" s="97">
        <v>6.0148352458802528</v>
      </c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</row>
    <row r="56" spans="2:27" x14ac:dyDescent="0.25">
      <c r="B56" s="109">
        <v>42787</v>
      </c>
      <c r="C56" s="96">
        <f t="shared" si="2"/>
        <v>52</v>
      </c>
      <c r="D56" s="97">
        <v>5.8187984354320506</v>
      </c>
      <c r="E56" s="97">
        <v>5.5272249915843528</v>
      </c>
      <c r="F56" s="97">
        <v>6.0366868691089133</v>
      </c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</row>
    <row r="57" spans="2:27" x14ac:dyDescent="0.25">
      <c r="B57" s="109">
        <v>42788</v>
      </c>
      <c r="C57" s="96">
        <f t="shared" si="2"/>
        <v>53</v>
      </c>
      <c r="D57" s="97">
        <v>5.8580065093627942</v>
      </c>
      <c r="E57" s="97">
        <v>5.5702277888509109</v>
      </c>
      <c r="F57" s="97">
        <v>6.0668316037839265</v>
      </c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</row>
    <row r="58" spans="2:27" x14ac:dyDescent="0.25">
      <c r="B58" s="109">
        <v>42789</v>
      </c>
      <c r="C58" s="96">
        <f t="shared" si="2"/>
        <v>54</v>
      </c>
      <c r="D58" s="97">
        <v>5.9032344404560577</v>
      </c>
      <c r="E58" s="97">
        <v>5.6195867963742208</v>
      </c>
      <c r="F58" s="97">
        <v>6.1001891369135457</v>
      </c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</row>
    <row r="59" spans="2:27" x14ac:dyDescent="0.25">
      <c r="B59" s="109">
        <v>42790</v>
      </c>
      <c r="C59" s="96">
        <f t="shared" si="2"/>
        <v>55</v>
      </c>
      <c r="D59" s="97">
        <v>5.9249340108686566</v>
      </c>
      <c r="E59" s="97">
        <v>5.645455723780513</v>
      </c>
      <c r="F59" s="97">
        <v>6.1113013381287677</v>
      </c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</row>
    <row r="60" spans="2:27" x14ac:dyDescent="0.25">
      <c r="B60" s="109">
        <v>42791</v>
      </c>
      <c r="C60" s="96">
        <f t="shared" si="2"/>
        <v>56</v>
      </c>
      <c r="D60" s="97">
        <v>5.9925092143888126</v>
      </c>
      <c r="E60" s="97">
        <v>5.717201091264454</v>
      </c>
      <c r="F60" s="97">
        <v>6.1656769438257042</v>
      </c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</row>
    <row r="61" spans="2:27" x14ac:dyDescent="0.25">
      <c r="B61" s="109">
        <v>42792</v>
      </c>
      <c r="C61" s="96">
        <f t="shared" si="2"/>
        <v>57</v>
      </c>
      <c r="D61" s="97">
        <v>6.016248838775855</v>
      </c>
      <c r="E61" s="97">
        <v>5.7455349803209668</v>
      </c>
      <c r="F61" s="97">
        <v>6.1781834295482128</v>
      </c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</row>
    <row r="62" spans="2:27" x14ac:dyDescent="0.25">
      <c r="B62" s="109">
        <v>42793</v>
      </c>
      <c r="C62" s="96">
        <f t="shared" si="2"/>
        <v>58</v>
      </c>
      <c r="D62" s="97">
        <v>6.0704792638123743</v>
      </c>
      <c r="E62" s="97">
        <v>5.8039252400540002</v>
      </c>
      <c r="F62" s="97">
        <v>6.2200514283480732</v>
      </c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</row>
    <row r="63" spans="2:27" x14ac:dyDescent="0.25">
      <c r="B63" s="109">
        <v>42794</v>
      </c>
      <c r="C63" s="96">
        <f t="shared" si="2"/>
        <v>59</v>
      </c>
      <c r="D63" s="97">
        <v>6.0943216205155641</v>
      </c>
      <c r="E63" s="97">
        <v>5.8326330255662748</v>
      </c>
      <c r="F63" s="97">
        <v>6.2322955506987912</v>
      </c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</row>
    <row r="64" spans="2:27" x14ac:dyDescent="0.25">
      <c r="B64" s="109">
        <v>42795</v>
      </c>
      <c r="C64" s="96">
        <f t="shared" si="2"/>
        <v>60</v>
      </c>
      <c r="D64" s="97">
        <v>6.1700484757992839</v>
      </c>
      <c r="E64" s="97">
        <v>5.9130051716165379</v>
      </c>
      <c r="F64" s="97">
        <v>6.2936751892175646</v>
      </c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</row>
    <row r="65" spans="2:27" x14ac:dyDescent="0.25">
      <c r="B65" s="109">
        <v>42796</v>
      </c>
      <c r="C65" s="96">
        <f t="shared" si="2"/>
        <v>61</v>
      </c>
      <c r="D65" s="97">
        <v>6.196689928106327</v>
      </c>
      <c r="E65" s="97">
        <v>5.9448945335250558</v>
      </c>
      <c r="F65" s="97">
        <v>6.3079164877610356</v>
      </c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</row>
    <row r="66" spans="2:27" x14ac:dyDescent="0.25">
      <c r="B66" s="109">
        <v>42797</v>
      </c>
      <c r="C66" s="96">
        <f t="shared" si="2"/>
        <v>62</v>
      </c>
      <c r="D66" s="97">
        <v>6.2394151158302149</v>
      </c>
      <c r="E66" s="97">
        <v>5.9915639408989243</v>
      </c>
      <c r="F66" s="97">
        <v>6.3394886612140642</v>
      </c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</row>
    <row r="67" spans="2:27" x14ac:dyDescent="0.25">
      <c r="B67" s="109">
        <v>42798</v>
      </c>
      <c r="C67" s="96">
        <f t="shared" si="2"/>
        <v>63</v>
      </c>
      <c r="D67" s="97">
        <v>6.2764654988879993</v>
      </c>
      <c r="E67" s="97">
        <v>6.0348005587758724</v>
      </c>
      <c r="F67" s="97">
        <v>6.3619800832521038</v>
      </c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</row>
    <row r="68" spans="2:27" x14ac:dyDescent="0.25">
      <c r="B68" s="109">
        <v>42799</v>
      </c>
      <c r="C68" s="96">
        <f t="shared" si="2"/>
        <v>64</v>
      </c>
      <c r="D68" s="97">
        <v>6.2747025336418538</v>
      </c>
      <c r="E68" s="97">
        <v>6.0374284370027453</v>
      </c>
      <c r="F68" s="97">
        <v>6.3511656733634787</v>
      </c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</row>
    <row r="69" spans="2:27" x14ac:dyDescent="0.25">
      <c r="B69" s="109">
        <v>42800</v>
      </c>
      <c r="C69" s="96">
        <f t="shared" si="2"/>
        <v>65</v>
      </c>
      <c r="D69" s="97">
        <v>6.3611059402590646</v>
      </c>
      <c r="E69" s="97">
        <v>6.130096037583745</v>
      </c>
      <c r="F69" s="97">
        <v>6.4198815469221708</v>
      </c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</row>
    <row r="70" spans="2:27" x14ac:dyDescent="0.25">
      <c r="B70" s="109">
        <v>42801</v>
      </c>
      <c r="C70" s="96">
        <f t="shared" si="2"/>
        <v>66</v>
      </c>
      <c r="D70" s="97">
        <v>6.405680872541021</v>
      </c>
      <c r="E70" s="97">
        <v>6.1808073704443647</v>
      </c>
      <c r="F70" s="97">
        <v>6.4495427811909236</v>
      </c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</row>
    <row r="71" spans="2:27" x14ac:dyDescent="0.25">
      <c r="B71" s="109">
        <v>42802</v>
      </c>
      <c r="C71" s="96">
        <f t="shared" ref="C71:C134" si="13">B71-$B$5+1</f>
        <v>67</v>
      </c>
      <c r="D71" s="97">
        <v>6.7952620956427872</v>
      </c>
      <c r="E71" s="97">
        <v>6.4310600922646657</v>
      </c>
      <c r="F71" s="97">
        <v>7.0769574378845901</v>
      </c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</row>
    <row r="72" spans="2:27" x14ac:dyDescent="0.25">
      <c r="B72" s="109">
        <v>42803</v>
      </c>
      <c r="C72" s="96">
        <f t="shared" si="13"/>
        <v>68</v>
      </c>
      <c r="D72" s="97">
        <v>6.6921567140528335</v>
      </c>
      <c r="E72" s="97">
        <v>6.3975594665192057</v>
      </c>
      <c r="F72" s="97">
        <v>6.8472066693797409</v>
      </c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</row>
    <row r="73" spans="2:27" x14ac:dyDescent="0.25">
      <c r="B73" s="109">
        <v>42804</v>
      </c>
      <c r="C73" s="96">
        <f t="shared" si="13"/>
        <v>69</v>
      </c>
      <c r="D73" s="97">
        <v>6.5756786332601012</v>
      </c>
      <c r="E73" s="97">
        <v>6.3242464894982646</v>
      </c>
      <c r="F73" s="97">
        <v>6.6553490850859394</v>
      </c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</row>
    <row r="74" spans="2:27" x14ac:dyDescent="0.25">
      <c r="B74" s="109">
        <v>42805</v>
      </c>
      <c r="C74" s="96">
        <f t="shared" si="13"/>
        <v>70</v>
      </c>
      <c r="D74" s="97">
        <v>6.5659089351508895</v>
      </c>
      <c r="E74" s="97">
        <v>6.3422250745827613</v>
      </c>
      <c r="F74" s="97">
        <v>6.5939232518067037</v>
      </c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</row>
    <row r="75" spans="2:27" x14ac:dyDescent="0.25">
      <c r="B75" s="109">
        <v>42806</v>
      </c>
      <c r="C75" s="96">
        <f t="shared" si="13"/>
        <v>71</v>
      </c>
      <c r="D75" s="97">
        <v>6.570261850366097</v>
      </c>
      <c r="E75" s="97">
        <v>6.3583376550011339</v>
      </c>
      <c r="F75" s="97">
        <v>6.575683671465363</v>
      </c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</row>
    <row r="76" spans="2:27" x14ac:dyDescent="0.25">
      <c r="B76" s="109">
        <v>42807</v>
      </c>
      <c r="C76" s="96">
        <f t="shared" si="13"/>
        <v>72</v>
      </c>
      <c r="D76" s="97">
        <v>6.6072518996059788</v>
      </c>
      <c r="E76" s="97">
        <v>6.4028970459535532</v>
      </c>
      <c r="F76" s="97">
        <v>6.5961653859557581</v>
      </c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</row>
    <row r="77" spans="2:27" x14ac:dyDescent="0.25">
      <c r="B77" s="109">
        <v>42808</v>
      </c>
      <c r="C77" s="96">
        <f t="shared" si="13"/>
        <v>73</v>
      </c>
      <c r="D77" s="97">
        <v>6.6410360281353658</v>
      </c>
      <c r="E77" s="97">
        <v>6.4405339699468467</v>
      </c>
      <c r="F77" s="97">
        <v>6.6205465967433472</v>
      </c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</row>
    <row r="78" spans="2:27" x14ac:dyDescent="0.25">
      <c r="B78" s="109">
        <v>42809</v>
      </c>
      <c r="C78" s="96">
        <f t="shared" si="13"/>
        <v>74</v>
      </c>
      <c r="D78" s="97">
        <v>6.6666801339684172</v>
      </c>
      <c r="E78" s="97">
        <v>6.463782520517217</v>
      </c>
      <c r="F78" s="97">
        <v>6.6487363386625198</v>
      </c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</row>
    <row r="79" spans="2:27" x14ac:dyDescent="0.25">
      <c r="B79" s="109">
        <v>42810</v>
      </c>
      <c r="C79" s="96">
        <f t="shared" si="13"/>
        <v>75</v>
      </c>
      <c r="D79" s="97">
        <v>6.7452662144874322</v>
      </c>
      <c r="E79" s="97">
        <v>6.5350371126012314</v>
      </c>
      <c r="F79" s="97">
        <v>6.7359195583860449</v>
      </c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</row>
    <row r="80" spans="2:27" x14ac:dyDescent="0.25">
      <c r="B80" s="109">
        <v>42811</v>
      </c>
      <c r="C80" s="96">
        <f t="shared" si="13"/>
        <v>76</v>
      </c>
      <c r="D80" s="97">
        <v>6.8322897876715158</v>
      </c>
      <c r="E80" s="97">
        <v>6.6103225966841741</v>
      </c>
      <c r="F80" s="97">
        <v>6.8393953625635762</v>
      </c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</row>
    <row r="81" spans="2:27" x14ac:dyDescent="0.25">
      <c r="B81" s="109">
        <v>42812</v>
      </c>
      <c r="C81" s="96">
        <f t="shared" si="13"/>
        <v>77</v>
      </c>
      <c r="D81" s="97">
        <v>6.8942276215759133</v>
      </c>
      <c r="E81" s="97">
        <v>6.6651631907698734</v>
      </c>
      <c r="F81" s="97">
        <v>6.9102080350931843</v>
      </c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</row>
    <row r="82" spans="2:27" x14ac:dyDescent="0.25">
      <c r="B82" s="109">
        <v>42813</v>
      </c>
      <c r="C82" s="96">
        <f t="shared" si="13"/>
        <v>78</v>
      </c>
      <c r="D82" s="97">
        <v>6.9024516436659775</v>
      </c>
      <c r="E82" s="97">
        <v>6.6811593682312145</v>
      </c>
      <c r="F82" s="97">
        <v>6.9028299602761036</v>
      </c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</row>
    <row r="83" spans="2:27" x14ac:dyDescent="0.25">
      <c r="B83" s="109">
        <v>42814</v>
      </c>
      <c r="C83" s="96">
        <f t="shared" si="13"/>
        <v>79</v>
      </c>
      <c r="D83" s="97">
        <v>6.8763162723066209</v>
      </c>
      <c r="E83" s="97">
        <v>6.6730777393318377</v>
      </c>
      <c r="F83" s="97">
        <v>6.8440404274266342</v>
      </c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</row>
    <row r="84" spans="2:27" x14ac:dyDescent="0.25">
      <c r="B84" s="109">
        <v>42815</v>
      </c>
      <c r="C84" s="96">
        <f t="shared" si="13"/>
        <v>80</v>
      </c>
      <c r="D84" s="97">
        <v>6.8617122105625521</v>
      </c>
      <c r="E84" s="97">
        <v>6.679019243792065</v>
      </c>
      <c r="F84" s="97">
        <v>6.7913443867228853</v>
      </c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</row>
    <row r="85" spans="2:27" x14ac:dyDescent="0.25">
      <c r="B85" s="109">
        <v>42816</v>
      </c>
      <c r="C85" s="96">
        <f t="shared" si="13"/>
        <v>81</v>
      </c>
      <c r="D85" s="97">
        <v>6.8558126966249322</v>
      </c>
      <c r="E85" s="97">
        <v>6.6903219801620049</v>
      </c>
      <c r="F85" s="97">
        <v>6.7530945464000292</v>
      </c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</row>
    <row r="86" spans="2:27" x14ac:dyDescent="0.25">
      <c r="B86" s="109">
        <v>42817</v>
      </c>
      <c r="C86" s="96">
        <f t="shared" si="13"/>
        <v>82</v>
      </c>
      <c r="D86" s="97">
        <v>6.8703795742627198</v>
      </c>
      <c r="E86" s="97">
        <v>6.7188684962488905</v>
      </c>
      <c r="F86" s="97">
        <v>6.740115110755756</v>
      </c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</row>
    <row r="87" spans="2:27" x14ac:dyDescent="0.25">
      <c r="B87" s="109">
        <v>42818</v>
      </c>
      <c r="C87" s="96">
        <f t="shared" si="13"/>
        <v>83</v>
      </c>
      <c r="D87" s="97">
        <v>6.9066237897246152</v>
      </c>
      <c r="E87" s="97">
        <v>6.7679047806435868</v>
      </c>
      <c r="F87" s="97">
        <v>6.7497912336921946</v>
      </c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</row>
    <row r="88" spans="2:27" x14ac:dyDescent="0.25">
      <c r="B88" s="109">
        <v>42819</v>
      </c>
      <c r="C88" s="96">
        <f t="shared" si="13"/>
        <v>84</v>
      </c>
      <c r="D88" s="97">
        <v>6.8782816711486854</v>
      </c>
      <c r="E88" s="97">
        <v>6.7484327088643195</v>
      </c>
      <c r="F88" s="97">
        <v>6.7062875981780863</v>
      </c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</row>
    <row r="89" spans="2:27" x14ac:dyDescent="0.25">
      <c r="B89" s="109">
        <v>42820</v>
      </c>
      <c r="C89" s="96">
        <f t="shared" si="13"/>
        <v>85</v>
      </c>
      <c r="D89" s="97">
        <v>6.8721472533173564</v>
      </c>
      <c r="E89" s="97">
        <v>6.7499782935274952</v>
      </c>
      <c r="F89" s="97">
        <v>6.6857691008554001</v>
      </c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</row>
    <row r="90" spans="2:27" x14ac:dyDescent="0.25">
      <c r="B90" s="109">
        <v>42821</v>
      </c>
      <c r="C90" s="96">
        <f t="shared" si="13"/>
        <v>86</v>
      </c>
      <c r="D90" s="97">
        <v>6.8782376645491698</v>
      </c>
      <c r="E90" s="97">
        <v>6.7632340923275116</v>
      </c>
      <c r="F90" s="97">
        <v>6.677650178729035</v>
      </c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</row>
    <row r="91" spans="2:27" x14ac:dyDescent="0.25">
      <c r="B91" s="109">
        <v>42822</v>
      </c>
      <c r="C91" s="96">
        <f t="shared" si="13"/>
        <v>87</v>
      </c>
      <c r="D91" s="97">
        <v>6.9063833490747886</v>
      </c>
      <c r="E91" s="97">
        <v>6.8007376059111753</v>
      </c>
      <c r="F91" s="97">
        <v>6.686307179544718</v>
      </c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</row>
    <row r="92" spans="2:27" x14ac:dyDescent="0.25">
      <c r="B92" s="109">
        <v>42823</v>
      </c>
      <c r="C92" s="96">
        <f t="shared" si="13"/>
        <v>88</v>
      </c>
      <c r="D92" s="97">
        <v>6.929026019980018</v>
      </c>
      <c r="E92" s="97">
        <v>6.8302333423511508</v>
      </c>
      <c r="F92" s="97">
        <v>6.6943298898831936</v>
      </c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</row>
    <row r="93" spans="2:27" x14ac:dyDescent="0.25">
      <c r="B93" s="109">
        <v>42824</v>
      </c>
      <c r="C93" s="96">
        <f t="shared" si="13"/>
        <v>89</v>
      </c>
      <c r="D93" s="97">
        <v>6.9249371140924652</v>
      </c>
      <c r="E93" s="97">
        <v>6.8323181528357413</v>
      </c>
      <c r="F93" s="97">
        <v>6.6786682892345528</v>
      </c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</row>
    <row r="94" spans="2:27" x14ac:dyDescent="0.25">
      <c r="B94" s="109">
        <v>42825</v>
      </c>
      <c r="C94" s="96">
        <f t="shared" si="13"/>
        <v>90</v>
      </c>
      <c r="D94" s="97">
        <v>6.9244619502309126</v>
      </c>
      <c r="E94" s="97">
        <v>6.8374189893447799</v>
      </c>
      <c r="F94" s="97">
        <v>6.6676297829910691</v>
      </c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</row>
    <row r="95" spans="2:27" x14ac:dyDescent="0.25">
      <c r="B95" s="109">
        <v>42826</v>
      </c>
      <c r="C95" s="96">
        <f t="shared" si="13"/>
        <v>91</v>
      </c>
      <c r="D95" s="97">
        <v>6.9860447238331336</v>
      </c>
      <c r="E95" s="97">
        <v>6.9081601861811155</v>
      </c>
      <c r="F95" s="97">
        <v>6.7081188473972766</v>
      </c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</row>
    <row r="96" spans="2:27" x14ac:dyDescent="0.25">
      <c r="B96" s="109">
        <v>42827</v>
      </c>
      <c r="C96" s="96">
        <f t="shared" si="13"/>
        <v>92</v>
      </c>
      <c r="D96" s="97">
        <v>6.9663254523885927</v>
      </c>
      <c r="E96" s="97">
        <v>6.8945890983991829</v>
      </c>
      <c r="F96" s="97">
        <v>6.6781896796696154</v>
      </c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</row>
    <row r="97" spans="2:27" x14ac:dyDescent="0.25">
      <c r="B97" s="109">
        <v>42828</v>
      </c>
      <c r="C97" s="96">
        <f t="shared" si="13"/>
        <v>93</v>
      </c>
      <c r="D97" s="97">
        <v>6.9860536179210646</v>
      </c>
      <c r="E97" s="97">
        <v>6.9216870580462011</v>
      </c>
      <c r="F97" s="97">
        <v>6.6828666446964871</v>
      </c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</row>
    <row r="98" spans="2:27" x14ac:dyDescent="0.25">
      <c r="B98" s="109">
        <v>42829</v>
      </c>
      <c r="C98" s="96">
        <f t="shared" si="13"/>
        <v>94</v>
      </c>
      <c r="D98" s="97">
        <v>6.9661882052620321</v>
      </c>
      <c r="E98" s="97">
        <v>6.9059088905778383</v>
      </c>
      <c r="F98" s="97">
        <v>6.6565099020481435</v>
      </c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</row>
    <row r="99" spans="2:27" x14ac:dyDescent="0.25">
      <c r="B99" s="109">
        <v>42830</v>
      </c>
      <c r="C99" s="96">
        <f t="shared" si="13"/>
        <v>95</v>
      </c>
      <c r="D99" s="97">
        <v>6.967655482976137</v>
      </c>
      <c r="E99" s="97">
        <v>6.9132478331792431</v>
      </c>
      <c r="F99" s="97">
        <v>6.6468925229833129</v>
      </c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</row>
    <row r="100" spans="2:27" x14ac:dyDescent="0.25">
      <c r="B100" s="109">
        <v>42831</v>
      </c>
      <c r="C100" s="96">
        <f t="shared" si="13"/>
        <v>96</v>
      </c>
      <c r="D100" s="97">
        <v>6.9797411365681405</v>
      </c>
      <c r="E100" s="97">
        <v>6.9324097923568893</v>
      </c>
      <c r="F100" s="97">
        <v>6.6471393668042822</v>
      </c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</row>
    <row r="101" spans="2:27" x14ac:dyDescent="0.25">
      <c r="B101" s="109">
        <v>42832</v>
      </c>
      <c r="C101" s="96">
        <f t="shared" si="13"/>
        <v>97</v>
      </c>
      <c r="D101" s="97">
        <v>7.0111480469802423</v>
      </c>
      <c r="E101" s="97">
        <v>6.9739508669049322</v>
      </c>
      <c r="F101" s="97">
        <v>6.6615060767897125</v>
      </c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</row>
    <row r="102" spans="2:27" x14ac:dyDescent="0.25">
      <c r="B102" s="109">
        <v>42833</v>
      </c>
      <c r="C102" s="96">
        <f t="shared" si="13"/>
        <v>98</v>
      </c>
      <c r="D102" s="97">
        <v>7.0418206013348659</v>
      </c>
      <c r="E102" s="97">
        <v>7.0139036162017714</v>
      </c>
      <c r="F102" s="97">
        <v>6.6767172708017508</v>
      </c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</row>
    <row r="103" spans="2:27" x14ac:dyDescent="0.25">
      <c r="B103" s="109">
        <v>42834</v>
      </c>
      <c r="C103" s="96">
        <f t="shared" si="13"/>
        <v>99</v>
      </c>
      <c r="D103" s="97">
        <v>7.0385582697085143</v>
      </c>
      <c r="E103" s="97">
        <v>7.0194678948243103</v>
      </c>
      <c r="F103" s="97">
        <v>6.6611888343131085</v>
      </c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</row>
    <row r="104" spans="2:27" x14ac:dyDescent="0.25">
      <c r="B104" s="109">
        <v>42835</v>
      </c>
      <c r="C104" s="96">
        <f t="shared" si="13"/>
        <v>100</v>
      </c>
      <c r="D104" s="97">
        <v>7.0450500640843501</v>
      </c>
      <c r="E104" s="97">
        <v>7.0341327178180393</v>
      </c>
      <c r="F104" s="97">
        <v>6.6557740082212264</v>
      </c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</row>
    <row r="105" spans="2:27" x14ac:dyDescent="0.25">
      <c r="B105" s="109">
        <v>42836</v>
      </c>
      <c r="C105" s="96">
        <f t="shared" si="13"/>
        <v>101</v>
      </c>
      <c r="D105" s="97">
        <v>7.0178889106399387</v>
      </c>
      <c r="E105" s="97">
        <v>7.0119641516357971</v>
      </c>
      <c r="F105" s="97">
        <v>6.6243118160902315</v>
      </c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</row>
    <row r="106" spans="2:27" x14ac:dyDescent="0.25">
      <c r="B106" s="109">
        <v>42837</v>
      </c>
      <c r="C106" s="96">
        <f t="shared" si="13"/>
        <v>102</v>
      </c>
      <c r="D106" s="97">
        <v>7.0374041733863795</v>
      </c>
      <c r="E106" s="97">
        <v>7.0402761042330138</v>
      </c>
      <c r="F106" s="97">
        <v>6.6298463319614083</v>
      </c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</row>
    <row r="107" spans="2:27" x14ac:dyDescent="0.25">
      <c r="B107" s="109">
        <v>42838</v>
      </c>
      <c r="C107" s="96">
        <f t="shared" si="13"/>
        <v>103</v>
      </c>
      <c r="D107" s="97">
        <v>7.0297381702025303</v>
      </c>
      <c r="E107" s="97">
        <v>7.0394275263762003</v>
      </c>
      <c r="F107" s="97">
        <v>6.6135365008328861</v>
      </c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</row>
    <row r="108" spans="2:27" x14ac:dyDescent="0.25">
      <c r="B108" s="109">
        <v>42839</v>
      </c>
      <c r="C108" s="96">
        <f t="shared" si="13"/>
        <v>104</v>
      </c>
      <c r="D108" s="97">
        <v>7.0712207064257919</v>
      </c>
      <c r="E108" s="97">
        <v>7.0908449354722114</v>
      </c>
      <c r="F108" s="97">
        <v>6.6351725040977616</v>
      </c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</row>
    <row r="109" spans="2:27" x14ac:dyDescent="0.25">
      <c r="B109" s="109">
        <v>42840</v>
      </c>
      <c r="C109" s="96">
        <f t="shared" si="13"/>
        <v>105</v>
      </c>
      <c r="D109" s="97">
        <v>7.0470901136593129</v>
      </c>
      <c r="E109" s="97">
        <v>7.072412628364666</v>
      </c>
      <c r="F109" s="97">
        <v>6.602156787267063</v>
      </c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</row>
    <row r="110" spans="2:27" x14ac:dyDescent="0.25">
      <c r="B110" s="109">
        <v>42841</v>
      </c>
      <c r="C110" s="96">
        <f t="shared" si="13"/>
        <v>106</v>
      </c>
      <c r="D110" s="97">
        <v>7.0238590677108066</v>
      </c>
      <c r="E110" s="97">
        <v>7.0521384845662558</v>
      </c>
      <c r="F110" s="97">
        <v>6.574499087067208</v>
      </c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</row>
    <row r="111" spans="2:27" x14ac:dyDescent="0.25">
      <c r="B111" s="109">
        <v>42842</v>
      </c>
      <c r="C111" s="96">
        <f t="shared" si="13"/>
        <v>107</v>
      </c>
      <c r="D111" s="97">
        <v>7.031014694498726</v>
      </c>
      <c r="E111" s="97">
        <v>7.0659148267586867</v>
      </c>
      <c r="F111" s="97">
        <v>6.568961557083675</v>
      </c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</row>
    <row r="112" spans="2:27" x14ac:dyDescent="0.25">
      <c r="B112" s="109">
        <v>42843</v>
      </c>
      <c r="C112" s="96">
        <f t="shared" si="13"/>
        <v>108</v>
      </c>
      <c r="D112" s="97">
        <v>7.0480496589775647</v>
      </c>
      <c r="E112" s="97">
        <v>7.0917616343405951</v>
      </c>
      <c r="F112" s="97">
        <v>6.5691344730089325</v>
      </c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</row>
    <row r="113" spans="2:27" x14ac:dyDescent="0.25">
      <c r="B113" s="109">
        <v>42844</v>
      </c>
      <c r="C113" s="96">
        <f t="shared" si="13"/>
        <v>109</v>
      </c>
      <c r="D113" s="97">
        <v>7.0400518448226679</v>
      </c>
      <c r="E113" s="97">
        <v>7.0884664047287282</v>
      </c>
      <c r="F113" s="97">
        <v>6.5529443696907395</v>
      </c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</row>
    <row r="114" spans="2:27" x14ac:dyDescent="0.25">
      <c r="B114" s="109">
        <v>42845</v>
      </c>
      <c r="C114" s="96">
        <f t="shared" si="13"/>
        <v>110</v>
      </c>
      <c r="D114" s="97">
        <v>7.2052749647332552</v>
      </c>
      <c r="E114" s="97">
        <v>7.1917292799557346</v>
      </c>
      <c r="F114" s="97">
        <v>6.8254999860598096</v>
      </c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</row>
    <row r="115" spans="2:27" x14ac:dyDescent="0.25">
      <c r="B115" s="109">
        <v>42846</v>
      </c>
      <c r="C115" s="96">
        <f t="shared" si="13"/>
        <v>111</v>
      </c>
      <c r="D115" s="97">
        <v>7.1090059621213895</v>
      </c>
      <c r="E115" s="97">
        <v>7.1303291602263394</v>
      </c>
      <c r="F115" s="97">
        <v>6.6690469997407158</v>
      </c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</row>
    <row r="116" spans="2:27" x14ac:dyDescent="0.25">
      <c r="B116" s="109">
        <v>42847</v>
      </c>
      <c r="C116" s="96">
        <f t="shared" si="13"/>
        <v>112</v>
      </c>
      <c r="D116" s="97">
        <v>7.03798731338631</v>
      </c>
      <c r="E116" s="97">
        <v>7.0810934347734067</v>
      </c>
      <c r="F116" s="97">
        <v>6.5603954938477793</v>
      </c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</row>
    <row r="117" spans="2:27" x14ac:dyDescent="0.25">
      <c r="B117" s="109">
        <v>42848</v>
      </c>
      <c r="C117" s="96">
        <f t="shared" si="13"/>
        <v>113</v>
      </c>
      <c r="D117" s="97">
        <v>7.0233475732206569</v>
      </c>
      <c r="E117" s="97">
        <v>7.0903279636286882</v>
      </c>
      <c r="F117" s="97">
        <v>6.517790494116416</v>
      </c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</row>
    <row r="118" spans="2:27" x14ac:dyDescent="0.25">
      <c r="B118" s="109">
        <v>42849</v>
      </c>
      <c r="C118" s="96">
        <f t="shared" si="13"/>
        <v>114</v>
      </c>
      <c r="D118" s="97">
        <v>7.0253392410464324</v>
      </c>
      <c r="E118" s="97">
        <v>7.102855190198154</v>
      </c>
      <c r="F118" s="97">
        <v>6.4988868367253172</v>
      </c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</row>
    <row r="119" spans="2:27" x14ac:dyDescent="0.25">
      <c r="B119" s="109">
        <v>42850</v>
      </c>
      <c r="C119" s="96">
        <f t="shared" si="13"/>
        <v>115</v>
      </c>
      <c r="D119" s="97">
        <v>7.0752650740622736</v>
      </c>
      <c r="E119" s="97">
        <v>7.1572025689361372</v>
      </c>
      <c r="F119" s="97">
        <v>6.5283836297531526</v>
      </c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</row>
    <row r="120" spans="2:27" x14ac:dyDescent="0.25">
      <c r="B120" s="109">
        <v>42851</v>
      </c>
      <c r="C120" s="96">
        <f t="shared" si="13"/>
        <v>116</v>
      </c>
      <c r="D120" s="97">
        <v>7.0472490622478636</v>
      </c>
      <c r="E120" s="97">
        <v>7.1320591763143755</v>
      </c>
      <c r="F120" s="97">
        <v>6.4943662237181012</v>
      </c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</row>
    <row r="121" spans="2:27" x14ac:dyDescent="0.25">
      <c r="B121" s="109">
        <v>42852</v>
      </c>
      <c r="C121" s="96">
        <f t="shared" si="13"/>
        <v>117</v>
      </c>
      <c r="D121" s="97">
        <v>7.0220063492749931</v>
      </c>
      <c r="E121" s="97">
        <v>7.108906915438701</v>
      </c>
      <c r="F121" s="97">
        <v>6.4673407080346887</v>
      </c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</row>
    <row r="122" spans="2:27" x14ac:dyDescent="0.25">
      <c r="B122" s="109">
        <v>42853</v>
      </c>
      <c r="C122" s="96">
        <f t="shared" si="13"/>
        <v>118</v>
      </c>
      <c r="D122" s="97">
        <v>7.0278025872640821</v>
      </c>
      <c r="E122" s="97">
        <v>7.1151260299295087</v>
      </c>
      <c r="F122" s="97">
        <v>6.4719010029243824</v>
      </c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</row>
    <row r="123" spans="2:27" x14ac:dyDescent="0.25">
      <c r="B123" s="109">
        <v>42854</v>
      </c>
      <c r="C123" s="96">
        <f t="shared" si="13"/>
        <v>119</v>
      </c>
      <c r="D123" s="97">
        <v>7.040453991051205</v>
      </c>
      <c r="E123" s="97">
        <v>7.127493640277315</v>
      </c>
      <c r="F123" s="97">
        <v>6.4847671578887169</v>
      </c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</row>
    <row r="124" spans="2:27" x14ac:dyDescent="0.25">
      <c r="B124" s="109">
        <v>42855</v>
      </c>
      <c r="C124" s="96">
        <f t="shared" si="13"/>
        <v>120</v>
      </c>
      <c r="D124" s="97">
        <v>7.0597998492733272</v>
      </c>
      <c r="E124" s="97">
        <v>7.1468746958531568</v>
      </c>
      <c r="F124" s="97">
        <v>6.5036242675083829</v>
      </c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</row>
    <row r="125" spans="2:27" x14ac:dyDescent="0.25">
      <c r="B125" s="109">
        <v>42856</v>
      </c>
      <c r="C125" s="96">
        <f t="shared" si="13"/>
        <v>121</v>
      </c>
      <c r="D125" s="97">
        <v>7.0753813709554505</v>
      </c>
      <c r="E125" s="97">
        <v>7.162862428997756</v>
      </c>
      <c r="F125" s="97">
        <v>6.5169674017022814</v>
      </c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</row>
    <row r="126" spans="2:27" x14ac:dyDescent="0.25">
      <c r="B126" s="109">
        <v>42857</v>
      </c>
      <c r="C126" s="96">
        <f t="shared" si="13"/>
        <v>122</v>
      </c>
      <c r="D126" s="97">
        <v>7.1507710688987265</v>
      </c>
      <c r="E126" s="97">
        <v>7.2485106428180615</v>
      </c>
      <c r="F126" s="97">
        <v>6.5704192576383944</v>
      </c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</row>
    <row r="127" spans="2:27" x14ac:dyDescent="0.25">
      <c r="B127" s="109">
        <v>42858</v>
      </c>
      <c r="C127" s="96">
        <f t="shared" si="13"/>
        <v>123</v>
      </c>
      <c r="D127" s="97">
        <v>7.0534255935362102</v>
      </c>
      <c r="E127" s="97">
        <v>7.1535169122952436</v>
      </c>
      <c r="F127" s="97">
        <v>6.4735090516338296</v>
      </c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</row>
    <row r="128" spans="2:27" x14ac:dyDescent="0.25">
      <c r="B128" s="109">
        <v>42859</v>
      </c>
      <c r="C128" s="96">
        <f t="shared" si="13"/>
        <v>124</v>
      </c>
      <c r="D128" s="97">
        <v>7.0323681791730914</v>
      </c>
      <c r="E128" s="97">
        <v>7.1393580706546027</v>
      </c>
      <c r="F128" s="97">
        <v>6.441850033665383</v>
      </c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</row>
    <row r="129" spans="2:27" x14ac:dyDescent="0.25">
      <c r="B129" s="109">
        <v>42860</v>
      </c>
      <c r="C129" s="96">
        <f t="shared" si="13"/>
        <v>125</v>
      </c>
      <c r="D129" s="97">
        <v>7.0068448175642644</v>
      </c>
      <c r="E129" s="97">
        <v>7.1233879049937281</v>
      </c>
      <c r="F129" s="97">
        <v>6.4002375066898685</v>
      </c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</row>
    <row r="130" spans="2:27" x14ac:dyDescent="0.25">
      <c r="B130" s="109">
        <v>42861</v>
      </c>
      <c r="C130" s="96">
        <f t="shared" si="13"/>
        <v>126</v>
      </c>
      <c r="D130" s="97">
        <v>6.9718550551726919</v>
      </c>
      <c r="E130" s="97">
        <v>7.0948492570405639</v>
      </c>
      <c r="F130" s="97">
        <v>6.3554375097022211</v>
      </c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</row>
    <row r="131" spans="2:27" x14ac:dyDescent="0.25">
      <c r="B131" s="109">
        <v>42862</v>
      </c>
      <c r="C131" s="96">
        <f t="shared" si="13"/>
        <v>127</v>
      </c>
      <c r="D131" s="97">
        <v>6.9482177687638123</v>
      </c>
      <c r="E131" s="97">
        <v>7.0775825467742415</v>
      </c>
      <c r="F131" s="97">
        <v>6.3211058985686623</v>
      </c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</row>
    <row r="132" spans="2:27" x14ac:dyDescent="0.25">
      <c r="B132" s="109">
        <v>42863</v>
      </c>
      <c r="C132" s="96">
        <f t="shared" si="13"/>
        <v>128</v>
      </c>
      <c r="D132" s="97">
        <v>6.9333583040568296</v>
      </c>
      <c r="E132" s="97">
        <v>7.0692955537147544</v>
      </c>
      <c r="F132" s="97">
        <v>6.2951891573612757</v>
      </c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</row>
    <row r="133" spans="2:27" x14ac:dyDescent="0.25">
      <c r="B133" s="109">
        <v>42864</v>
      </c>
      <c r="C133" s="96">
        <f t="shared" si="13"/>
        <v>129</v>
      </c>
      <c r="D133" s="97">
        <v>6.8933999557142398</v>
      </c>
      <c r="E133" s="97">
        <v>7.0324085816559299</v>
      </c>
      <c r="F133" s="97">
        <v>6.2520295865150057</v>
      </c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</row>
    <row r="134" spans="2:27" x14ac:dyDescent="0.25">
      <c r="B134" s="109">
        <v>42865</v>
      </c>
      <c r="C134" s="96">
        <f t="shared" si="13"/>
        <v>130</v>
      </c>
      <c r="D134" s="97">
        <v>6.8769124438403262</v>
      </c>
      <c r="E134" s="97">
        <v>7.0197479786983221</v>
      </c>
      <c r="F134" s="97">
        <v>6.2292937989928303</v>
      </c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</row>
    <row r="135" spans="2:27" x14ac:dyDescent="0.25">
      <c r="B135" s="109">
        <v>42866</v>
      </c>
      <c r="C135" s="96">
        <f t="shared" ref="C135:C198" si="14">B135-$B$5+1</f>
        <v>131</v>
      </c>
      <c r="D135" s="97">
        <v>6.8723467426343436</v>
      </c>
      <c r="E135" s="97">
        <v>7.0213770648700473</v>
      </c>
      <c r="F135" s="97">
        <v>6.2138389614566725</v>
      </c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</row>
    <row r="136" spans="2:27" x14ac:dyDescent="0.25">
      <c r="B136" s="109">
        <v>42867</v>
      </c>
      <c r="C136" s="96">
        <f t="shared" si="14"/>
        <v>132</v>
      </c>
      <c r="D136" s="97">
        <v>6.8706477444362211</v>
      </c>
      <c r="E136" s="97">
        <v>7.025269498515363</v>
      </c>
      <c r="F136" s="97">
        <v>6.2019312224640757</v>
      </c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</row>
    <row r="137" spans="2:27" x14ac:dyDescent="0.25">
      <c r="B137" s="109">
        <v>42868</v>
      </c>
      <c r="C137" s="96">
        <f t="shared" si="14"/>
        <v>133</v>
      </c>
      <c r="D137" s="97">
        <v>6.8609744967219441</v>
      </c>
      <c r="E137" s="97">
        <v>7.0201650643167985</v>
      </c>
      <c r="F137" s="97">
        <v>6.1845892029568041</v>
      </c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</row>
    <row r="138" spans="2:27" x14ac:dyDescent="0.25">
      <c r="B138" s="109">
        <v>42869</v>
      </c>
      <c r="C138" s="96">
        <f t="shared" si="14"/>
        <v>134</v>
      </c>
      <c r="D138" s="97">
        <v>6.8619671472567596</v>
      </c>
      <c r="E138" s="97">
        <v>7.0258627341317892</v>
      </c>
      <c r="F138" s="97">
        <v>6.1771135399927308</v>
      </c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</row>
    <row r="139" spans="2:27" x14ac:dyDescent="0.25">
      <c r="B139" s="109">
        <v>42870</v>
      </c>
      <c r="C139" s="96">
        <f t="shared" si="14"/>
        <v>135</v>
      </c>
      <c r="D139" s="97">
        <v>6.8433893444992249</v>
      </c>
      <c r="E139" s="97">
        <v>7.0101783066144749</v>
      </c>
      <c r="F139" s="97">
        <v>6.1543949670832196</v>
      </c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</row>
    <row r="140" spans="2:27" x14ac:dyDescent="0.25">
      <c r="B140" s="109">
        <v>42871</v>
      </c>
      <c r="C140" s="96">
        <f t="shared" si="14"/>
        <v>136</v>
      </c>
      <c r="D140" s="97">
        <v>6.8162426541283825</v>
      </c>
      <c r="E140" s="97">
        <v>6.9856296562809961</v>
      </c>
      <c r="F140" s="97">
        <v>6.1241421715541806</v>
      </c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</row>
    <row r="141" spans="2:27" x14ac:dyDescent="0.25">
      <c r="B141" s="109">
        <v>42872</v>
      </c>
      <c r="C141" s="96">
        <f t="shared" si="14"/>
        <v>137</v>
      </c>
      <c r="D141" s="97">
        <v>6.8233855726090304</v>
      </c>
      <c r="E141" s="97">
        <v>6.9980529668137947</v>
      </c>
      <c r="F141" s="97">
        <v>6.1212875161628695</v>
      </c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</row>
    <row r="142" spans="2:27" x14ac:dyDescent="0.25">
      <c r="B142" s="109">
        <v>42873</v>
      </c>
      <c r="C142" s="96">
        <f t="shared" si="14"/>
        <v>138</v>
      </c>
      <c r="D142" s="97">
        <v>6.7972323404510009</v>
      </c>
      <c r="E142" s="97">
        <v>6.9729545157007156</v>
      </c>
      <c r="F142" s="97">
        <v>6.0947567395322224</v>
      </c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</row>
    <row r="143" spans="2:27" x14ac:dyDescent="0.25">
      <c r="B143" s="109">
        <v>42874</v>
      </c>
      <c r="C143" s="96">
        <f t="shared" si="14"/>
        <v>139</v>
      </c>
      <c r="D143" s="97">
        <v>6.7640594776987353</v>
      </c>
      <c r="E143" s="97">
        <v>6.9404590723702455</v>
      </c>
      <c r="F143" s="97">
        <v>6.0621731001019405</v>
      </c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</row>
    <row r="144" spans="2:27" x14ac:dyDescent="0.25">
      <c r="B144" s="109">
        <v>42875</v>
      </c>
      <c r="C144" s="96">
        <f t="shared" si="14"/>
        <v>140</v>
      </c>
      <c r="D144" s="97">
        <v>6.7745886753234119</v>
      </c>
      <c r="E144" s="97">
        <v>6.9574946893890059</v>
      </c>
      <c r="F144" s="97">
        <v>6.0605825559011572</v>
      </c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</row>
    <row r="145" spans="2:27" x14ac:dyDescent="0.25">
      <c r="B145" s="109">
        <v>42876</v>
      </c>
      <c r="C145" s="96">
        <f t="shared" si="14"/>
        <v>141</v>
      </c>
      <c r="D145" s="97">
        <v>6.7465665853254819</v>
      </c>
      <c r="E145" s="97">
        <v>6.9301839866387045</v>
      </c>
      <c r="F145" s="97">
        <v>6.0328160349523916</v>
      </c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</row>
    <row r="146" spans="2:27" x14ac:dyDescent="0.25">
      <c r="B146" s="109">
        <v>42877</v>
      </c>
      <c r="C146" s="96">
        <f t="shared" si="14"/>
        <v>142</v>
      </c>
      <c r="D146" s="97">
        <v>6.7296803032021622</v>
      </c>
      <c r="E146" s="97">
        <v>6.9146095325863985</v>
      </c>
      <c r="F146" s="97">
        <v>6.0142927874853322</v>
      </c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</row>
    <row r="147" spans="2:27" x14ac:dyDescent="0.25">
      <c r="B147" s="109">
        <v>42878</v>
      </c>
      <c r="C147" s="96">
        <f t="shared" si="14"/>
        <v>143</v>
      </c>
      <c r="D147" s="97">
        <v>6.7399817534218966</v>
      </c>
      <c r="E147" s="97">
        <v>6.9276161548380033</v>
      </c>
      <c r="F147" s="97">
        <v>6.0188399296582977</v>
      </c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</row>
    <row r="148" spans="2:27" x14ac:dyDescent="0.25">
      <c r="B148" s="109">
        <v>42879</v>
      </c>
      <c r="C148" s="96">
        <f t="shared" si="14"/>
        <v>144</v>
      </c>
      <c r="D148" s="97">
        <v>6.7413953088146723</v>
      </c>
      <c r="E148" s="97">
        <v>6.9360877911772745</v>
      </c>
      <c r="F148" s="97">
        <v>6.0079835881368782</v>
      </c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</row>
    <row r="149" spans="2:27" x14ac:dyDescent="0.25">
      <c r="B149" s="109">
        <v>42880</v>
      </c>
      <c r="C149" s="96">
        <f t="shared" si="14"/>
        <v>145</v>
      </c>
      <c r="D149" s="97">
        <v>6.6997186637664585</v>
      </c>
      <c r="E149" s="97">
        <v>6.892678669455516</v>
      </c>
      <c r="F149" s="97">
        <v>5.9715679981730636</v>
      </c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</row>
    <row r="150" spans="2:27" x14ac:dyDescent="0.25">
      <c r="B150" s="109">
        <v>42881</v>
      </c>
      <c r="C150" s="96">
        <f t="shared" si="14"/>
        <v>146</v>
      </c>
      <c r="D150" s="97">
        <v>6.6780787740563534</v>
      </c>
      <c r="E150" s="97">
        <v>6.8713874781193551</v>
      </c>
      <c r="F150" s="97">
        <v>5.9504557830848182</v>
      </c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</row>
    <row r="151" spans="2:27" x14ac:dyDescent="0.25">
      <c r="B151" s="109">
        <v>42882</v>
      </c>
      <c r="C151" s="96">
        <f t="shared" si="14"/>
        <v>147</v>
      </c>
      <c r="D151" s="97">
        <v>6.6660116741225064</v>
      </c>
      <c r="E151" s="97">
        <v>6.8614936015770365</v>
      </c>
      <c r="F151" s="97">
        <v>5.9351671666568668</v>
      </c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</row>
    <row r="152" spans="2:27" x14ac:dyDescent="0.25">
      <c r="B152" s="109">
        <v>42883</v>
      </c>
      <c r="C152" s="96">
        <f t="shared" si="14"/>
        <v>148</v>
      </c>
      <c r="D152" s="97">
        <v>6.6570857800878933</v>
      </c>
      <c r="E152" s="97">
        <v>6.854699335929646</v>
      </c>
      <c r="F152" s="97">
        <v>5.9228329296069324</v>
      </c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</row>
    <row r="153" spans="2:27" x14ac:dyDescent="0.25">
      <c r="B153" s="109">
        <v>42884</v>
      </c>
      <c r="C153" s="96">
        <f t="shared" si="14"/>
        <v>149</v>
      </c>
      <c r="D153" s="97">
        <v>6.6387840672458029</v>
      </c>
      <c r="E153" s="97">
        <v>6.8368890224376315</v>
      </c>
      <c r="F153" s="97">
        <v>5.9046432214616864</v>
      </c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</row>
    <row r="154" spans="2:27" x14ac:dyDescent="0.25">
      <c r="B154" s="109">
        <v>42885</v>
      </c>
      <c r="C154" s="96">
        <f t="shared" si="14"/>
        <v>150</v>
      </c>
      <c r="D154" s="97">
        <v>6.6543060615071132</v>
      </c>
      <c r="E154" s="97">
        <v>6.8590011085257085</v>
      </c>
      <c r="F154" s="97">
        <v>5.907481890670006</v>
      </c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</row>
    <row r="155" spans="2:27" x14ac:dyDescent="0.25">
      <c r="B155" s="109">
        <v>42886</v>
      </c>
      <c r="C155" s="96">
        <f t="shared" si="14"/>
        <v>151</v>
      </c>
      <c r="D155" s="97">
        <v>6.6407128855212196</v>
      </c>
      <c r="E155" s="97">
        <v>6.8461232191806367</v>
      </c>
      <c r="F155" s="97">
        <v>5.8933825101512669</v>
      </c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</row>
    <row r="156" spans="2:27" x14ac:dyDescent="0.25">
      <c r="B156" s="109">
        <v>42887</v>
      </c>
      <c r="C156" s="96">
        <f t="shared" si="14"/>
        <v>152</v>
      </c>
      <c r="D156" s="97">
        <v>6.625194464727481</v>
      </c>
      <c r="E156" s="97">
        <v>6.8319271729566013</v>
      </c>
      <c r="F156" s="97">
        <v>5.8765852165937691</v>
      </c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</row>
    <row r="157" spans="2:27" x14ac:dyDescent="0.25">
      <c r="B157" s="109">
        <v>42888</v>
      </c>
      <c r="C157" s="96">
        <f t="shared" si="14"/>
        <v>153</v>
      </c>
      <c r="D157" s="97">
        <v>6.6243147023534377</v>
      </c>
      <c r="E157" s="97">
        <v>6.8342893915594312</v>
      </c>
      <c r="F157" s="97">
        <v>5.8711881837221229</v>
      </c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</row>
    <row r="158" spans="2:27" x14ac:dyDescent="0.25">
      <c r="B158" s="109">
        <v>42889</v>
      </c>
      <c r="C158" s="96">
        <f t="shared" si="14"/>
        <v>154</v>
      </c>
      <c r="D158" s="97">
        <v>6.5976959504173633</v>
      </c>
      <c r="E158" s="97">
        <v>6.8078492092948624</v>
      </c>
      <c r="F158" s="97">
        <v>5.8470369541771525</v>
      </c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</row>
    <row r="159" spans="2:27" x14ac:dyDescent="0.25">
      <c r="B159" s="109">
        <v>42890</v>
      </c>
      <c r="C159" s="96">
        <f t="shared" si="14"/>
        <v>155</v>
      </c>
      <c r="D159" s="97">
        <v>6.5836607833079892</v>
      </c>
      <c r="E159" s="97">
        <v>6.7940192292307211</v>
      </c>
      <c r="F159" s="97">
        <v>5.8343509151590922</v>
      </c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</row>
    <row r="160" spans="2:27" x14ac:dyDescent="0.25">
      <c r="B160" s="109">
        <v>42891</v>
      </c>
      <c r="C160" s="96">
        <f t="shared" si="14"/>
        <v>156</v>
      </c>
      <c r="D160" s="97">
        <v>6.5587774214744119</v>
      </c>
      <c r="E160" s="97">
        <v>6.7700435835102715</v>
      </c>
      <c r="F160" s="97">
        <v>5.8105564595443369</v>
      </c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</row>
    <row r="161" spans="2:27" x14ac:dyDescent="0.25">
      <c r="B161" s="109">
        <v>42892</v>
      </c>
      <c r="C161" s="96">
        <f t="shared" si="14"/>
        <v>157</v>
      </c>
      <c r="D161" s="97">
        <v>6.5536733726179106</v>
      </c>
      <c r="E161" s="97">
        <v>6.767303165178161</v>
      </c>
      <c r="F161" s="97">
        <v>5.8024831704881796</v>
      </c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</row>
    <row r="162" spans="2:27" x14ac:dyDescent="0.25">
      <c r="B162" s="109">
        <v>42893</v>
      </c>
      <c r="C162" s="96">
        <f t="shared" si="14"/>
        <v>158</v>
      </c>
      <c r="D162" s="97">
        <v>6.5331727116082927</v>
      </c>
      <c r="E162" s="97">
        <v>6.7471075198174342</v>
      </c>
      <c r="F162" s="97">
        <v>5.7836076651370076</v>
      </c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</row>
    <row r="163" spans="2:27" x14ac:dyDescent="0.25">
      <c r="B163" s="109">
        <v>42894</v>
      </c>
      <c r="C163" s="96">
        <f t="shared" si="14"/>
        <v>159</v>
      </c>
      <c r="D163" s="97">
        <v>6.5370250300976656</v>
      </c>
      <c r="E163" s="97">
        <v>6.7527429591249675</v>
      </c>
      <c r="F163" s="97">
        <v>5.7848589751964514</v>
      </c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</row>
    <row r="164" spans="2:27" x14ac:dyDescent="0.25">
      <c r="B164" s="109">
        <v>42895</v>
      </c>
      <c r="C164" s="96">
        <f t="shared" si="14"/>
        <v>160</v>
      </c>
      <c r="D164" s="97">
        <v>6.5152529706042852</v>
      </c>
      <c r="E164" s="97">
        <v>6.7310373115812014</v>
      </c>
      <c r="F164" s="97">
        <v>5.7650814509463881</v>
      </c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</row>
    <row r="165" spans="2:27" x14ac:dyDescent="0.25">
      <c r="B165" s="109">
        <v>42896</v>
      </c>
      <c r="C165" s="96">
        <f t="shared" si="14"/>
        <v>161</v>
      </c>
      <c r="D165" s="97">
        <v>6.5063246529713776</v>
      </c>
      <c r="E165" s="97">
        <v>6.7234394725089981</v>
      </c>
      <c r="F165" s="97">
        <v>5.7551913588674752</v>
      </c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</row>
    <row r="166" spans="2:27" x14ac:dyDescent="0.25">
      <c r="B166" s="109">
        <v>42897</v>
      </c>
      <c r="C166" s="96">
        <f t="shared" si="14"/>
        <v>162</v>
      </c>
      <c r="D166" s="97">
        <v>6.5022066001131007</v>
      </c>
      <c r="E166" s="97">
        <v>6.7212774127702088</v>
      </c>
      <c r="F166" s="97">
        <v>5.7485555948491083</v>
      </c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</row>
    <row r="167" spans="2:27" x14ac:dyDescent="0.25">
      <c r="B167" s="109">
        <v>42898</v>
      </c>
      <c r="C167" s="96">
        <f t="shared" si="14"/>
        <v>163</v>
      </c>
      <c r="D167" s="97">
        <v>6.4951174974296038</v>
      </c>
      <c r="E167" s="97">
        <v>6.7153725467125494</v>
      </c>
      <c r="F167" s="97">
        <v>5.740426848741623</v>
      </c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</row>
    <row r="168" spans="2:27" x14ac:dyDescent="0.25">
      <c r="B168" s="109">
        <v>42899</v>
      </c>
      <c r="C168" s="96">
        <f t="shared" si="14"/>
        <v>164</v>
      </c>
      <c r="D168" s="97">
        <v>6.4796468762489514</v>
      </c>
      <c r="E168" s="97">
        <v>6.7009262060059269</v>
      </c>
      <c r="F168" s="97">
        <v>5.7247308372785009</v>
      </c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</row>
    <row r="169" spans="2:27" x14ac:dyDescent="0.25">
      <c r="B169" s="109">
        <v>42900</v>
      </c>
      <c r="C169" s="96">
        <f t="shared" si="14"/>
        <v>165</v>
      </c>
      <c r="D169" s="97">
        <v>6.4975899206956065</v>
      </c>
      <c r="E169" s="97">
        <v>6.7200299872798306</v>
      </c>
      <c r="F169" s="97">
        <v>5.7396137714749313</v>
      </c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</row>
    <row r="170" spans="2:27" x14ac:dyDescent="0.25">
      <c r="B170" s="109">
        <v>42901</v>
      </c>
      <c r="C170" s="96">
        <f t="shared" si="14"/>
        <v>166</v>
      </c>
      <c r="D170" s="97">
        <v>6.4841226553608786</v>
      </c>
      <c r="E170" s="97">
        <v>6.7091538214863915</v>
      </c>
      <c r="F170" s="97">
        <v>5.7235481876446537</v>
      </c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</row>
    <row r="171" spans="2:27" x14ac:dyDescent="0.25">
      <c r="B171" s="109">
        <v>42902</v>
      </c>
      <c r="C171" s="96">
        <f t="shared" si="14"/>
        <v>167</v>
      </c>
      <c r="D171" s="97">
        <v>6.4475942162642115</v>
      </c>
      <c r="E171" s="97">
        <v>6.6683966315415315</v>
      </c>
      <c r="F171" s="97">
        <v>5.6969392843322</v>
      </c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</row>
    <row r="172" spans="2:27" x14ac:dyDescent="0.25">
      <c r="B172" s="109">
        <v>42903</v>
      </c>
      <c r="C172" s="96">
        <f t="shared" si="14"/>
        <v>168</v>
      </c>
      <c r="D172" s="97">
        <v>6.4793840535595733</v>
      </c>
      <c r="E172" s="97">
        <v>6.7058689431761493</v>
      </c>
      <c r="F172" s="97">
        <v>5.7172414768667448</v>
      </c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</row>
    <row r="173" spans="2:27" x14ac:dyDescent="0.25">
      <c r="B173" s="109">
        <v>42904</v>
      </c>
      <c r="C173" s="96">
        <f t="shared" si="14"/>
        <v>169</v>
      </c>
      <c r="D173" s="97">
        <v>6.4672855937904901</v>
      </c>
      <c r="E173" s="97">
        <v>6.6933902984906721</v>
      </c>
      <c r="F173" s="97">
        <v>5.7069108604116829</v>
      </c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</row>
    <row r="174" spans="2:27" x14ac:dyDescent="0.25">
      <c r="B174" s="109">
        <v>42905</v>
      </c>
      <c r="C174" s="96">
        <f t="shared" si="14"/>
        <v>170</v>
      </c>
      <c r="D174" s="97">
        <v>6.4666727928486116</v>
      </c>
      <c r="E174" s="97">
        <v>6.6931781032364732</v>
      </c>
      <c r="F174" s="97">
        <v>5.7055301624915442</v>
      </c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</row>
    <row r="175" spans="2:27" x14ac:dyDescent="0.25">
      <c r="B175" s="109">
        <v>42906</v>
      </c>
      <c r="C175" s="96">
        <f t="shared" si="14"/>
        <v>171</v>
      </c>
      <c r="D175" s="97">
        <v>6.4644442495225229</v>
      </c>
      <c r="E175" s="97">
        <v>6.6919383824216787</v>
      </c>
      <c r="F175" s="97">
        <v>5.702145104403427</v>
      </c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</row>
    <row r="176" spans="2:27" x14ac:dyDescent="0.25">
      <c r="B176" s="109">
        <v>42907</v>
      </c>
      <c r="C176" s="96">
        <f t="shared" si="14"/>
        <v>172</v>
      </c>
      <c r="D176" s="97">
        <v>6.4425700547287228</v>
      </c>
      <c r="E176" s="97">
        <v>6.667855853946393</v>
      </c>
      <c r="F176" s="97">
        <v>5.6856010901092908</v>
      </c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</row>
    <row r="177" spans="2:27" x14ac:dyDescent="0.25">
      <c r="B177" s="109">
        <v>42908</v>
      </c>
      <c r="C177" s="96">
        <f t="shared" si="14"/>
        <v>173</v>
      </c>
      <c r="D177" s="97">
        <v>6.4158212711502136</v>
      </c>
      <c r="E177" s="97">
        <v>6.6375415831928271</v>
      </c>
      <c r="F177" s="97">
        <v>5.6666926076029638</v>
      </c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</row>
    <row r="178" spans="2:27" x14ac:dyDescent="0.25">
      <c r="B178" s="109">
        <v>42909</v>
      </c>
      <c r="C178" s="96">
        <f t="shared" si="14"/>
        <v>174</v>
      </c>
      <c r="D178" s="97">
        <v>6.4268608788532919</v>
      </c>
      <c r="E178" s="97">
        <v>6.6502221873590344</v>
      </c>
      <c r="F178" s="97">
        <v>5.6740583939444589</v>
      </c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</row>
    <row r="179" spans="2:27" x14ac:dyDescent="0.25">
      <c r="B179" s="109">
        <v>42910</v>
      </c>
      <c r="C179" s="96">
        <f t="shared" si="14"/>
        <v>175</v>
      </c>
      <c r="D179" s="97">
        <v>6.4236417226577842</v>
      </c>
      <c r="E179" s="97">
        <v>6.6466899820385175</v>
      </c>
      <c r="F179" s="97">
        <v>5.6717713484314514</v>
      </c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</row>
    <row r="180" spans="2:27" x14ac:dyDescent="0.25">
      <c r="B180" s="109">
        <v>42911</v>
      </c>
      <c r="C180" s="96">
        <f t="shared" si="14"/>
        <v>176</v>
      </c>
      <c r="D180" s="97">
        <v>6.3895882976419696</v>
      </c>
      <c r="E180" s="97">
        <v>6.6085524592715172</v>
      </c>
      <c r="F180" s="97">
        <v>5.6467850120482419</v>
      </c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</row>
    <row r="181" spans="2:27" x14ac:dyDescent="0.25">
      <c r="B181" s="109">
        <v>42912</v>
      </c>
      <c r="C181" s="96">
        <f t="shared" si="14"/>
        <v>177</v>
      </c>
      <c r="D181" s="97">
        <v>6.3869080594235683</v>
      </c>
      <c r="E181" s="97">
        <v>6.6061045338252899</v>
      </c>
      <c r="F181" s="97">
        <v>5.6437220487152633</v>
      </c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</row>
    <row r="182" spans="2:27" x14ac:dyDescent="0.25">
      <c r="B182" s="109">
        <v>42913</v>
      </c>
      <c r="C182" s="96">
        <f t="shared" si="14"/>
        <v>178</v>
      </c>
      <c r="D182" s="97">
        <v>6.3859617818028562</v>
      </c>
      <c r="E182" s="97">
        <v>6.6048163249611589</v>
      </c>
      <c r="F182" s="97">
        <v>5.6431642352350826</v>
      </c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</row>
    <row r="183" spans="2:27" x14ac:dyDescent="0.25">
      <c r="B183" s="109">
        <v>42914</v>
      </c>
      <c r="C183" s="96">
        <f t="shared" si="14"/>
        <v>179</v>
      </c>
      <c r="D183" s="97">
        <v>6.3845178027802607</v>
      </c>
      <c r="E183" s="97">
        <v>6.6029762695947269</v>
      </c>
      <c r="F183" s="97">
        <v>5.6424339727960415</v>
      </c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</row>
    <row r="184" spans="2:27" x14ac:dyDescent="0.25">
      <c r="B184" s="109">
        <v>42915</v>
      </c>
      <c r="C184" s="96">
        <f t="shared" si="14"/>
        <v>180</v>
      </c>
      <c r="D184" s="97">
        <v>6.3782538364325445</v>
      </c>
      <c r="E184" s="97">
        <v>6.5936782811415799</v>
      </c>
      <c r="F184" s="97">
        <v>5.6412681440478032</v>
      </c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</row>
    <row r="185" spans="2:27" x14ac:dyDescent="0.25">
      <c r="B185" s="109">
        <v>42916</v>
      </c>
      <c r="C185" s="96">
        <f t="shared" si="14"/>
        <v>181</v>
      </c>
      <c r="D185" s="97">
        <v>6.3708876760659416</v>
      </c>
      <c r="E185" s="97">
        <v>6.5857477481127926</v>
      </c>
      <c r="F185" s="97">
        <v>5.6349783215124409</v>
      </c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</row>
    <row r="186" spans="2:27" x14ac:dyDescent="0.25">
      <c r="B186" s="109">
        <v>42917</v>
      </c>
      <c r="C186" s="96">
        <f t="shared" si="14"/>
        <v>182</v>
      </c>
      <c r="D186" s="97">
        <v>6.3588384218020471</v>
      </c>
      <c r="E186" s="97">
        <v>6.571035139335585</v>
      </c>
      <c r="F186" s="97">
        <v>5.6280540586945342</v>
      </c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</row>
    <row r="187" spans="2:27" x14ac:dyDescent="0.25">
      <c r="B187" s="109">
        <v>42918</v>
      </c>
      <c r="C187" s="96">
        <f t="shared" si="14"/>
        <v>183</v>
      </c>
      <c r="D187" s="97">
        <v>6.3584780694235192</v>
      </c>
      <c r="E187" s="97">
        <v>6.5700876555146976</v>
      </c>
      <c r="F187" s="97">
        <v>5.6282232846749203</v>
      </c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</row>
    <row r="188" spans="2:27" x14ac:dyDescent="0.25">
      <c r="B188" s="109">
        <v>42919</v>
      </c>
      <c r="C188" s="96">
        <f t="shared" si="14"/>
        <v>184</v>
      </c>
      <c r="D188" s="97">
        <v>6.3484380700509755</v>
      </c>
      <c r="E188" s="97">
        <v>6.5578205050180989</v>
      </c>
      <c r="F188" s="97">
        <v>5.6222828636991045</v>
      </c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</row>
    <row r="189" spans="2:27" x14ac:dyDescent="0.25">
      <c r="B189" s="109">
        <v>42920</v>
      </c>
      <c r="C189" s="96">
        <f t="shared" si="14"/>
        <v>185</v>
      </c>
      <c r="D189" s="97">
        <v>6.3529560671434115</v>
      </c>
      <c r="E189" s="97">
        <v>6.562097219315552</v>
      </c>
      <c r="F189" s="97">
        <v>5.6264787708211355</v>
      </c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</row>
    <row r="190" spans="2:27" x14ac:dyDescent="0.25">
      <c r="B190" s="109">
        <v>42921</v>
      </c>
      <c r="C190" s="96">
        <f t="shared" si="14"/>
        <v>186</v>
      </c>
      <c r="D190" s="97">
        <v>6.3532366863707761</v>
      </c>
      <c r="E190" s="97">
        <v>6.5601795150213293</v>
      </c>
      <c r="F190" s="97">
        <v>5.6298337926527209</v>
      </c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</row>
    <row r="191" spans="2:27" x14ac:dyDescent="0.25">
      <c r="B191" s="109">
        <v>42922</v>
      </c>
      <c r="C191" s="96">
        <f t="shared" si="14"/>
        <v>187</v>
      </c>
      <c r="D191" s="97">
        <v>6.351172660477614</v>
      </c>
      <c r="E191" s="97">
        <v>6.5565637222627666</v>
      </c>
      <c r="F191" s="97">
        <v>5.6300065685379055</v>
      </c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</row>
    <row r="192" spans="2:27" x14ac:dyDescent="0.25">
      <c r="B192" s="109">
        <v>42923</v>
      </c>
      <c r="C192" s="96">
        <f t="shared" si="14"/>
        <v>188</v>
      </c>
      <c r="D192" s="97">
        <v>6.345313278599086</v>
      </c>
      <c r="E192" s="97">
        <v>6.548464725523008</v>
      </c>
      <c r="F192" s="97">
        <v>5.6276806686546248</v>
      </c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</row>
    <row r="193" spans="2:27" x14ac:dyDescent="0.25">
      <c r="B193" s="109">
        <v>42924</v>
      </c>
      <c r="C193" s="96">
        <f t="shared" si="14"/>
        <v>189</v>
      </c>
      <c r="D193" s="97">
        <v>6.3357405657474324</v>
      </c>
      <c r="E193" s="97">
        <v>6.5354240931944272</v>
      </c>
      <c r="F193" s="97">
        <v>5.6238149207406094</v>
      </c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</row>
    <row r="194" spans="2:27" x14ac:dyDescent="0.25">
      <c r="B194" s="109">
        <v>42925</v>
      </c>
      <c r="C194" s="96">
        <f t="shared" si="14"/>
        <v>190</v>
      </c>
      <c r="D194" s="97">
        <v>6.3431419517739354</v>
      </c>
      <c r="E194" s="97">
        <v>6.5416774440330716</v>
      </c>
      <c r="F194" s="97">
        <v>5.6318757159978148</v>
      </c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</row>
    <row r="195" spans="2:27" x14ac:dyDescent="0.25">
      <c r="B195" s="109">
        <v>42926</v>
      </c>
      <c r="C195" s="96">
        <f t="shared" si="14"/>
        <v>191</v>
      </c>
      <c r="D195" s="97">
        <v>6.3459692965966141</v>
      </c>
      <c r="E195" s="97">
        <v>6.5430780126066539</v>
      </c>
      <c r="F195" s="97">
        <v>5.6362627070523565</v>
      </c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</row>
    <row r="196" spans="2:27" x14ac:dyDescent="0.25">
      <c r="B196" s="109">
        <v>42927</v>
      </c>
      <c r="C196" s="96">
        <f t="shared" si="14"/>
        <v>192</v>
      </c>
      <c r="D196" s="97">
        <v>6.3394403423948065</v>
      </c>
      <c r="E196" s="97">
        <v>6.5329798404805377</v>
      </c>
      <c r="F196" s="97">
        <v>5.6354521311076997</v>
      </c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</row>
    <row r="197" spans="2:27" x14ac:dyDescent="0.25">
      <c r="B197" s="109">
        <v>42928</v>
      </c>
      <c r="C197" s="96">
        <f t="shared" si="14"/>
        <v>193</v>
      </c>
      <c r="D197" s="97">
        <v>6.3469525717089121</v>
      </c>
      <c r="E197" s="97">
        <v>6.5386278183291848</v>
      </c>
      <c r="F197" s="97">
        <v>5.6446323491914869</v>
      </c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</row>
    <row r="198" spans="2:27" x14ac:dyDescent="0.25">
      <c r="B198" s="109">
        <v>42929</v>
      </c>
      <c r="C198" s="96">
        <f t="shared" si="14"/>
        <v>194</v>
      </c>
      <c r="D198" s="97">
        <v>6.3299945685835413</v>
      </c>
      <c r="E198" s="97">
        <v>6.5176900601504677</v>
      </c>
      <c r="F198" s="97">
        <v>5.6348535943297113</v>
      </c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</row>
    <row r="199" spans="2:27" x14ac:dyDescent="0.25">
      <c r="B199" s="109">
        <v>42930</v>
      </c>
      <c r="C199" s="96">
        <f t="shared" ref="C199:C262" si="15">B199-$B$5+1</f>
        <v>195</v>
      </c>
      <c r="D199" s="97">
        <v>6.410090179345227</v>
      </c>
      <c r="E199" s="97">
        <v>6.6035999796690747</v>
      </c>
      <c r="F199" s="97">
        <v>5.6990063480594531</v>
      </c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</row>
    <row r="200" spans="2:27" x14ac:dyDescent="0.25">
      <c r="B200" s="109">
        <v>42931</v>
      </c>
      <c r="C200" s="96">
        <f t="shared" si="15"/>
        <v>196</v>
      </c>
      <c r="D200" s="97">
        <v>6.3748257459612692</v>
      </c>
      <c r="E200" s="97">
        <v>6.5644423151967475</v>
      </c>
      <c r="F200" s="97">
        <v>5.6732401450391485</v>
      </c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</row>
    <row r="201" spans="2:27" x14ac:dyDescent="0.25">
      <c r="B201" s="109">
        <v>42932</v>
      </c>
      <c r="C201" s="96">
        <f t="shared" si="15"/>
        <v>197</v>
      </c>
      <c r="D201" s="97">
        <v>6.3603430784403612</v>
      </c>
      <c r="E201" s="97">
        <v>6.5449699378487471</v>
      </c>
      <c r="F201" s="97">
        <v>5.668580634094166</v>
      </c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</row>
    <row r="202" spans="2:27" x14ac:dyDescent="0.25">
      <c r="B202" s="109">
        <v>42933</v>
      </c>
      <c r="C202" s="96">
        <f t="shared" si="15"/>
        <v>198</v>
      </c>
      <c r="D202" s="97">
        <v>6.3555537638685253</v>
      </c>
      <c r="E202" s="97">
        <v>6.5372648175814216</v>
      </c>
      <c r="F202" s="97">
        <v>5.6694959340154725</v>
      </c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</row>
    <row r="203" spans="2:27" x14ac:dyDescent="0.25">
      <c r="B203" s="109">
        <v>42934</v>
      </c>
      <c r="C203" s="96">
        <f t="shared" si="15"/>
        <v>199</v>
      </c>
      <c r="D203" s="97">
        <v>6.3583994465203526</v>
      </c>
      <c r="E203" s="97">
        <v>6.5377983202212313</v>
      </c>
      <c r="F203" s="97">
        <v>5.6762900513888432</v>
      </c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</row>
    <row r="204" spans="2:27" x14ac:dyDescent="0.25">
      <c r="B204" s="109">
        <v>42935</v>
      </c>
      <c r="C204" s="96">
        <f t="shared" si="15"/>
        <v>200</v>
      </c>
      <c r="D204" s="97">
        <v>6.3539170531390869</v>
      </c>
      <c r="E204" s="97">
        <v>6.5306512769710192</v>
      </c>
      <c r="F204" s="97">
        <v>5.6770216512176734</v>
      </c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</row>
    <row r="205" spans="2:27" x14ac:dyDescent="0.25">
      <c r="B205" s="109">
        <v>42936</v>
      </c>
      <c r="C205" s="96">
        <f t="shared" si="15"/>
        <v>201</v>
      </c>
      <c r="D205" s="97">
        <v>6.3561559590760428</v>
      </c>
      <c r="E205" s="97">
        <v>6.530676379093391</v>
      </c>
      <c r="F205" s="97">
        <v>5.6832320089720234</v>
      </c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</row>
    <row r="206" spans="2:27" x14ac:dyDescent="0.25">
      <c r="B206" s="109">
        <v>42937</v>
      </c>
      <c r="C206" s="96">
        <f t="shared" si="15"/>
        <v>202</v>
      </c>
      <c r="D206" s="97">
        <v>6.3323120496731855</v>
      </c>
      <c r="E206" s="97">
        <v>6.5016143904100456</v>
      </c>
      <c r="F206" s="97">
        <v>5.6703573651986181</v>
      </c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</row>
    <row r="207" spans="2:27" x14ac:dyDescent="0.25">
      <c r="B207" s="109">
        <v>42938</v>
      </c>
      <c r="C207" s="96">
        <f t="shared" si="15"/>
        <v>203</v>
      </c>
      <c r="D207" s="97">
        <v>6.3402929775023145</v>
      </c>
      <c r="E207" s="97">
        <v>6.5071518533909583</v>
      </c>
      <c r="F207" s="97">
        <v>5.6822731470244401</v>
      </c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</row>
    <row r="208" spans="2:27" x14ac:dyDescent="0.25">
      <c r="B208" s="109">
        <v>42939</v>
      </c>
      <c r="C208" s="96">
        <f t="shared" si="15"/>
        <v>204</v>
      </c>
      <c r="D208" s="97">
        <v>6.350828052991587</v>
      </c>
      <c r="E208" s="97">
        <v>6.5161524387303311</v>
      </c>
      <c r="F208" s="97">
        <v>5.6952021437448117</v>
      </c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</row>
    <row r="209" spans="2:27" x14ac:dyDescent="0.25">
      <c r="B209" s="109">
        <v>42940</v>
      </c>
      <c r="C209" s="96">
        <f t="shared" si="15"/>
        <v>205</v>
      </c>
      <c r="D209" s="97">
        <v>6.3629159855347082</v>
      </c>
      <c r="E209" s="97">
        <v>6.5270877900449573</v>
      </c>
      <c r="F209" s="97">
        <v>5.7088170713712891</v>
      </c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</row>
    <row r="210" spans="2:27" x14ac:dyDescent="0.25">
      <c r="B210" s="109">
        <v>42941</v>
      </c>
      <c r="C210" s="96">
        <f t="shared" si="15"/>
        <v>206</v>
      </c>
      <c r="D210" s="97">
        <v>6.3641932634613756</v>
      </c>
      <c r="E210" s="97">
        <v>6.5255421518433119</v>
      </c>
      <c r="F210" s="97">
        <v>5.7152361038120914</v>
      </c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</row>
    <row r="211" spans="2:27" x14ac:dyDescent="0.25">
      <c r="B211" s="109">
        <v>42942</v>
      </c>
      <c r="C211" s="96">
        <f t="shared" si="15"/>
        <v>207</v>
      </c>
      <c r="D211" s="97">
        <v>6.3640800643311284</v>
      </c>
      <c r="E211" s="97">
        <v>6.5216761649255552</v>
      </c>
      <c r="F211" s="97">
        <v>5.7219898252574453</v>
      </c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</row>
    <row r="212" spans="2:27" x14ac:dyDescent="0.25">
      <c r="B212" s="109">
        <v>42943</v>
      </c>
      <c r="C212" s="96">
        <f t="shared" si="15"/>
        <v>208</v>
      </c>
      <c r="D212" s="97">
        <v>6.3541290273500293</v>
      </c>
      <c r="E212" s="97">
        <v>6.5073988291746119</v>
      </c>
      <c r="F212" s="97">
        <v>5.7206531339825242</v>
      </c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</row>
    <row r="213" spans="2:27" x14ac:dyDescent="0.25">
      <c r="B213" s="109">
        <v>42944</v>
      </c>
      <c r="C213" s="96">
        <f t="shared" si="15"/>
        <v>209</v>
      </c>
      <c r="D213" s="97">
        <v>6.3666694331510438</v>
      </c>
      <c r="E213" s="97">
        <v>6.5175050574066402</v>
      </c>
      <c r="F213" s="97">
        <v>5.7368107775858146</v>
      </c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</row>
    <row r="214" spans="2:27" x14ac:dyDescent="0.25">
      <c r="B214" s="109">
        <v>42945</v>
      </c>
      <c r="C214" s="96">
        <f t="shared" si="15"/>
        <v>210</v>
      </c>
      <c r="D214" s="97">
        <v>6.366098677821463</v>
      </c>
      <c r="E214" s="97">
        <v>6.5139402021031847</v>
      </c>
      <c r="F214" s="97">
        <v>5.7419092045635258</v>
      </c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</row>
    <row r="215" spans="2:27" x14ac:dyDescent="0.25">
      <c r="B215" s="109">
        <v>42946</v>
      </c>
      <c r="C215" s="96">
        <f t="shared" si="15"/>
        <v>211</v>
      </c>
      <c r="D215" s="97">
        <v>6.3726549600838611</v>
      </c>
      <c r="E215" s="97">
        <v>6.5160270731401955</v>
      </c>
      <c r="F215" s="97">
        <v>5.7560543095678103</v>
      </c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</row>
    <row r="216" spans="2:27" x14ac:dyDescent="0.25">
      <c r="B216" s="109">
        <v>42947</v>
      </c>
      <c r="C216" s="96">
        <f t="shared" si="15"/>
        <v>212</v>
      </c>
      <c r="D216" s="97">
        <v>6.364455989539513</v>
      </c>
      <c r="E216" s="97">
        <v>6.5030026143997626</v>
      </c>
      <c r="F216" s="97">
        <v>5.7572390098709878</v>
      </c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</row>
    <row r="217" spans="2:27" x14ac:dyDescent="0.25">
      <c r="B217" s="109">
        <v>42948</v>
      </c>
      <c r="C217" s="96">
        <f t="shared" si="15"/>
        <v>213</v>
      </c>
      <c r="D217" s="97">
        <v>6.3665065610482285</v>
      </c>
      <c r="E217" s="97">
        <v>6.5009400356631319</v>
      </c>
      <c r="F217" s="97">
        <v>5.766728523766945</v>
      </c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</row>
    <row r="218" spans="2:27" x14ac:dyDescent="0.25">
      <c r="B218" s="109">
        <v>42949</v>
      </c>
      <c r="C218" s="96">
        <f t="shared" si="15"/>
        <v>214</v>
      </c>
      <c r="D218" s="97">
        <v>6.3908000094534012</v>
      </c>
      <c r="E218" s="97">
        <v>6.5248012162693261</v>
      </c>
      <c r="F218" s="97">
        <v>5.7908651130400068</v>
      </c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</row>
    <row r="219" spans="2:27" x14ac:dyDescent="0.25">
      <c r="B219" s="109">
        <v>42950</v>
      </c>
      <c r="C219" s="96">
        <f t="shared" si="15"/>
        <v>215</v>
      </c>
      <c r="D219" s="97">
        <v>6.3839186788235427</v>
      </c>
      <c r="E219" s="97">
        <v>6.5109056803453411</v>
      </c>
      <c r="F219" s="97">
        <v>5.7970451437118697</v>
      </c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</row>
    <row r="220" spans="2:27" x14ac:dyDescent="0.25">
      <c r="B220" s="109">
        <v>42951</v>
      </c>
      <c r="C220" s="96">
        <f t="shared" si="15"/>
        <v>216</v>
      </c>
      <c r="D220" s="97">
        <v>6.3890660497416576</v>
      </c>
      <c r="E220" s="97">
        <v>6.5110575823531898</v>
      </c>
      <c r="F220" s="97">
        <v>5.8109651875035064</v>
      </c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</row>
    <row r="221" spans="2:27" x14ac:dyDescent="0.25">
      <c r="B221" s="109">
        <v>42952</v>
      </c>
      <c r="C221" s="96">
        <f t="shared" si="15"/>
        <v>217</v>
      </c>
      <c r="D221" s="97">
        <v>6.3981744748774494</v>
      </c>
      <c r="E221" s="97">
        <v>6.5151516526635165</v>
      </c>
      <c r="F221" s="97">
        <v>5.8287649648785473</v>
      </c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</row>
    <row r="222" spans="2:27" x14ac:dyDescent="0.25">
      <c r="B222" s="109">
        <v>42953</v>
      </c>
      <c r="C222" s="96">
        <f t="shared" si="15"/>
        <v>218</v>
      </c>
      <c r="D222" s="97">
        <v>6.4255968406958859</v>
      </c>
      <c r="E222" s="97">
        <v>6.5404370910340672</v>
      </c>
      <c r="F222" s="97">
        <v>5.8589537763864525</v>
      </c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</row>
    <row r="223" spans="2:27" x14ac:dyDescent="0.25">
      <c r="B223" s="109">
        <v>42954</v>
      </c>
      <c r="C223" s="96">
        <f t="shared" si="15"/>
        <v>219</v>
      </c>
      <c r="D223" s="97">
        <v>6.4389224757858283</v>
      </c>
      <c r="E223" s="97">
        <v>6.5471404213554223</v>
      </c>
      <c r="F223" s="97">
        <v>5.883761901948251</v>
      </c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</row>
    <row r="224" spans="2:27" x14ac:dyDescent="0.25">
      <c r="B224" s="109">
        <v>42955</v>
      </c>
      <c r="C224" s="96">
        <f t="shared" si="15"/>
        <v>220</v>
      </c>
      <c r="D224" s="97">
        <v>6.4471935501937043</v>
      </c>
      <c r="E224" s="97">
        <v>6.5470370369666995</v>
      </c>
      <c r="F224" s="97">
        <v>5.9069344574585427</v>
      </c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</row>
    <row r="225" spans="2:27" x14ac:dyDescent="0.25">
      <c r="B225" s="109">
        <v>42956</v>
      </c>
      <c r="C225" s="96">
        <f t="shared" si="15"/>
        <v>221</v>
      </c>
      <c r="D225" s="97">
        <v>6.4770600176261102</v>
      </c>
      <c r="E225" s="97">
        <v>6.5702185295257465</v>
      </c>
      <c r="F225" s="97">
        <v>5.9475910065553634</v>
      </c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</row>
    <row r="226" spans="2:27" x14ac:dyDescent="0.25">
      <c r="B226" s="109">
        <v>42957</v>
      </c>
      <c r="C226" s="96">
        <f t="shared" si="15"/>
        <v>222</v>
      </c>
      <c r="D226" s="97">
        <v>6.473851704555396</v>
      </c>
      <c r="E226" s="97">
        <v>6.5572928135325492</v>
      </c>
      <c r="F226" s="97">
        <v>5.9628572902616686</v>
      </c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</row>
    <row r="227" spans="2:27" x14ac:dyDescent="0.25">
      <c r="B227" s="109">
        <v>42958</v>
      </c>
      <c r="C227" s="96">
        <f t="shared" si="15"/>
        <v>223</v>
      </c>
      <c r="D227" s="97">
        <v>6.5067231810539274</v>
      </c>
      <c r="E227" s="97">
        <v>6.5848321489503201</v>
      </c>
      <c r="F227" s="97">
        <v>6.0034266890397712</v>
      </c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</row>
    <row r="228" spans="2:27" x14ac:dyDescent="0.25">
      <c r="B228" s="109">
        <v>42959</v>
      </c>
      <c r="C228" s="96">
        <f t="shared" si="15"/>
        <v>224</v>
      </c>
      <c r="D228" s="97">
        <v>6.5213008104561085</v>
      </c>
      <c r="E228" s="97">
        <v>6.597267526053753</v>
      </c>
      <c r="F228" s="97">
        <v>6.0210327311616689</v>
      </c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</row>
    <row r="229" spans="2:27" x14ac:dyDescent="0.25">
      <c r="B229" s="109">
        <v>42960</v>
      </c>
      <c r="C229" s="96">
        <f t="shared" si="15"/>
        <v>225</v>
      </c>
      <c r="D229" s="97">
        <v>6.4760678390252435</v>
      </c>
      <c r="E229" s="97">
        <v>6.5491943384207403</v>
      </c>
      <c r="F229" s="97">
        <v>5.9837399114788488</v>
      </c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</row>
    <row r="230" spans="2:27" x14ac:dyDescent="0.25">
      <c r="B230" s="109">
        <v>42961</v>
      </c>
      <c r="C230" s="96">
        <f t="shared" si="15"/>
        <v>226</v>
      </c>
      <c r="D230" s="97">
        <v>6.4660374059058725</v>
      </c>
      <c r="E230" s="97">
        <v>6.5405171521337806</v>
      </c>
      <c r="F230" s="97">
        <v>5.9711860376203472</v>
      </c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</row>
    <row r="231" spans="2:27" x14ac:dyDescent="0.25">
      <c r="B231" s="109">
        <v>42962</v>
      </c>
      <c r="C231" s="96">
        <f t="shared" si="15"/>
        <v>227</v>
      </c>
      <c r="D231" s="97">
        <v>6.440030335940949</v>
      </c>
      <c r="E231" s="97">
        <v>6.5135121368630156</v>
      </c>
      <c r="F231" s="97">
        <v>5.9482404501480195</v>
      </c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</row>
    <row r="232" spans="2:27" x14ac:dyDescent="0.25">
      <c r="B232" s="109">
        <v>42963</v>
      </c>
      <c r="C232" s="96">
        <f t="shared" si="15"/>
        <v>228</v>
      </c>
      <c r="D232" s="97">
        <v>6.4331905684962978</v>
      </c>
      <c r="E232" s="97">
        <v>6.5058077292307166</v>
      </c>
      <c r="F232" s="97">
        <v>5.943226942276036</v>
      </c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</row>
    <row r="233" spans="2:27" x14ac:dyDescent="0.25">
      <c r="B233" s="109">
        <v>42964</v>
      </c>
      <c r="C233" s="96">
        <f t="shared" si="15"/>
        <v>229</v>
      </c>
      <c r="D233" s="97">
        <v>6.412647214625653</v>
      </c>
      <c r="E233" s="97">
        <v>6.4801876326357615</v>
      </c>
      <c r="F233" s="97">
        <v>5.9327631216242169</v>
      </c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</row>
    <row r="234" spans="2:27" x14ac:dyDescent="0.25">
      <c r="B234" s="109">
        <v>42965</v>
      </c>
      <c r="C234" s="96">
        <f t="shared" si="15"/>
        <v>230</v>
      </c>
      <c r="D234" s="97">
        <v>6.401672091660779</v>
      </c>
      <c r="E234" s="97">
        <v>6.4664031693504551</v>
      </c>
      <c r="F234" s="97">
        <v>5.9310836883982638</v>
      </c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</row>
    <row r="235" spans="2:27" x14ac:dyDescent="0.25">
      <c r="B235" s="109">
        <v>42966</v>
      </c>
      <c r="C235" s="96">
        <f t="shared" si="15"/>
        <v>231</v>
      </c>
      <c r="D235" s="97">
        <v>6.4049690324452691</v>
      </c>
      <c r="E235" s="97">
        <v>6.4685387903900455</v>
      </c>
      <c r="F235" s="97">
        <v>5.9430447635739441</v>
      </c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</row>
    <row r="236" spans="2:27" x14ac:dyDescent="0.25">
      <c r="B236" s="109">
        <v>42967</v>
      </c>
      <c r="C236" s="96">
        <f t="shared" si="15"/>
        <v>232</v>
      </c>
      <c r="D236" s="97">
        <v>6.3997088987675266</v>
      </c>
      <c r="E236" s="97">
        <v>6.4579389230313984</v>
      </c>
      <c r="F236" s="97">
        <v>5.9542637378016741</v>
      </c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</row>
    <row r="237" spans="2:27" x14ac:dyDescent="0.25">
      <c r="B237" s="109">
        <v>42968</v>
      </c>
      <c r="C237" s="96">
        <f t="shared" si="15"/>
        <v>233</v>
      </c>
      <c r="D237" s="97">
        <v>6.422719348008485</v>
      </c>
      <c r="E237" s="97">
        <v>6.4614348989185615</v>
      </c>
      <c r="F237" s="97">
        <v>6.0001268092934295</v>
      </c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</row>
    <row r="238" spans="2:27" x14ac:dyDescent="0.25">
      <c r="B238" s="109">
        <v>42969</v>
      </c>
      <c r="C238" s="96">
        <f t="shared" si="15"/>
        <v>234</v>
      </c>
      <c r="D238" s="97">
        <v>6.4840865626650626</v>
      </c>
      <c r="E238" s="97">
        <v>6.5030350674098445</v>
      </c>
      <c r="F238" s="97">
        <v>6.0899564605320986</v>
      </c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</row>
    <row r="239" spans="2:27" x14ac:dyDescent="0.25">
      <c r="B239" s="109">
        <v>42970</v>
      </c>
      <c r="C239" s="96">
        <f t="shared" si="15"/>
        <v>235</v>
      </c>
      <c r="D239" s="97">
        <v>6.5367292159159751</v>
      </c>
      <c r="E239" s="97">
        <v>6.5245516328669479</v>
      </c>
      <c r="F239" s="97">
        <v>6.1989020264036343</v>
      </c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</row>
    <row r="240" spans="2:27" x14ac:dyDescent="0.25">
      <c r="B240" s="109">
        <v>42971</v>
      </c>
      <c r="C240" s="96">
        <f t="shared" si="15"/>
        <v>236</v>
      </c>
      <c r="D240" s="97">
        <v>6.4186581446967939</v>
      </c>
      <c r="E240" s="97">
        <v>6.458630110556391</v>
      </c>
      <c r="F240" s="97">
        <v>5.9893881634966597</v>
      </c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</row>
    <row r="241" spans="2:27" x14ac:dyDescent="0.25">
      <c r="B241" s="109">
        <v>42972</v>
      </c>
      <c r="C241" s="96">
        <f t="shared" si="15"/>
        <v>237</v>
      </c>
      <c r="D241" s="97">
        <v>6.4430935891754464</v>
      </c>
      <c r="E241" s="97">
        <v>6.4788435832485645</v>
      </c>
      <c r="F241" s="97">
        <v>6.0201849736614292</v>
      </c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</row>
    <row r="242" spans="2:27" x14ac:dyDescent="0.25">
      <c r="B242" s="109">
        <v>42973</v>
      </c>
      <c r="C242" s="96">
        <f t="shared" si="15"/>
        <v>238</v>
      </c>
      <c r="D242" s="97">
        <v>6.4280365005819826</v>
      </c>
      <c r="E242" s="97">
        <v>6.4582863130359502</v>
      </c>
      <c r="F242" s="97">
        <v>6.0165939560447512</v>
      </c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</row>
    <row r="243" spans="2:27" x14ac:dyDescent="0.25">
      <c r="B243" s="109">
        <v>42974</v>
      </c>
      <c r="C243" s="96">
        <f t="shared" si="15"/>
        <v>239</v>
      </c>
      <c r="D243" s="97">
        <v>6.4061320802586685</v>
      </c>
      <c r="E243" s="97">
        <v>6.4288277514578773</v>
      </c>
      <c r="F243" s="97">
        <v>6.0096786630172936</v>
      </c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</row>
    <row r="244" spans="2:27" x14ac:dyDescent="0.25">
      <c r="B244" s="109">
        <v>42975</v>
      </c>
      <c r="C244" s="96">
        <f t="shared" si="15"/>
        <v>240</v>
      </c>
      <c r="D244" s="97">
        <v>6.3991081932390186</v>
      </c>
      <c r="E244" s="97">
        <v>6.4155629197318573</v>
      </c>
      <c r="F244" s="97">
        <v>6.014619876668295</v>
      </c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</row>
    <row r="245" spans="2:27" x14ac:dyDescent="0.25">
      <c r="B245" s="109">
        <v>42976</v>
      </c>
      <c r="C245" s="96">
        <f t="shared" si="15"/>
        <v>241</v>
      </c>
      <c r="D245" s="97">
        <v>6.3833997866124035</v>
      </c>
      <c r="E245" s="97">
        <v>6.3935268609297964</v>
      </c>
      <c r="F245" s="97">
        <v>6.0116260818675498</v>
      </c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</row>
    <row r="246" spans="2:27" x14ac:dyDescent="0.25">
      <c r="B246" s="109">
        <v>42977</v>
      </c>
      <c r="C246" s="96">
        <f t="shared" si="15"/>
        <v>242</v>
      </c>
      <c r="D246" s="97">
        <v>6.3784567989474326</v>
      </c>
      <c r="E246" s="97">
        <v>6.3826093800679216</v>
      </c>
      <c r="F246" s="97">
        <v>6.0181849139721644</v>
      </c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</row>
    <row r="247" spans="2:27" x14ac:dyDescent="0.25">
      <c r="B247" s="109">
        <v>42978</v>
      </c>
      <c r="C247" s="96">
        <f t="shared" si="15"/>
        <v>243</v>
      </c>
      <c r="D247" s="97">
        <v>6.4004638613219367</v>
      </c>
      <c r="E247" s="97">
        <v>6.4019335701077731</v>
      </c>
      <c r="F247" s="97">
        <v>6.0445862721986741</v>
      </c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</row>
    <row r="248" spans="2:27" x14ac:dyDescent="0.25">
      <c r="B248" s="109">
        <v>42979</v>
      </c>
      <c r="C248" s="96">
        <f t="shared" si="15"/>
        <v>244</v>
      </c>
      <c r="D248" s="97">
        <v>6.3735773618816198</v>
      </c>
      <c r="E248" s="97">
        <v>6.3670166268601518</v>
      </c>
      <c r="F248" s="97">
        <v>6.0342200644853321</v>
      </c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</row>
    <row r="249" spans="2:27" x14ac:dyDescent="0.25">
      <c r="B249" s="109">
        <v>42980</v>
      </c>
      <c r="C249" s="96">
        <f t="shared" si="15"/>
        <v>245</v>
      </c>
      <c r="D249" s="97">
        <v>6.3803843691393602</v>
      </c>
      <c r="E249" s="97">
        <v>6.3690362438869235</v>
      </c>
      <c r="F249" s="97">
        <v>6.0482873322338566</v>
      </c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</row>
    <row r="250" spans="2:27" x14ac:dyDescent="0.25">
      <c r="B250" s="109">
        <v>42981</v>
      </c>
      <c r="C250" s="96">
        <f t="shared" si="15"/>
        <v>246</v>
      </c>
      <c r="D250" s="97">
        <v>6.3616237247192462</v>
      </c>
      <c r="E250" s="97">
        <v>6.3415530268819014</v>
      </c>
      <c r="F250" s="97">
        <v>6.0431088223676523</v>
      </c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</row>
    <row r="251" spans="2:27" x14ac:dyDescent="0.25">
      <c r="B251" s="109">
        <v>42982</v>
      </c>
      <c r="C251" s="96">
        <f t="shared" si="15"/>
        <v>247</v>
      </c>
      <c r="D251" s="97">
        <v>6.3509893283696162</v>
      </c>
      <c r="E251" s="97">
        <v>6.3232558600985644</v>
      </c>
      <c r="F251" s="97">
        <v>6.043660004600599</v>
      </c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</row>
    <row r="252" spans="2:27" x14ac:dyDescent="0.25">
      <c r="B252" s="109">
        <v>42983</v>
      </c>
      <c r="C252" s="96">
        <f t="shared" si="15"/>
        <v>248</v>
      </c>
      <c r="D252" s="97">
        <v>6.344588433674236</v>
      </c>
      <c r="E252" s="97">
        <v>6.3092810314100651</v>
      </c>
      <c r="F252" s="97">
        <v>6.0480233177964138</v>
      </c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</row>
    <row r="253" spans="2:27" x14ac:dyDescent="0.25">
      <c r="B253" s="109">
        <v>42984</v>
      </c>
      <c r="C253" s="96">
        <f t="shared" si="15"/>
        <v>249</v>
      </c>
      <c r="D253" s="97">
        <v>6.3416378656792594</v>
      </c>
      <c r="E253" s="97">
        <v>6.2998085951808385</v>
      </c>
      <c r="F253" s="97">
        <v>6.0538308938505283</v>
      </c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</row>
    <row r="254" spans="2:27" x14ac:dyDescent="0.25">
      <c r="B254" s="109">
        <v>42985</v>
      </c>
      <c r="C254" s="96">
        <f t="shared" si="15"/>
        <v>250</v>
      </c>
      <c r="D254" s="97">
        <v>6.349792398652359</v>
      </c>
      <c r="E254" s="97">
        <v>6.3008974336748613</v>
      </c>
      <c r="F254" s="97">
        <v>6.0708528909881858</v>
      </c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</row>
    <row r="255" spans="2:27" x14ac:dyDescent="0.25">
      <c r="B255" s="109">
        <v>42986</v>
      </c>
      <c r="C255" s="96">
        <f t="shared" si="15"/>
        <v>251</v>
      </c>
      <c r="D255" s="97">
        <v>6.337776852049716</v>
      </c>
      <c r="E255" s="97">
        <v>6.2819065686104425</v>
      </c>
      <c r="F255" s="97">
        <v>6.0700637314716683</v>
      </c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</row>
    <row r="256" spans="2:27" x14ac:dyDescent="0.25">
      <c r="B256" s="109">
        <v>42987</v>
      </c>
      <c r="C256" s="96">
        <f t="shared" si="15"/>
        <v>252</v>
      </c>
      <c r="D256" s="97">
        <v>6.3265254157867465</v>
      </c>
      <c r="E256" s="97">
        <v>6.2648502564320081</v>
      </c>
      <c r="F256" s="97">
        <v>6.0703173375372677</v>
      </c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</row>
    <row r="257" spans="2:27" x14ac:dyDescent="0.25">
      <c r="B257" s="109">
        <v>42988</v>
      </c>
      <c r="C257" s="96">
        <f t="shared" si="15"/>
        <v>253</v>
      </c>
      <c r="D257" s="97">
        <v>6.3143156519445656</v>
      </c>
      <c r="E257" s="97">
        <v>6.2464207841818942</v>
      </c>
      <c r="F257" s="97">
        <v>6.0704071645769613</v>
      </c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</row>
    <row r="258" spans="2:27" x14ac:dyDescent="0.25">
      <c r="B258" s="109">
        <v>42989</v>
      </c>
      <c r="C258" s="96">
        <f t="shared" si="15"/>
        <v>254</v>
      </c>
      <c r="D258" s="97">
        <v>6.3037091265705918</v>
      </c>
      <c r="E258" s="97">
        <v>6.2300449130163313</v>
      </c>
      <c r="F258" s="97">
        <v>6.07123912046859</v>
      </c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</row>
    <row r="259" spans="2:27" x14ac:dyDescent="0.25">
      <c r="B259" s="109">
        <v>42990</v>
      </c>
      <c r="C259" s="96">
        <f t="shared" si="15"/>
        <v>255</v>
      </c>
      <c r="D259" s="97">
        <v>6.2902470391722156</v>
      </c>
      <c r="E259" s="97">
        <v>6.2105263088449965</v>
      </c>
      <c r="F259" s="97">
        <v>6.0699261857533138</v>
      </c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</row>
    <row r="260" spans="2:27" x14ac:dyDescent="0.25">
      <c r="B260" s="109">
        <v>42991</v>
      </c>
      <c r="C260" s="96">
        <f t="shared" si="15"/>
        <v>256</v>
      </c>
      <c r="D260" s="97">
        <v>6.2847988226176161</v>
      </c>
      <c r="E260" s="97">
        <v>6.198636269926193</v>
      </c>
      <c r="F260" s="97">
        <v>6.0768105437460616</v>
      </c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</row>
    <row r="261" spans="2:27" x14ac:dyDescent="0.25">
      <c r="B261" s="109">
        <v>42992</v>
      </c>
      <c r="C261" s="96">
        <f t="shared" si="15"/>
        <v>257</v>
      </c>
      <c r="D261" s="97">
        <v>6.2742481373557197</v>
      </c>
      <c r="E261" s="97">
        <v>6.1820533725617297</v>
      </c>
      <c r="F261" s="97">
        <v>6.0782299435194789</v>
      </c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</row>
    <row r="262" spans="2:27" x14ac:dyDescent="0.25">
      <c r="B262" s="109">
        <v>42993</v>
      </c>
      <c r="C262" s="96">
        <f t="shared" si="15"/>
        <v>258</v>
      </c>
      <c r="D262" s="97">
        <v>6.3160718665036075</v>
      </c>
      <c r="E262" s="97">
        <v>6.2207511910342692</v>
      </c>
      <c r="F262" s="97">
        <v>6.1235186713722189</v>
      </c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</row>
    <row r="263" spans="2:27" x14ac:dyDescent="0.25">
      <c r="B263" s="109">
        <v>42994</v>
      </c>
      <c r="C263" s="96">
        <f t="shared" ref="C263:C326" si="16">B263-$B$5+1</f>
        <v>259</v>
      </c>
      <c r="D263" s="97">
        <v>6.2992699533704322</v>
      </c>
      <c r="E263" s="97">
        <v>6.1972416153068899</v>
      </c>
      <c r="F263" s="97">
        <v>6.1203924276544175</v>
      </c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</row>
    <row r="264" spans="2:27" x14ac:dyDescent="0.25">
      <c r="B264" s="109">
        <v>42995</v>
      </c>
      <c r="C264" s="96">
        <f t="shared" si="16"/>
        <v>260</v>
      </c>
      <c r="D264" s="97">
        <v>6.2910284085899715</v>
      </c>
      <c r="E264" s="97">
        <v>6.1814354133655014</v>
      </c>
      <c r="F264" s="97">
        <v>6.1268413760098506</v>
      </c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</row>
    <row r="265" spans="2:27" x14ac:dyDescent="0.25">
      <c r="B265" s="109">
        <v>42996</v>
      </c>
      <c r="C265" s="96">
        <f t="shared" si="16"/>
        <v>261</v>
      </c>
      <c r="D265" s="97">
        <v>6.2928736766409807</v>
      </c>
      <c r="E265" s="97">
        <v>6.1757919297015791</v>
      </c>
      <c r="F265" s="97">
        <v>6.1426838662784506</v>
      </c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</row>
    <row r="266" spans="2:27" x14ac:dyDescent="0.25">
      <c r="B266" s="109">
        <v>42997</v>
      </c>
      <c r="C266" s="96">
        <f t="shared" si="16"/>
        <v>262</v>
      </c>
      <c r="D266" s="97">
        <v>6.3038874352396466</v>
      </c>
      <c r="E266" s="97">
        <v>6.1793587724784986</v>
      </c>
      <c r="F266" s="97">
        <v>6.1671252859876571</v>
      </c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</row>
    <row r="267" spans="2:27" x14ac:dyDescent="0.25">
      <c r="B267" s="109">
        <v>42998</v>
      </c>
      <c r="C267" s="96">
        <f t="shared" si="16"/>
        <v>263</v>
      </c>
      <c r="D267" s="97">
        <v>6.2677025467360918</v>
      </c>
      <c r="E267" s="97">
        <v>6.1322235489286845</v>
      </c>
      <c r="F267" s="97">
        <v>6.1538223629541848</v>
      </c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</row>
    <row r="268" spans="2:27" x14ac:dyDescent="0.25">
      <c r="B268" s="109">
        <v>42999</v>
      </c>
      <c r="C268" s="96">
        <f t="shared" si="16"/>
        <v>264</v>
      </c>
      <c r="D268" s="97">
        <v>6.2809477951416461</v>
      </c>
      <c r="E268" s="97">
        <v>6.133494381659613</v>
      </c>
      <c r="F268" s="97">
        <v>6.1888141535668284</v>
      </c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</row>
    <row r="269" spans="2:27" x14ac:dyDescent="0.25">
      <c r="B269" s="109">
        <v>43000</v>
      </c>
      <c r="C269" s="96">
        <f t="shared" si="16"/>
        <v>265</v>
      </c>
      <c r="D269" s="97">
        <v>6.2785213283600116</v>
      </c>
      <c r="E269" s="97">
        <v>6.116046305593259</v>
      </c>
      <c r="F269" s="97">
        <v>6.2149163208724456</v>
      </c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</row>
    <row r="270" spans="2:27" x14ac:dyDescent="0.25">
      <c r="B270" s="109">
        <v>43001</v>
      </c>
      <c r="C270" s="96">
        <f t="shared" si="16"/>
        <v>266</v>
      </c>
      <c r="D270" s="97">
        <v>6.2743442023928013</v>
      </c>
      <c r="E270" s="97">
        <v>6.0925101831763842</v>
      </c>
      <c r="F270" s="97">
        <v>6.2474009824461927</v>
      </c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</row>
    <row r="271" spans="2:27" x14ac:dyDescent="0.25">
      <c r="B271" s="109">
        <v>43002</v>
      </c>
      <c r="C271" s="96">
        <f t="shared" si="16"/>
        <v>267</v>
      </c>
      <c r="D271" s="97">
        <v>6.280909541233477</v>
      </c>
      <c r="E271" s="97">
        <v>6.0807792704926973</v>
      </c>
      <c r="F271" s="97">
        <v>6.2878455953216079</v>
      </c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</row>
    <row r="272" spans="2:27" x14ac:dyDescent="0.25">
      <c r="B272" s="109">
        <v>43003</v>
      </c>
      <c r="C272" s="96">
        <f t="shared" si="16"/>
        <v>268</v>
      </c>
      <c r="D272" s="97">
        <v>6.2876224124834481</v>
      </c>
      <c r="E272" s="97">
        <v>6.079238771269579</v>
      </c>
      <c r="F272" s="97">
        <v>6.3099899639230532</v>
      </c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</row>
    <row r="273" spans="2:27" x14ac:dyDescent="0.25">
      <c r="B273" s="109">
        <v>43004</v>
      </c>
      <c r="C273" s="96">
        <f t="shared" si="16"/>
        <v>269</v>
      </c>
      <c r="D273" s="97">
        <v>6.2349216387517092</v>
      </c>
      <c r="E273" s="97">
        <v>6.030987656314144</v>
      </c>
      <c r="F273" s="97">
        <v>6.2524860719784172</v>
      </c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</row>
    <row r="274" spans="2:27" x14ac:dyDescent="0.25">
      <c r="B274" s="109">
        <v>43005</v>
      </c>
      <c r="C274" s="96">
        <f t="shared" si="16"/>
        <v>270</v>
      </c>
      <c r="D274" s="97">
        <v>6.1543273862610031</v>
      </c>
      <c r="E274" s="97">
        <v>5.9617716053797727</v>
      </c>
      <c r="F274" s="97">
        <v>6.155567988707495</v>
      </c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</row>
    <row r="275" spans="2:27" x14ac:dyDescent="0.25">
      <c r="B275" s="109">
        <v>43006</v>
      </c>
      <c r="C275" s="96">
        <f t="shared" si="16"/>
        <v>271</v>
      </c>
      <c r="D275" s="97">
        <v>6.0953645054368062</v>
      </c>
      <c r="E275" s="97">
        <v>5.910272703422943</v>
      </c>
      <c r="F275" s="97">
        <v>6.0862184171018461</v>
      </c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</row>
    <row r="276" spans="2:27" x14ac:dyDescent="0.25">
      <c r="B276" s="109">
        <v>43007</v>
      </c>
      <c r="C276" s="96">
        <f t="shared" si="16"/>
        <v>272</v>
      </c>
      <c r="D276" s="97">
        <v>6.0609605975396841</v>
      </c>
      <c r="E276" s="97">
        <v>5.8780541324837472</v>
      </c>
      <c r="F276" s="97">
        <v>6.0498573763415635</v>
      </c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</row>
    <row r="277" spans="2:27" x14ac:dyDescent="0.25">
      <c r="B277" s="109">
        <v>43008</v>
      </c>
      <c r="C277" s="96">
        <f t="shared" si="16"/>
        <v>273</v>
      </c>
      <c r="D277" s="97">
        <v>6.0203561574801965</v>
      </c>
      <c r="E277" s="97">
        <v>5.8337654754435198</v>
      </c>
      <c r="F277" s="97">
        <v>6.0184010188959824</v>
      </c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</row>
    <row r="278" spans="2:27" x14ac:dyDescent="0.25">
      <c r="B278" s="109">
        <v>43009</v>
      </c>
      <c r="C278" s="96">
        <f t="shared" si="16"/>
        <v>274</v>
      </c>
      <c r="D278" s="97">
        <v>5.9904307099934497</v>
      </c>
      <c r="E278" s="97">
        <v>5.7971188724726295</v>
      </c>
      <c r="F278" s="97">
        <v>6.0025499455533247</v>
      </c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</row>
    <row r="279" spans="2:27" x14ac:dyDescent="0.25">
      <c r="B279" s="109">
        <v>43010</v>
      </c>
      <c r="C279" s="96">
        <f t="shared" si="16"/>
        <v>275</v>
      </c>
      <c r="D279" s="97">
        <v>5.9626134935186519</v>
      </c>
      <c r="E279" s="97">
        <v>5.7579662119441108</v>
      </c>
      <c r="F279" s="97">
        <v>5.9973531346667848</v>
      </c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</row>
    <row r="280" spans="2:27" x14ac:dyDescent="0.25">
      <c r="B280" s="109">
        <v>43011</v>
      </c>
      <c r="C280" s="96">
        <f t="shared" si="16"/>
        <v>276</v>
      </c>
      <c r="D280" s="97">
        <v>5.9695497959841859</v>
      </c>
      <c r="E280" s="97">
        <v>5.7436778119273004</v>
      </c>
      <c r="F280" s="97">
        <v>6.0436168250598161</v>
      </c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</row>
    <row r="281" spans="2:27" x14ac:dyDescent="0.25">
      <c r="B281" s="109">
        <v>43012</v>
      </c>
      <c r="C281" s="96">
        <f t="shared" si="16"/>
        <v>277</v>
      </c>
      <c r="D281" s="97">
        <v>6.0378072602484654</v>
      </c>
      <c r="E281" s="97">
        <v>5.7735741609187103</v>
      </c>
      <c r="F281" s="97">
        <v>6.1804259541325539</v>
      </c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</row>
    <row r="282" spans="2:27" x14ac:dyDescent="0.25">
      <c r="B282" s="109">
        <v>43013</v>
      </c>
      <c r="C282" s="96">
        <f t="shared" si="16"/>
        <v>278</v>
      </c>
      <c r="D282" s="97">
        <v>6.1729521061373802</v>
      </c>
      <c r="E282" s="97">
        <v>5.8493145462758944</v>
      </c>
      <c r="F282" s="97">
        <v>6.4204654409701982</v>
      </c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</row>
    <row r="283" spans="2:27" x14ac:dyDescent="0.25">
      <c r="B283" s="109">
        <v>43014</v>
      </c>
      <c r="C283" s="96">
        <f t="shared" si="16"/>
        <v>279</v>
      </c>
      <c r="D283" s="97">
        <v>5.8444849785528374</v>
      </c>
      <c r="E283" s="97">
        <v>5.6386229707659634</v>
      </c>
      <c r="F283" s="97">
        <v>5.8907019107876675</v>
      </c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</row>
    <row r="284" spans="2:27" x14ac:dyDescent="0.25">
      <c r="B284" s="109">
        <v>43015</v>
      </c>
      <c r="C284" s="96">
        <f t="shared" si="16"/>
        <v>280</v>
      </c>
      <c r="D284" s="97">
        <v>5.8163217332471753</v>
      </c>
      <c r="E284" s="97">
        <v>5.6045431676835316</v>
      </c>
      <c r="F284" s="97">
        <v>5.8753588105208872</v>
      </c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</row>
    <row r="285" spans="2:27" x14ac:dyDescent="0.25">
      <c r="B285" s="109">
        <v>43016</v>
      </c>
      <c r="C285" s="96">
        <f t="shared" si="16"/>
        <v>281</v>
      </c>
      <c r="D285" s="97">
        <v>5.7760998886995596</v>
      </c>
      <c r="E285" s="97">
        <v>5.5597221565635078</v>
      </c>
      <c r="F285" s="97">
        <v>5.8467307531857413</v>
      </c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</row>
    <row r="286" spans="2:27" x14ac:dyDescent="0.25">
      <c r="B286" s="109">
        <v>43017</v>
      </c>
      <c r="C286" s="96">
        <f t="shared" si="16"/>
        <v>282</v>
      </c>
      <c r="D286" s="97">
        <v>5.7427837556074994</v>
      </c>
      <c r="E286" s="97">
        <v>5.521924873843723</v>
      </c>
      <c r="F286" s="97">
        <v>5.8247585951118364</v>
      </c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</row>
    <row r="287" spans="2:27" x14ac:dyDescent="0.25">
      <c r="B287" s="109">
        <v>43018</v>
      </c>
      <c r="C287" s="96">
        <f t="shared" si="16"/>
        <v>283</v>
      </c>
      <c r="D287" s="97">
        <v>5.7233750467451125</v>
      </c>
      <c r="E287" s="97">
        <v>5.4973563537926369</v>
      </c>
      <c r="F287" s="97">
        <v>5.8170048245476842</v>
      </c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</row>
    <row r="288" spans="2:27" x14ac:dyDescent="0.25">
      <c r="B288" s="109">
        <v>43019</v>
      </c>
      <c r="C288" s="96">
        <f t="shared" si="16"/>
        <v>284</v>
      </c>
      <c r="D288" s="97">
        <v>5.7065984666253291</v>
      </c>
      <c r="E288" s="97">
        <v>5.4767729137528161</v>
      </c>
      <c r="F288" s="97">
        <v>5.8094893811746386</v>
      </c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</row>
    <row r="289" spans="2:27" x14ac:dyDescent="0.25">
      <c r="B289" s="109">
        <v>43020</v>
      </c>
      <c r="C289" s="96">
        <f t="shared" si="16"/>
        <v>285</v>
      </c>
      <c r="D289" s="97">
        <v>5.6934324393584292</v>
      </c>
      <c r="E289" s="97">
        <v>5.4599055655948883</v>
      </c>
      <c r="F289" s="97">
        <v>5.8052309217699598</v>
      </c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</row>
    <row r="290" spans="2:27" x14ac:dyDescent="0.25">
      <c r="B290" s="109">
        <v>43021</v>
      </c>
      <c r="C290" s="96">
        <f t="shared" si="16"/>
        <v>286</v>
      </c>
      <c r="D290" s="97">
        <v>5.6307097383414426</v>
      </c>
      <c r="E290" s="97">
        <v>5.3912432962435251</v>
      </c>
      <c r="F290" s="97">
        <v>5.7581950357193765</v>
      </c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</row>
    <row r="291" spans="2:27" x14ac:dyDescent="0.25">
      <c r="B291" s="109">
        <v>43022</v>
      </c>
      <c r="C291" s="96">
        <f t="shared" si="16"/>
        <v>287</v>
      </c>
      <c r="D291" s="97">
        <v>5.5955352982189215</v>
      </c>
      <c r="E291" s="97">
        <v>5.3515325917149532</v>
      </c>
      <c r="F291" s="97">
        <v>5.7346667742267137</v>
      </c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</row>
    <row r="292" spans="2:27" x14ac:dyDescent="0.25">
      <c r="B292" s="109">
        <v>43023</v>
      </c>
      <c r="C292" s="96">
        <f t="shared" si="16"/>
        <v>288</v>
      </c>
      <c r="D292" s="97">
        <v>5.5844970605289159</v>
      </c>
      <c r="E292" s="97">
        <v>5.3365379756779499</v>
      </c>
      <c r="F292" s="97">
        <v>5.7329665417603879</v>
      </c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</row>
    <row r="293" spans="2:27" x14ac:dyDescent="0.25">
      <c r="B293" s="109">
        <v>43024</v>
      </c>
      <c r="C293" s="96">
        <f t="shared" si="16"/>
        <v>289</v>
      </c>
      <c r="D293" s="97">
        <v>5.5374672132169422</v>
      </c>
      <c r="E293" s="97">
        <v>5.2855694160157753</v>
      </c>
      <c r="F293" s="97">
        <v>5.6974537835448889</v>
      </c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</row>
    <row r="294" spans="2:27" x14ac:dyDescent="0.25">
      <c r="B294" s="109">
        <v>43025</v>
      </c>
      <c r="C294" s="96">
        <f t="shared" si="16"/>
        <v>290</v>
      </c>
      <c r="D294" s="97">
        <v>5.495792854557533</v>
      </c>
      <c r="E294" s="97">
        <v>5.2395016044603464</v>
      </c>
      <c r="F294" s="97">
        <v>5.6676498498665158</v>
      </c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</row>
    <row r="295" spans="2:27" x14ac:dyDescent="0.25">
      <c r="B295" s="109">
        <v>43026</v>
      </c>
      <c r="C295" s="96">
        <f t="shared" si="16"/>
        <v>291</v>
      </c>
      <c r="D295" s="97">
        <v>5.4542584946523673</v>
      </c>
      <c r="E295" s="97">
        <v>5.1937683715077085</v>
      </c>
      <c r="F295" s="97">
        <v>5.6377251906638497</v>
      </c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</row>
    <row r="296" spans="2:27" x14ac:dyDescent="0.25">
      <c r="B296" s="109">
        <v>43027</v>
      </c>
      <c r="C296" s="96">
        <f t="shared" si="16"/>
        <v>292</v>
      </c>
      <c r="D296" s="97">
        <v>5.4340085229517445</v>
      </c>
      <c r="E296" s="97">
        <v>5.1698454154119569</v>
      </c>
      <c r="F296" s="97">
        <v>5.6270158046194503</v>
      </c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</row>
    <row r="297" spans="2:27" x14ac:dyDescent="0.25">
      <c r="B297" s="109">
        <v>43028</v>
      </c>
      <c r="C297" s="96">
        <f t="shared" si="16"/>
        <v>293</v>
      </c>
      <c r="D297" s="97">
        <v>5.4023774560832205</v>
      </c>
      <c r="E297" s="97">
        <v>5.1348504113564051</v>
      </c>
      <c r="F297" s="97">
        <v>5.6051374368503133</v>
      </c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</row>
    <row r="298" spans="2:27" x14ac:dyDescent="0.25">
      <c r="B298" s="109">
        <v>43029</v>
      </c>
      <c r="C298" s="96">
        <f t="shared" si="16"/>
        <v>294</v>
      </c>
      <c r="D298" s="97">
        <v>5.375679644614805</v>
      </c>
      <c r="E298" s="97">
        <v>5.1033505106180677</v>
      </c>
      <c r="F298" s="97">
        <v>5.5878570294114223</v>
      </c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</row>
    <row r="299" spans="2:27" x14ac:dyDescent="0.25">
      <c r="B299" s="109">
        <v>43030</v>
      </c>
      <c r="C299" s="96">
        <f t="shared" si="16"/>
        <v>295</v>
      </c>
      <c r="D299" s="97">
        <v>5.3454120146488364</v>
      </c>
      <c r="E299" s="97">
        <v>5.0675754180398647</v>
      </c>
      <c r="F299" s="97">
        <v>5.5661689402598613</v>
      </c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</row>
    <row r="300" spans="2:27" x14ac:dyDescent="0.25">
      <c r="B300" s="109">
        <v>43031</v>
      </c>
      <c r="C300" s="96">
        <f t="shared" si="16"/>
        <v>296</v>
      </c>
      <c r="D300" s="97">
        <v>5.2943249397389343</v>
      </c>
      <c r="E300" s="97">
        <v>5.0107007126295668</v>
      </c>
      <c r="F300" s="97">
        <v>5.5252807866343403</v>
      </c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</row>
    <row r="301" spans="2:27" x14ac:dyDescent="0.25">
      <c r="B301" s="109">
        <v>43032</v>
      </c>
      <c r="C301" s="96">
        <f t="shared" si="16"/>
        <v>297</v>
      </c>
      <c r="D301" s="97">
        <v>5.2545467106276993</v>
      </c>
      <c r="E301" s="97">
        <v>4.9655970039352493</v>
      </c>
      <c r="F301" s="97">
        <v>5.4944825793614482</v>
      </c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</row>
    <row r="302" spans="2:27" x14ac:dyDescent="0.25">
      <c r="B302" s="109">
        <v>43033</v>
      </c>
      <c r="C302" s="96">
        <f t="shared" si="16"/>
        <v>298</v>
      </c>
      <c r="D302" s="97">
        <v>5.2141366761013188</v>
      </c>
      <c r="E302" s="97">
        <v>4.9213189425321398</v>
      </c>
      <c r="F302" s="97">
        <v>5.4632832874943205</v>
      </c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</row>
    <row r="303" spans="2:27" x14ac:dyDescent="0.25">
      <c r="B303" s="109">
        <v>43034</v>
      </c>
      <c r="C303" s="96">
        <f t="shared" si="16"/>
        <v>299</v>
      </c>
      <c r="D303" s="97">
        <v>5.1851763673745719</v>
      </c>
      <c r="E303" s="97">
        <v>4.8889955132964191</v>
      </c>
      <c r="F303" s="97">
        <v>5.4426356185830675</v>
      </c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</row>
    <row r="304" spans="2:27" x14ac:dyDescent="0.25">
      <c r="B304" s="109">
        <v>43035</v>
      </c>
      <c r="C304" s="96">
        <f t="shared" si="16"/>
        <v>300</v>
      </c>
      <c r="D304" s="97">
        <v>5.1496237984661466</v>
      </c>
      <c r="E304" s="97">
        <v>4.8503084028011854</v>
      </c>
      <c r="F304" s="97">
        <v>5.4153752161274822</v>
      </c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</row>
    <row r="305" spans="2:27" x14ac:dyDescent="0.25">
      <c r="B305" s="109">
        <v>43036</v>
      </c>
      <c r="C305" s="96">
        <f t="shared" si="16"/>
        <v>301</v>
      </c>
      <c r="D305" s="97">
        <v>5.1226342000221008</v>
      </c>
      <c r="E305" s="97">
        <v>4.8198830881425136</v>
      </c>
      <c r="F305" s="97">
        <v>5.3967248688405585</v>
      </c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</row>
    <row r="306" spans="2:27" x14ac:dyDescent="0.25">
      <c r="B306" s="109">
        <v>43037</v>
      </c>
      <c r="C306" s="96">
        <f t="shared" si="16"/>
        <v>302</v>
      </c>
      <c r="D306" s="97">
        <v>5.0952706029360169</v>
      </c>
      <c r="E306" s="97">
        <v>4.788918423415911</v>
      </c>
      <c r="F306" s="97">
        <v>5.3780299137614964</v>
      </c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</row>
    <row r="307" spans="2:27" x14ac:dyDescent="0.25">
      <c r="B307" s="109">
        <v>43038</v>
      </c>
      <c r="C307" s="96">
        <f t="shared" si="16"/>
        <v>303</v>
      </c>
      <c r="D307" s="97">
        <v>5.0759955994306036</v>
      </c>
      <c r="E307" s="97">
        <v>4.7661334912885689</v>
      </c>
      <c r="F307" s="97">
        <v>5.3668341646648674</v>
      </c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</row>
    <row r="308" spans="2:27" x14ac:dyDescent="0.25">
      <c r="B308" s="109">
        <v>43039</v>
      </c>
      <c r="C308" s="96">
        <f t="shared" si="16"/>
        <v>304</v>
      </c>
      <c r="D308" s="97">
        <v>5.0360817359788106</v>
      </c>
      <c r="E308" s="97">
        <v>4.72233797800597</v>
      </c>
      <c r="F308" s="97">
        <v>5.3368206318700535</v>
      </c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</row>
    <row r="309" spans="2:27" x14ac:dyDescent="0.25">
      <c r="B309" s="109">
        <v>43040</v>
      </c>
      <c r="C309" s="96">
        <f t="shared" si="16"/>
        <v>305</v>
      </c>
      <c r="D309" s="97">
        <v>5.0170963968749609</v>
      </c>
      <c r="E309" s="97">
        <v>4.6990074149391843</v>
      </c>
      <c r="F309" s="97">
        <v>5.3274184819199215</v>
      </c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</row>
    <row r="310" spans="2:27" x14ac:dyDescent="0.25">
      <c r="B310" s="109">
        <v>43041</v>
      </c>
      <c r="C310" s="96">
        <f t="shared" si="16"/>
        <v>306</v>
      </c>
      <c r="D310" s="97">
        <v>4.9930330594048682</v>
      </c>
      <c r="E310" s="97">
        <v>4.670260169632404</v>
      </c>
      <c r="F310" s="97">
        <v>5.3138848104368384</v>
      </c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</row>
    <row r="311" spans="2:27" x14ac:dyDescent="0.25">
      <c r="B311" s="109">
        <v>43042</v>
      </c>
      <c r="C311" s="96">
        <f t="shared" si="16"/>
        <v>307</v>
      </c>
      <c r="D311" s="97">
        <v>4.9851581977515602</v>
      </c>
      <c r="E311" s="97">
        <v>4.6564421076083207</v>
      </c>
      <c r="F311" s="97">
        <v>5.3179219988670203</v>
      </c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</row>
    <row r="312" spans="2:27" x14ac:dyDescent="0.25">
      <c r="B312" s="109">
        <v>43043</v>
      </c>
      <c r="C312" s="96">
        <f t="shared" si="16"/>
        <v>308</v>
      </c>
      <c r="D312" s="97">
        <v>4.9585211221902528</v>
      </c>
      <c r="E312" s="97">
        <v>4.6234467503437449</v>
      </c>
      <c r="F312" s="97">
        <v>5.3050812044841171</v>
      </c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</row>
    <row r="313" spans="2:27" x14ac:dyDescent="0.25">
      <c r="B313" s="109">
        <v>43044</v>
      </c>
      <c r="C313" s="96">
        <f t="shared" si="16"/>
        <v>309</v>
      </c>
      <c r="D313" s="97">
        <v>4.9319426846630607</v>
      </c>
      <c r="E313" s="97">
        <v>4.5890222040934932</v>
      </c>
      <c r="F313" s="97">
        <v>5.2950737445876879</v>
      </c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</row>
    <row r="314" spans="2:27" x14ac:dyDescent="0.25">
      <c r="B314" s="109">
        <v>43045</v>
      </c>
      <c r="C314" s="96">
        <f t="shared" si="16"/>
        <v>310</v>
      </c>
      <c r="D314" s="97">
        <v>4.9549638916346721</v>
      </c>
      <c r="E314" s="97">
        <v>4.6006126971672661</v>
      </c>
      <c r="F314" s="97">
        <v>5.3383904456892095</v>
      </c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</row>
    <row r="315" spans="2:27" x14ac:dyDescent="0.25">
      <c r="B315" s="109">
        <v>43046</v>
      </c>
      <c r="C315" s="96">
        <f t="shared" si="16"/>
        <v>311</v>
      </c>
      <c r="D315" s="97">
        <v>4.9868743050842435</v>
      </c>
      <c r="E315" s="97">
        <v>4.6198486269218257</v>
      </c>
      <c r="F315" s="97">
        <v>5.392630489420764</v>
      </c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</row>
    <row r="316" spans="2:27" x14ac:dyDescent="0.25">
      <c r="B316" s="109">
        <v>43047</v>
      </c>
      <c r="C316" s="96">
        <f t="shared" si="16"/>
        <v>312</v>
      </c>
      <c r="D316" s="97">
        <v>4.9990952797447612</v>
      </c>
      <c r="E316" s="97">
        <v>4.6170314704196391</v>
      </c>
      <c r="F316" s="97">
        <v>5.4326223342749786</v>
      </c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</row>
    <row r="317" spans="2:27" x14ac:dyDescent="0.25">
      <c r="B317" s="109">
        <v>43048</v>
      </c>
      <c r="C317" s="96">
        <f t="shared" si="16"/>
        <v>313</v>
      </c>
      <c r="D317" s="97">
        <v>5.0101741140834539</v>
      </c>
      <c r="E317" s="97">
        <v>4.6121011367622478</v>
      </c>
      <c r="F317" s="97">
        <v>5.4733598148791351</v>
      </c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</row>
    <row r="318" spans="2:27" x14ac:dyDescent="0.25">
      <c r="B318" s="109">
        <v>43049</v>
      </c>
      <c r="C318" s="96">
        <f t="shared" si="16"/>
        <v>314</v>
      </c>
      <c r="D318" s="97">
        <v>5.0022226174991173</v>
      </c>
      <c r="E318" s="97">
        <v>4.5905149024087599</v>
      </c>
      <c r="F318" s="97">
        <v>5.491425809760238</v>
      </c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</row>
    <row r="319" spans="2:27" x14ac:dyDescent="0.25">
      <c r="B319" s="109">
        <v>43050</v>
      </c>
      <c r="C319" s="96">
        <f t="shared" si="16"/>
        <v>315</v>
      </c>
      <c r="D319" s="97">
        <v>4.9842933546955317</v>
      </c>
      <c r="E319" s="97">
        <v>4.5658004444470981</v>
      </c>
      <c r="F319" s="97">
        <v>5.4876542148648788</v>
      </c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</row>
    <row r="320" spans="2:27" x14ac:dyDescent="0.25">
      <c r="B320" s="109">
        <v>43051</v>
      </c>
      <c r="C320" s="96">
        <f t="shared" si="16"/>
        <v>316</v>
      </c>
      <c r="D320" s="97">
        <v>4.9175768799991815</v>
      </c>
      <c r="E320" s="97">
        <v>4.502973779660457</v>
      </c>
      <c r="F320" s="97">
        <v>5.4176400518796175</v>
      </c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</row>
    <row r="321" spans="2:27" x14ac:dyDescent="0.25">
      <c r="B321" s="109">
        <v>43052</v>
      </c>
      <c r="C321" s="96">
        <f t="shared" si="16"/>
        <v>317</v>
      </c>
      <c r="D321" s="97">
        <v>4.852728065826712</v>
      </c>
      <c r="E321" s="97">
        <v>4.4502057153306707</v>
      </c>
      <c r="F321" s="97">
        <v>5.3347386016852676</v>
      </c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</row>
    <row r="322" spans="2:27" x14ac:dyDescent="0.25">
      <c r="B322" s="109">
        <v>43053</v>
      </c>
      <c r="C322" s="96">
        <f t="shared" si="16"/>
        <v>318</v>
      </c>
      <c r="D322" s="97">
        <v>4.7497446866790476</v>
      </c>
      <c r="E322" s="97">
        <v>4.3636600547046704</v>
      </c>
      <c r="F322" s="97">
        <v>5.2072171664469433</v>
      </c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</row>
    <row r="323" spans="2:27" x14ac:dyDescent="0.25">
      <c r="B323" s="109">
        <v>43054</v>
      </c>
      <c r="C323" s="96">
        <f t="shared" si="16"/>
        <v>319</v>
      </c>
      <c r="D323" s="97">
        <v>4.6774848104085596</v>
      </c>
      <c r="E323" s="97">
        <v>4.3065861331141537</v>
      </c>
      <c r="F323" s="97">
        <v>5.1111041096205891</v>
      </c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</row>
    <row r="324" spans="2:27" x14ac:dyDescent="0.25">
      <c r="B324" s="109">
        <v>43055</v>
      </c>
      <c r="C324" s="96">
        <f t="shared" si="16"/>
        <v>320</v>
      </c>
      <c r="D324" s="97">
        <v>4.6120348183768547</v>
      </c>
      <c r="E324" s="97">
        <v>4.2521165753394108</v>
      </c>
      <c r="F324" s="97">
        <v>5.0291309393454267</v>
      </c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</row>
    <row r="325" spans="2:27" x14ac:dyDescent="0.25">
      <c r="B325" s="109">
        <v>43056</v>
      </c>
      <c r="C325" s="96">
        <f t="shared" si="16"/>
        <v>321</v>
      </c>
      <c r="D325" s="97">
        <v>4.5557179884534706</v>
      </c>
      <c r="E325" s="97">
        <v>4.2029714871902115</v>
      </c>
      <c r="F325" s="97">
        <v>4.9628305793819418</v>
      </c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</row>
    <row r="326" spans="2:27" x14ac:dyDescent="0.25">
      <c r="B326" s="109">
        <v>43057</v>
      </c>
      <c r="C326" s="96">
        <f t="shared" si="16"/>
        <v>322</v>
      </c>
      <c r="D326" s="97">
        <v>4.4944167318432475</v>
      </c>
      <c r="E326" s="97">
        <v>4.1460288734090174</v>
      </c>
      <c r="F326" s="97">
        <v>4.8969922639705281</v>
      </c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</row>
    <row r="327" spans="2:27" x14ac:dyDescent="0.25">
      <c r="B327" s="109">
        <v>43058</v>
      </c>
      <c r="C327" s="96">
        <f t="shared" ref="C327:C369" si="17">B327-$B$5+1</f>
        <v>323</v>
      </c>
      <c r="D327" s="97">
        <v>4.4391023644552776</v>
      </c>
      <c r="E327" s="97">
        <v>4.0929807575915023</v>
      </c>
      <c r="F327" s="97">
        <v>4.8406584377059776</v>
      </c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</row>
    <row r="328" spans="2:27" x14ac:dyDescent="0.25">
      <c r="B328" s="109">
        <v>43059</v>
      </c>
      <c r="C328" s="96">
        <f t="shared" si="17"/>
        <v>324</v>
      </c>
      <c r="D328" s="97">
        <v>4.4187274313458209</v>
      </c>
      <c r="E328" s="97">
        <v>4.0725604066363843</v>
      </c>
      <c r="F328" s="97">
        <v>4.821628262497434</v>
      </c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</row>
    <row r="329" spans="2:27" x14ac:dyDescent="0.25">
      <c r="B329" s="109">
        <v>43060</v>
      </c>
      <c r="C329" s="96">
        <f t="shared" si="17"/>
        <v>325</v>
      </c>
      <c r="D329" s="97">
        <v>4.3774385094038122</v>
      </c>
      <c r="E329" s="97">
        <v>4.0302636893690611</v>
      </c>
      <c r="F329" s="97">
        <v>4.7845204175363234</v>
      </c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</row>
    <row r="330" spans="2:27" x14ac:dyDescent="0.25">
      <c r="B330" s="109">
        <v>43061</v>
      </c>
      <c r="C330" s="96">
        <f t="shared" si="17"/>
        <v>326</v>
      </c>
      <c r="D330" s="97">
        <v>4.3386998859119208</v>
      </c>
      <c r="E330" s="97">
        <v>3.9890329521409025</v>
      </c>
      <c r="F330" s="97">
        <v>4.7525435382889487</v>
      </c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</row>
    <row r="331" spans="2:27" x14ac:dyDescent="0.25">
      <c r="B331" s="109">
        <v>43062</v>
      </c>
      <c r="C331" s="96">
        <f t="shared" si="17"/>
        <v>327</v>
      </c>
      <c r="D331" s="97">
        <v>4.3203686383915274</v>
      </c>
      <c r="E331" s="97">
        <v>3.9660367437430426</v>
      </c>
      <c r="F331" s="97">
        <v>4.7439457831280247</v>
      </c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</row>
    <row r="332" spans="2:27" x14ac:dyDescent="0.25">
      <c r="B332" s="109">
        <v>43063</v>
      </c>
      <c r="C332" s="96">
        <f t="shared" si="17"/>
        <v>328</v>
      </c>
      <c r="D332" s="97">
        <v>4.3323827574719598</v>
      </c>
      <c r="E332" s="97">
        <v>3.9695282073089522</v>
      </c>
      <c r="F332" s="97">
        <v>4.771186834467219</v>
      </c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</row>
    <row r="333" spans="2:27" x14ac:dyDescent="0.25">
      <c r="B333" s="109">
        <v>43064</v>
      </c>
      <c r="C333" s="96">
        <f t="shared" si="17"/>
        <v>329</v>
      </c>
      <c r="D333" s="97">
        <v>4.353861677831695</v>
      </c>
      <c r="E333" s="97">
        <v>3.9792922732407789</v>
      </c>
      <c r="F333" s="97">
        <v>4.8134613294074899</v>
      </c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</row>
    <row r="334" spans="2:27" x14ac:dyDescent="0.25">
      <c r="B334" s="109">
        <v>43065</v>
      </c>
      <c r="C334" s="96">
        <f t="shared" si="17"/>
        <v>330</v>
      </c>
      <c r="D334" s="97">
        <v>4.3741268720139557</v>
      </c>
      <c r="E334" s="97">
        <v>3.9836750661478231</v>
      </c>
      <c r="F334" s="97">
        <v>4.8624243579158204</v>
      </c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</row>
    <row r="335" spans="2:27" x14ac:dyDescent="0.25">
      <c r="B335" s="109">
        <v>43066</v>
      </c>
      <c r="C335" s="96">
        <f t="shared" si="17"/>
        <v>331</v>
      </c>
      <c r="D335" s="97">
        <v>4.3871137187163658</v>
      </c>
      <c r="E335" s="97">
        <v>3.9764234795655109</v>
      </c>
      <c r="F335" s="97">
        <v>4.9127231107192006</v>
      </c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</row>
    <row r="336" spans="2:27" x14ac:dyDescent="0.25">
      <c r="B336" s="109">
        <v>43067</v>
      </c>
      <c r="C336" s="96">
        <f t="shared" si="17"/>
        <v>332</v>
      </c>
      <c r="D336" s="97">
        <v>4.4408797578405261</v>
      </c>
      <c r="E336" s="97">
        <v>4.0038233329092865</v>
      </c>
      <c r="F336" s="97">
        <v>5.0131311601060693</v>
      </c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</row>
    <row r="337" spans="2:27" x14ac:dyDescent="0.25">
      <c r="B337" s="109">
        <v>43068</v>
      </c>
      <c r="C337" s="96">
        <f t="shared" si="17"/>
        <v>333</v>
      </c>
      <c r="D337" s="97">
        <v>4.5027858203523659</v>
      </c>
      <c r="E337" s="97">
        <v>4.0349883547213397</v>
      </c>
      <c r="F337" s="97">
        <v>5.1295352324331249</v>
      </c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</row>
    <row r="338" spans="2:27" x14ac:dyDescent="0.25">
      <c r="B338" s="109">
        <v>43069</v>
      </c>
      <c r="C338" s="96">
        <f t="shared" si="17"/>
        <v>334</v>
      </c>
      <c r="D338" s="97">
        <v>4.5959664249203103</v>
      </c>
      <c r="E338" s="97">
        <v>4.0930478649890176</v>
      </c>
      <c r="F338" s="97">
        <v>5.2837426204329345</v>
      </c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</row>
    <row r="339" spans="2:27" x14ac:dyDescent="0.25">
      <c r="B339" s="109">
        <v>43070</v>
      </c>
      <c r="C339" s="96">
        <f t="shared" si="17"/>
        <v>335</v>
      </c>
      <c r="D339" s="97">
        <v>4.6876556598062038</v>
      </c>
      <c r="E339" s="97">
        <v>4.148338794964137</v>
      </c>
      <c r="F339" s="97">
        <v>5.4390228517728882</v>
      </c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</row>
    <row r="340" spans="2:27" x14ac:dyDescent="0.25">
      <c r="B340" s="109">
        <v>43071</v>
      </c>
      <c r="C340" s="96">
        <f t="shared" si="17"/>
        <v>336</v>
      </c>
      <c r="D340" s="97">
        <v>4.7678094789823566</v>
      </c>
      <c r="E340" s="97">
        <v>4.1932236088416754</v>
      </c>
      <c r="F340" s="97">
        <v>5.581233813286981</v>
      </c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</row>
    <row r="341" spans="2:27" x14ac:dyDescent="0.25">
      <c r="B341" s="109">
        <v>43072</v>
      </c>
      <c r="C341" s="96">
        <f t="shared" si="17"/>
        <v>337</v>
      </c>
      <c r="D341" s="97">
        <v>4.0832807606771322</v>
      </c>
      <c r="E341" s="97">
        <v>3.7494941738770486</v>
      </c>
      <c r="F341" s="97">
        <v>4.4847504331381307</v>
      </c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</row>
    <row r="342" spans="2:27" x14ac:dyDescent="0.25">
      <c r="B342" s="109">
        <v>43073</v>
      </c>
      <c r="C342" s="96">
        <f t="shared" si="17"/>
        <v>338</v>
      </c>
      <c r="D342" s="97">
        <v>4.0548515457448584</v>
      </c>
      <c r="E342" s="97">
        <v>3.7213405811405527</v>
      </c>
      <c r="F342" s="97">
        <v>4.4575035640114296</v>
      </c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</row>
    <row r="343" spans="2:27" x14ac:dyDescent="0.25">
      <c r="B343" s="109">
        <v>43074</v>
      </c>
      <c r="C343" s="96">
        <f t="shared" si="17"/>
        <v>339</v>
      </c>
      <c r="D343" s="97">
        <v>4.0254065342203029</v>
      </c>
      <c r="E343" s="97">
        <v>3.6921516022478995</v>
      </c>
      <c r="F343" s="97">
        <v>4.4292929032806256</v>
      </c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</row>
    <row r="344" spans="2:27" x14ac:dyDescent="0.25">
      <c r="B344" s="109">
        <v>43075</v>
      </c>
      <c r="C344" s="96">
        <f t="shared" si="17"/>
        <v>340</v>
      </c>
      <c r="D344" s="97">
        <v>4.0179245209051277</v>
      </c>
      <c r="E344" s="97">
        <v>3.6841726638040964</v>
      </c>
      <c r="F344" s="97">
        <v>4.4232674957002525</v>
      </c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</row>
    <row r="345" spans="2:27" x14ac:dyDescent="0.25">
      <c r="B345" s="109">
        <v>43076</v>
      </c>
      <c r="C345" s="96">
        <f t="shared" si="17"/>
        <v>341</v>
      </c>
      <c r="D345" s="97">
        <v>4.0079944197708439</v>
      </c>
      <c r="E345" s="97">
        <v>3.673865533363152</v>
      </c>
      <c r="F345" s="97">
        <v>4.4146946841222183</v>
      </c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</row>
    <row r="346" spans="2:27" x14ac:dyDescent="0.25">
      <c r="B346" s="109">
        <v>43077</v>
      </c>
      <c r="C346" s="96">
        <f t="shared" si="17"/>
        <v>342</v>
      </c>
      <c r="D346" s="97">
        <v>3.9972558130294975</v>
      </c>
      <c r="E346" s="97">
        <v>3.6628627845315327</v>
      </c>
      <c r="F346" s="97">
        <v>4.4051363247629398</v>
      </c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</row>
    <row r="347" spans="2:27" x14ac:dyDescent="0.25">
      <c r="B347" s="109">
        <v>43078</v>
      </c>
      <c r="C347" s="96">
        <f t="shared" si="17"/>
        <v>343</v>
      </c>
      <c r="D347" s="97">
        <v>3.9886146518499741</v>
      </c>
      <c r="E347" s="97">
        <v>3.6537889271140136</v>
      </c>
      <c r="F347" s="97">
        <v>4.397841721810706</v>
      </c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</row>
    <row r="348" spans="2:27" x14ac:dyDescent="0.25">
      <c r="B348" s="109">
        <v>43079</v>
      </c>
      <c r="C348" s="96">
        <f t="shared" si="17"/>
        <v>344</v>
      </c>
      <c r="D348" s="97">
        <v>3.9768822948488687</v>
      </c>
      <c r="E348" s="97">
        <v>3.6419087679780344</v>
      </c>
      <c r="F348" s="97">
        <v>4.3871030970400708</v>
      </c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</row>
    <row r="349" spans="2:27" x14ac:dyDescent="0.25">
      <c r="B349" s="109">
        <v>43080</v>
      </c>
      <c r="C349" s="96">
        <f t="shared" si="17"/>
        <v>345</v>
      </c>
      <c r="D349" s="97">
        <v>3.9654276670795907</v>
      </c>
      <c r="E349" s="97">
        <v>3.6302560882179145</v>
      </c>
      <c r="F349" s="97">
        <v>4.3766899762007005</v>
      </c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</row>
    <row r="350" spans="2:27" x14ac:dyDescent="0.25">
      <c r="B350" s="109">
        <v>43081</v>
      </c>
      <c r="C350" s="96">
        <f t="shared" si="17"/>
        <v>346</v>
      </c>
      <c r="D350" s="97">
        <v>3.9700513856815651</v>
      </c>
      <c r="E350" s="97">
        <v>3.6340272401115392</v>
      </c>
      <c r="F350" s="97">
        <v>4.3826991174308603</v>
      </c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</row>
    <row r="351" spans="2:27" x14ac:dyDescent="0.25">
      <c r="B351" s="109">
        <v>43082</v>
      </c>
      <c r="C351" s="96">
        <f t="shared" si="17"/>
        <v>347</v>
      </c>
      <c r="D351" s="97">
        <v>3.9628104051536632</v>
      </c>
      <c r="E351" s="97">
        <v>3.6266926447159973</v>
      </c>
      <c r="F351" s="97">
        <v>4.3760980598203032</v>
      </c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</row>
    <row r="352" spans="2:27" x14ac:dyDescent="0.25">
      <c r="B352" s="109">
        <v>43083</v>
      </c>
      <c r="C352" s="96">
        <f t="shared" si="17"/>
        <v>348</v>
      </c>
      <c r="D352" s="97">
        <v>3.9404468085901176</v>
      </c>
      <c r="E352" s="97">
        <v>3.6047704914752532</v>
      </c>
      <c r="F352" s="97">
        <v>4.3541408898907221</v>
      </c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</row>
    <row r="353" spans="2:27" x14ac:dyDescent="0.25">
      <c r="B353" s="109">
        <v>43084</v>
      </c>
      <c r="C353" s="96">
        <f t="shared" si="17"/>
        <v>349</v>
      </c>
      <c r="D353" s="97">
        <v>3.9384019764660501</v>
      </c>
      <c r="E353" s="97">
        <v>3.6023945830333441</v>
      </c>
      <c r="F353" s="97">
        <v>4.3528556528202422</v>
      </c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</row>
    <row r="354" spans="2:27" x14ac:dyDescent="0.25">
      <c r="B354" s="109">
        <v>43085</v>
      </c>
      <c r="C354" s="96">
        <f t="shared" si="17"/>
        <v>350</v>
      </c>
      <c r="D354" s="97">
        <v>3.9268755892034601</v>
      </c>
      <c r="E354" s="97">
        <v>3.5909972660843033</v>
      </c>
      <c r="F354" s="97">
        <v>4.3417276128861744</v>
      </c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</row>
    <row r="355" spans="2:27" x14ac:dyDescent="0.25">
      <c r="B355" s="109">
        <v>43086</v>
      </c>
      <c r="C355" s="96">
        <f t="shared" si="17"/>
        <v>351</v>
      </c>
      <c r="D355" s="97">
        <v>3.9174221106661347</v>
      </c>
      <c r="E355" s="97">
        <v>3.5817294390949019</v>
      </c>
      <c r="F355" s="97">
        <v>4.3324732100708401</v>
      </c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</row>
    <row r="356" spans="2:27" x14ac:dyDescent="0.25">
      <c r="B356" s="109">
        <v>43087</v>
      </c>
      <c r="C356" s="96">
        <f t="shared" si="17"/>
        <v>352</v>
      </c>
      <c r="D356" s="97">
        <v>3.9389630766600829</v>
      </c>
      <c r="E356" s="97">
        <v>3.6019548704664697</v>
      </c>
      <c r="F356" s="97">
        <v>4.3552948442216213</v>
      </c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</row>
    <row r="357" spans="2:27" x14ac:dyDescent="0.25">
      <c r="B357" s="109">
        <v>43088</v>
      </c>
      <c r="C357" s="96">
        <f t="shared" si="17"/>
        <v>353</v>
      </c>
      <c r="D357" s="97">
        <v>3.9408172368056649</v>
      </c>
      <c r="E357" s="97">
        <v>3.6034805619515216</v>
      </c>
      <c r="F357" s="97">
        <v>4.3576548059147653</v>
      </c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</row>
    <row r="358" spans="2:27" x14ac:dyDescent="0.25">
      <c r="B358" s="109">
        <v>43089</v>
      </c>
      <c r="C358" s="96">
        <f t="shared" si="17"/>
        <v>354</v>
      </c>
      <c r="D358" s="97">
        <v>3.9367933060379712</v>
      </c>
      <c r="E358" s="97">
        <v>3.5992844918463209</v>
      </c>
      <c r="F358" s="97">
        <v>4.3541195250129867</v>
      </c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</row>
    <row r="359" spans="2:27" x14ac:dyDescent="0.25">
      <c r="B359" s="109">
        <v>43090</v>
      </c>
      <c r="C359" s="96">
        <f t="shared" si="17"/>
        <v>355</v>
      </c>
      <c r="D359" s="97">
        <v>3.9428893844358028</v>
      </c>
      <c r="E359" s="97">
        <v>3.60511638222424</v>
      </c>
      <c r="F359" s="97">
        <v>4.3603832584469782</v>
      </c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</row>
    <row r="360" spans="2:27" x14ac:dyDescent="0.25">
      <c r="B360" s="109">
        <v>43091</v>
      </c>
      <c r="C360" s="96">
        <f t="shared" si="17"/>
        <v>356</v>
      </c>
      <c r="D360" s="97">
        <v>3.9519741378461073</v>
      </c>
      <c r="E360" s="97">
        <v>3.6135056291417342</v>
      </c>
      <c r="F360" s="97">
        <v>4.3702094551264423</v>
      </c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</row>
    <row r="361" spans="2:27" x14ac:dyDescent="0.25">
      <c r="B361" s="109">
        <v>43092</v>
      </c>
      <c r="C361" s="96">
        <f t="shared" si="17"/>
        <v>357</v>
      </c>
      <c r="D361" s="97">
        <v>3.9429051231922712</v>
      </c>
      <c r="E361" s="97">
        <v>3.6047537572511192</v>
      </c>
      <c r="F361" s="97">
        <v>4.3609855567620048</v>
      </c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</row>
    <row r="362" spans="2:27" x14ac:dyDescent="0.25">
      <c r="B362" s="109">
        <v>43093</v>
      </c>
      <c r="C362" s="96">
        <f t="shared" si="17"/>
        <v>358</v>
      </c>
      <c r="D362" s="97">
        <v>3.9424337983264253</v>
      </c>
      <c r="E362" s="97">
        <v>3.60427229097006</v>
      </c>
      <c r="F362" s="97">
        <v>4.3604994020535361</v>
      </c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</row>
    <row r="363" spans="2:27" x14ac:dyDescent="0.25">
      <c r="B363" s="109">
        <v>43094</v>
      </c>
      <c r="C363" s="96">
        <f t="shared" si="17"/>
        <v>359</v>
      </c>
      <c r="D363" s="97">
        <v>3.9552048326662406</v>
      </c>
      <c r="E363" s="97">
        <v>3.6163922735649487</v>
      </c>
      <c r="F363" s="97">
        <v>4.373708123365903</v>
      </c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</row>
    <row r="364" spans="2:27" x14ac:dyDescent="0.25">
      <c r="B364" s="109">
        <v>43095</v>
      </c>
      <c r="C364" s="96">
        <f t="shared" si="17"/>
        <v>360</v>
      </c>
      <c r="D364" s="97">
        <v>3.9610134968736328</v>
      </c>
      <c r="E364" s="97">
        <v>3.6220673640237879</v>
      </c>
      <c r="F364" s="97">
        <v>4.3793782084193307</v>
      </c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</row>
    <row r="365" spans="2:27" x14ac:dyDescent="0.25">
      <c r="B365" s="109">
        <v>43096</v>
      </c>
      <c r="C365" s="96">
        <f t="shared" si="17"/>
        <v>361</v>
      </c>
      <c r="D365" s="97">
        <v>3.969849756635182</v>
      </c>
      <c r="E365" s="97">
        <v>3.6306650632294768</v>
      </c>
      <c r="F365" s="97">
        <v>4.3881034812963158</v>
      </c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</row>
    <row r="366" spans="2:27" x14ac:dyDescent="0.25">
      <c r="B366" s="109">
        <v>43097</v>
      </c>
      <c r="C366" s="96">
        <f t="shared" si="17"/>
        <v>362</v>
      </c>
      <c r="D366" s="97">
        <v>3.9858758361718754</v>
      </c>
      <c r="E366" s="97">
        <v>3.646031092500206</v>
      </c>
      <c r="F366" s="97">
        <v>4.4043756588601637</v>
      </c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</row>
    <row r="367" spans="2:27" x14ac:dyDescent="0.25">
      <c r="B367" s="109">
        <v>43098</v>
      </c>
      <c r="C367" s="96">
        <f t="shared" si="17"/>
        <v>363</v>
      </c>
      <c r="D367" s="97">
        <v>3.9946451204019189</v>
      </c>
      <c r="E367" s="97">
        <v>3.6545991204116244</v>
      </c>
      <c r="F367" s="97">
        <v>4.4129389354573423</v>
      </c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</row>
    <row r="368" spans="2:27" x14ac:dyDescent="0.25">
      <c r="B368" s="109">
        <v>43099</v>
      </c>
      <c r="C368" s="96">
        <f t="shared" si="17"/>
        <v>364</v>
      </c>
      <c r="D368" s="97">
        <v>4.0208903620691494</v>
      </c>
      <c r="E368" s="97">
        <v>3.6801489969990704</v>
      </c>
      <c r="F368" s="97">
        <v>4.4389721018919328</v>
      </c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</row>
    <row r="369" spans="2:27" x14ac:dyDescent="0.25">
      <c r="B369" s="109">
        <v>43100</v>
      </c>
      <c r="C369" s="96">
        <f t="shared" si="17"/>
        <v>365</v>
      </c>
      <c r="D369" s="97">
        <v>4.0179973955636514</v>
      </c>
      <c r="E369" s="97">
        <v>3.67752536360093</v>
      </c>
      <c r="F369" s="97">
        <v>4.4355697845350912</v>
      </c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</row>
  </sheetData>
  <sheetProtection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Fulls de càlcul</vt:lpstr>
      </vt:variant>
      <vt:variant>
        <vt:i4>8</vt:i4>
      </vt:variant>
    </vt:vector>
  </HeadingPairs>
  <TitlesOfParts>
    <vt:vector size="8" baseType="lpstr">
      <vt:lpstr>Dades</vt:lpstr>
      <vt:lpstr>Calculs</vt:lpstr>
      <vt:lpstr>Resultats</vt:lpstr>
      <vt:lpstr>Temperatura</vt:lpstr>
      <vt:lpstr>Humitat</vt:lpstr>
      <vt:lpstr>CalculAnual</vt:lpstr>
      <vt:lpstr>CalculDia</vt:lpstr>
      <vt:lpstr>CalculAngle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</dc:creator>
  <cp:lastModifiedBy>Marc</cp:lastModifiedBy>
  <dcterms:created xsi:type="dcterms:W3CDTF">2017-07-11T17:27:30Z</dcterms:created>
  <dcterms:modified xsi:type="dcterms:W3CDTF">2018-01-14T21:08:38Z</dcterms:modified>
</cp:coreProperties>
</file>